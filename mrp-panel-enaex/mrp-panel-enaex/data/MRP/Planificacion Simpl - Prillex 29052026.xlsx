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446F7D34-ACEF-40E9-8770-1870621543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12" r:id="rId6"/>
    <pivotCache cacheId="15" r:id="rId7"/>
    <pivotCache cacheId="18" r:id="rId8"/>
    <pivotCache cacheId="21" r:id="rId9"/>
  </pivotCaches>
  <extLst>
    <ext xmlns:x14="http://schemas.microsoft.com/office/spreadsheetml/2009/9/main" uri="{876F7934-8845-4945-9796-88D515C7AA90}">
      <x14:pivotCaches>
        <pivotCache cacheId="11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9" i="2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3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<sst xmlns="http://schemas.openxmlformats.org/spreadsheetml/2006/main" count="17881" uniqueCount="1667">
  <si>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</si>
  <si>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</si>
  <si>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</si>
  <si>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</si>
  <si>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</si>
  <si>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</si>
  <si>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</si>
  <si>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</si>
  <si>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</si>
  <si>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</si>
  <si>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</si>
  <si>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</si>
  <si>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</si>
  <si>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</si>
  <si>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</si>
  <si>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</si>
  <si>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</si>
  <si>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</si>
  <si>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</si>
  <si>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</si>
  <si>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</si>
  <si>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</si>
  <si>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</si>
  <si>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</si>
  <si>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</si>
  <si>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</si>
  <si>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</si>
  <si>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</si>
  <si>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</si>
  <si>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</si>
  <si>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</si>
  <si>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</si>
  <si>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</si>
  <si>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</si>
  <si>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</si>
  <si>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</si>
  <si>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</si>
  <si>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</si>
  <si>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</si>
  <si>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</si>
  <si>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</si>
  <si>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</si>
  <si>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</si>
  <si>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</si>
  <si>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</si>
  <si>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</si>
  <si>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</si>
  <si>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</si>
  <si>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</si>
  <si>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</si>
  <si>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</si>
  <si>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</si>
  <si>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</si>
  <si>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</si>
  <si>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</si>
  <si>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</si>
  <si>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</si>
  <si>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</si>
  <si>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</si>
  <si>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</si>
  <si>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</si>
  <si>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</si>
  <si>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</si>
  <si>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</si>
  <si>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</si>
  <si>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</si>
  <si>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</si>
  <si>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</si>
  <si>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</si>
  <si>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</si>
  <si>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</si>
  <si>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</si>
  <si>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</si>
  <si>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</si>
  <si>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</si>
  <si>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</si>
  <si>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</si>
  <si>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</si>
  <si>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</si>
  <si>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</si>
  <si>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</si>
  <si>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</si>
  <si>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</si>
  <si>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</si>
  <si>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</si>
  <si>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</si>
  <si>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</si>
  <si>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</si>
  <si>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</si>
  <si>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</si>
  <si>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</si>
  <si>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</si>
  <si>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</si>
  <si>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</si>
  <si>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</si>
  <si>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</si>
  <si>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</si>
  <si>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</si>
  <si>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</si>
  <si>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</si>
  <si>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</si>
  <si>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</si>
  <si>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</si>
  <si>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</si>
  <si>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</si>
  <si>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</si>
  <si>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</si>
  <si>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</si>
  <si>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</si>
  <si>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</si>
  <si>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</si>
  <si>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</si>
  <si>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</si>
  <si>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</si>
  <si>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</si>
  <si>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</si>
  <si>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</si>
  <si>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</si>
  <si>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</si>
  <si>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</si>
  <si>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</si>
  <si>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</si>
  <si>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</si>
  <si>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</si>
  <si>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</si>
  <si>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</si>
  <si>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</si>
  <si>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</si>
  <si>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</si>
  <si>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</si>
  <si>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</si>
  <si>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</si>
  <si>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</si>
  <si>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</si>
  <si>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</si>
  <si>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</si>
  <si>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</si>
  <si>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</si>
  <si>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</si>
  <si>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</si>
  <si>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</si>
  <si>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</si>
  <si>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</si>
  <si>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</si>
  <si>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</si>
  <si>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</si>
  <si>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</si>
  <si>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</si>
  <si>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</si>
  <si>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</si>
  <si>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</si>
  <si>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</si>
  <si>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</si>
  <si>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</si>
  <si>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</si>
  <si>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</si>
  <si>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</si>
  <si>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</si>
  <si>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</si>
  <si>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</si>
  <si>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</si>
  <si>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</si>
  <si>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</si>
  <si>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</si>
  <si>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</si>
  <si>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</si>
  <si>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</si>
  <si>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</si>
  <si>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</si>
  <si>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</si>
  <si>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</si>
  <si>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</si>
  <si>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</si>
  <si>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</si>
  <si>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</si>
  <si>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</si>
  <si>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</si>
  <si>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</si>
  <si>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</si>
  <si>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</si>
  <si>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</si>
  <si>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</si>
  <si>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</si>
  <si>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</si>
  <si>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</si>
  <si>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</si>
  <si>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</si>
  <si>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</si>
  <si>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</si>
  <si>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</si>
  <si>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</si>
  <si>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</si>
  <si>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</si>
  <si>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</si>
  <si>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</si>
  <si>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</si>
  <si>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</si>
  <si>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</si>
  <si>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</si>
  <si>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</si>
  <si>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</si>
  <si>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</si>
  <si>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</si>
  <si>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</si>
  <si>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</si>
  <si>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</si>
  <si>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</si>
  <si>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</si>
  <si>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</si>
  <si>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</si>
  <si>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</si>
  <si>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</si>
  <si>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</si>
  <si>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</si>
  <si>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</si>
  <si>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</si>
  <si>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</si>
  <si>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</si>
  <si>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</si>
  <si>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</si>
  <si>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</si>
  <si>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</si>
  <si>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</si>
  <si>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</si>
  <si>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</si>
  <si>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</si>
  <si>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</si>
  <si>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</si>
  <si>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</si>
  <si>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</si>
  <si>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</si>
  <si>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</si>
  <si>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</si>
  <si>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</si>
  <si>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</si>
  <si>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</si>
  <si>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</si>
  <si>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</si>
  <si>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</si>
  <si>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</si>
  <si>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</si>
  <si>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</si>
  <si>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</si>
  <si>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</si>
  <si>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</si>
  <si>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</si>
  <si>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</si>
  <si>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</si>
  <si>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</si>
  <si>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</si>
  <si>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</si>
  <si>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</si>
  <si>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</si>
  <si>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</si>
  <si>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</si>
  <si>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</si>
  <si>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</si>
  <si>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</si>
  <si>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</si>
  <si>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</si>
  <si>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</si>
  <si>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</si>
  <si>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</si>
  <si>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</si>
  <si>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</si>
  <si>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</si>
  <si>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</si>
  <si>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</si>
  <si>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</si>
  <si>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</si>
  <si>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</si>
  <si>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</si>
  <si>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</si>
  <si>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</si>
  <si>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</si>
  <si>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</si>
  <si>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</si>
  <si>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</si>
  <si>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</si>
  <si>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</si>
  <si>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</si>
  <si>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</si>
  <si>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</si>
  <si>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</si>
  <si>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</si>
  <si>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</si>
  <si>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</si>
  <si>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</si>
  <si>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</si>
  <si>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</si>
  <si>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</si>
  <si>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</si>
  <si>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</si>
  <si>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</si>
  <si>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</si>
  <si>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</si>
  <si>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</si>
  <si>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</si>
  <si>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</si>
  <si>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</si>
  <si>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</si>
  <si>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</si>
  <si>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</si>
  <si>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</si>
  <si>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</si>
  <si>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</si>
  <si>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</si>
  <si>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</si>
  <si>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</si>
  <si>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</si>
  <si>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</si>
  <si>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</si>
  <si>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</si>
  <si>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</si>
  <si>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</si>
  <si>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</si>
  <si>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</si>
  <si>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</si>
  <si>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</si>
  <si>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</si>
  <si>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</si>
  <si>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</si>
  <si>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</si>
  <si>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</si>
  <si>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</si>
  <si>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</si>
  <si>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</si>
  <si>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</si>
  <si>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</si>
  <si>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</si>
  <si>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</si>
  <si>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</si>
  <si>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</si>
  <si>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</si>
  <si>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</si>
  <si>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</si>
  <si>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</si>
  <si>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</si>
  <si>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</si>
  <si>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</si>
  <si>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</si>
  <si>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</si>
  <si>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</si>
  <si>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</si>
  <si>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</si>
  <si>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</si>
  <si>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</si>
  <si>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</si>
  <si>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</si>
  <si>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</si>
  <si>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</si>
  <si>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</si>
  <si>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</si>
  <si>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</si>
  <si>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</si>
  <si>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</si>
  <si>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</si>
  <si>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</si>
  <si>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</si>
  <si>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</si>
  <si>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</si>
  <si>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</si>
  <si>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</si>
  <si>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</si>
  <si>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</si>
  <si>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</si>
  <si>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</si>
  <si>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</si>
  <si>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</si>
  <si>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</si>
  <si>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</si>
  <si>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</si>
  <si>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</si>
  <si>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</si>
  <si>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</si>
  <si>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</si>
  <si>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</si>
  <si>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</si>
  <si>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</si>
  <si>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</si>
  <si>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</si>
  <si>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</si>
  <si>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</si>
  <si>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</si>
  <si>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</si>
  <si>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</si>
  <si>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</si>
  <si>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</si>
  <si>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</si>
  <si>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</si>
  <si>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</si>
  <si>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</si>
  <si>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</si>
  <si>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</si>
  <si>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</si>
  <si>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</si>
  <si>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</si>
  <si>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</si>
  <si>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</si>
  <si>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</si>
  <si>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</si>
  <si>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</si>
  <si>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</si>
  <si>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</si>
  <si>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</si>
  <si>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</si>
  <si>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</si>
  <si>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</si>
  <si>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</si>
  <si>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</si>
  <si>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</si>
  <si>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</si>
  <si>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</si>
  <si>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</si>
  <si>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</si>
  <si>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</si>
  <si>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</si>
  <si>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</si>
  <si>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</si>
  <si>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</si>
  <si>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</si>
  <si>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</si>
  <si>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</si>
  <si>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</si>
  <si>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</si>
  <si>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</si>
  <si>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</si>
  <si>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</si>
  <si>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</si>
  <si>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</si>
  <si>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</si>
  <si>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</si>
  <si>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</si>
  <si>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</si>
  <si>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</si>
  <si>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</si>
  <si>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</si>
  <si>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</si>
  <si>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</si>
  <si>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</si>
  <si>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</si>
  <si>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</si>
  <si>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</si>
  <si>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</si>
  <si>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</si>
  <si>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</si>
  <si>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</si>
  <si>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</si>
  <si>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</si>
  <si>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</si>
  <si>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</si>
  <si>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</si>
  <si>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</si>
  <si>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</si>
  <si>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</si>
  <si>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</si>
  <si>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</si>
  <si>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</si>
  <si>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</si>
  <si>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</si>
  <si>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</si>
  <si>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</si>
  <si>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</si>
  <si>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</si>
  <si>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</si>
  <si>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</si>
  <si>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</si>
  <si>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</si>
  <si>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</si>
  <si>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</si>
  <si>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</si>
  <si>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</si>
  <si>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</si>
  <si>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</si>
  <si>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</si>
  <si>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</si>
  <si>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</si>
  <si>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</si>
  <si>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</si>
  <si>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</si>
  <si>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</si>
  <si>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</si>
  <si>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</si>
  <si>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</si>
  <si>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</si>
  <si>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</si>
  <si>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</si>
  <si>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</si>
  <si>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</si>
  <si>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</si>
  <si>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</si>
  <si>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</si>
  <si>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</si>
  <si>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</si>
  <si>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</si>
  <si>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</si>
  <si>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</si>
  <si>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</si>
  <si>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</si>
  <si>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</si>
  <si>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</si>
  <si>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</si>
  <si>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</si>
  <si>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</si>
  <si>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</si>
  <si>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</si>
  <si>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</si>
  <si>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</si>
  <si>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</si>
  <si>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</si>
  <si>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</si>
  <si>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</si>
  <si>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</si>
  <si>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</si>
  <si>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</si>
  <si>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</si>
  <si>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</si>
  <si>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</si>
  <si>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</si>
  <si>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</si>
  <si>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</si>
  <si>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</si>
  <si>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</si>
  <si>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</si>
  <si>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</si>
  <si>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</si>
  <si>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</si>
  <si>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</si>
  <si>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</si>
  <si>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</si>
  <si>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</si>
  <si>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</si>
  <si>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</si>
  <si>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</si>
  <si>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</si>
  <si>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</si>
  <si>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</si>
  <si>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</si>
  <si>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</si>
  <si>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</si>
  <si>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</si>
  <si>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</si>
  <si>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</si>
  <si>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</si>
  <si>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</si>
  <si>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</si>
  <si>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</si>
  <si>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</si>
  <si>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</si>
  <si>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</si>
  <si>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</si>
  <si>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</si>
  <si>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</si>
  <si>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</si>
  <si>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</si>
  <si>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</si>
  <si>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</si>
  <si>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</si>
  <si>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</si>
  <si>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</si>
  <si>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</si>
  <si>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</si>
  <si>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</si>
  <si>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</si>
  <si>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</si>
  <si>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</si>
  <si>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</si>
  <si>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</si>
  <si>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</si>
  <si>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</si>
  <si>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</si>
  <si>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</si>
  <si>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</si>
  <si>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</si>
  <si>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</si>
  <si>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</si>
  <si>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</si>
  <si>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</si>
  <si>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</si>
  <si>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</si>
  <si>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</si>
  <si>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</si>
  <si>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</si>
  <si>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</si>
  <si>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</si>
  <si>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</si>
  <si>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</si>
  <si>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</si>
  <si>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</si>
  <si>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</si>
  <si>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</si>
  <si>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</si>
  <si>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</si>
  <si>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</si>
  <si>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</si>
  <si>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</si>
  <si>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</si>
  <si>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</si>
  <si>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</si>
  <si>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</si>
  <si>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</si>
  <si>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</si>
  <si>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</si>
  <si>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</si>
  <si>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</si>
  <si>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</si>
  <si>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</si>
  <si>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</si>
  <si>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</si>
  <si>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</si>
  <si>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</si>
  <si>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</si>
  <si>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</si>
  <si>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</si>
  <si>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</si>
  <si>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</si>
  <si>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</si>
  <si>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</si>
  <si>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</si>
  <si>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</si>
  <si>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</si>
  <si>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</si>
  <si>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</si>
  <si>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</si>
  <si>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</si>
  <si>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</si>
  <si>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</si>
  <si>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</si>
  <si>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</si>
  <si>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</si>
  <si>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</si>
  <si>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</si>
  <si>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</si>
  <si>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</si>
  <si>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</si>
  <si>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</si>
  <si>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</si>
  <si>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</si>
  <si>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</si>
  <si>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</si>
  <si>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</si>
  <si>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</si>
  <si>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</si>
  <si>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</si>
  <si>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</si>
  <si>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</si>
  <si>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</si>
  <si>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</si>
  <si>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</si>
  <si>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</si>
  <si>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</si>
  <si>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</si>
  <si>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</si>
  <si>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</si>
  <si>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</si>
  <si>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</si>
  <si>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</si>
  <si>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</si>
  <si>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</si>
  <si>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</si>
  <si>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</si>
  <si>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</si>
  <si>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</si>
  <si>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</si>
  <si>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</si>
  <si>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</si>
  <si>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</si>
  <si>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</si>
  <si>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</si>
  <si>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</si>
  <si>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</si>
  <si>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</si>
  <si>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</si>
  <si>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</si>
  <si>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</si>
  <si>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</si>
  <si>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</si>
  <si>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</si>
  <si>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</si>
  <si>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</si>
  <si>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</si>
  <si>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</si>
  <si>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</si>
  <si>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</si>
  <si>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</si>
  <si>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</si>
  <si>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</si>
  <si>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</si>
  <si>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</si>
  <si>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</si>
  <si>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</si>
  <si>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</si>
  <si>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</si>
  <si>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</si>
  <si>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</si>
  <si>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</si>
  <si>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</si>
  <si>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</si>
  <si>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</si>
  <si>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</si>
  <si>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</si>
  <si>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</si>
  <si>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</si>
  <si>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</si>
  <si>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</si>
  <si>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</si>
  <si>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</si>
  <si>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</si>
  <si>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</si>
  <si>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</si>
  <si>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</si>
  <si>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</si>
  <si>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</si>
  <si>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</si>
  <si>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</si>
  <si>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</si>
  <si>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</si>
  <si>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</si>
  <si>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</si>
  <si>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</si>
  <si>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</si>
  <si>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</si>
  <si>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</si>
  <si>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</si>
  <si>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</si>
  <si>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</si>
  <si>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</si>
  <si>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</si>
  <si>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</si>
  <si>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</si>
  <si>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</si>
  <si>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</si>
  <si>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</si>
  <si>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</si>
  <si>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</si>
  <si>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</si>
  <si>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</si>
  <si>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</si>
  <si>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</si>
  <si>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</si>
  <si>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</si>
  <si>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</si>
  <si>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</si>
  <si>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</si>
  <si>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</si>
  <si>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</si>
  <si>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</si>
  <si>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</si>
  <si>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</si>
  <si>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</si>
  <si>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</si>
  <si>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</si>
  <si>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</si>
  <si>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</si>
  <si>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</si>
  <si>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</si>
  <si>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</si>
  <si>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</si>
  <si>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</si>
  <si>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</si>
  <si>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</si>
  <si>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</si>
  <si>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</si>
  <si>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</si>
  <si>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</si>
  <si>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</si>
  <si>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</si>
  <si>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</si>
  <si>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</si>
  <si>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</si>
  <si>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</si>
  <si>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</si>
  <si>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</si>
  <si>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</si>
  <si>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</si>
  <si>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</si>
  <si>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</si>
  <si>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</si>
  <si>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</si>
  <si>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</si>
  <si>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</si>
  <si>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</si>
  <si>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</si>
  <si>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</si>
  <si>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</si>
  <si>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</si>
  <si>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</si>
  <si>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</si>
  <si>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</si>
  <si>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</si>
  <si>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</si>
  <si>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</si>
  <si>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</si>
  <si>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</si>
  <si>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</si>
  <si>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</si>
  <si>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</si>
  <si>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</si>
  <si>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</si>
  <si>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</si>
  <si>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</si>
  <si>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</si>
  <si>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</si>
  <si>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</si>
  <si>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</si>
  <si>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</si>
  <si>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</si>
  <si>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</si>
  <si>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</si>
  <si>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</si>
  <si>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</si>
  <si>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</si>
  <si>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</si>
  <si>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</si>
  <si>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</si>
  <si>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</si>
  <si>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</si>
  <si>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</si>
  <si>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</si>
  <si>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</si>
  <si>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</si>
  <si>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</si>
  <si>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</si>
  <si>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</si>
  <si>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</si>
  <si>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</si>
  <si>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</si>
  <si>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</si>
  <si>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</si>
  <si>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</si>
  <si>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</si>
  <si>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</si>
  <si>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</si>
  <si>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</si>
  <si>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</si>
  <si>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</si>
  <si>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</si>
  <si>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</si>
  <si>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</si>
  <si>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</si>
  <si>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</si>
  <si>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</si>
  <si>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</si>
  <si>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</si>
  <si>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</si>
  <si>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</si>
  <si>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</si>
  <si>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</si>
  <si>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</si>
  <si>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</si>
  <si>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</si>
  <si>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</si>
  <si>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</si>
  <si>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</si>
  <si>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</si>
  <si>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</si>
  <si>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</si>
  <si>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</si>
  <si>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</si>
  <si>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</si>
  <si>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</si>
  <si>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</si>
  <si>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</si>
  <si>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</si>
  <si>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</si>
  <si>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</si>
  <si>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</si>
  <si>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</si>
  <si>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</si>
  <si>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</si>
  <si>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</si>
  <si>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</si>
  <si>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</si>
  <si>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</si>
  <si>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</si>
  <si>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</si>
  <si>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</si>
  <si>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</si>
  <si>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</si>
  <si>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</si>
  <si>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</si>
  <si>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</si>
  <si>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</si>
  <si>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</si>
  <si>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</si>
  <si>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</si>
  <si>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</si>
  <si>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</si>
  <si>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</si>
  <si>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</si>
  <si>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</si>
  <si>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</si>
  <si>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</si>
  <si>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</si>
  <si>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</si>
  <si>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</si>
  <si>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</si>
  <si>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</si>
  <si>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</si>
  <si>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</si>
  <si>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</si>
  <si>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</si>
  <si>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</si>
  <si>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</si>
  <si>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</si>
  <si>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</si>
  <si>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</si>
  <si>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</si>
  <si>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</si>
  <si>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</si>
  <si>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</si>
  <si>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</si>
  <si>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</si>
  <si>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</si>
  <si>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</si>
  <si>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</si>
  <si>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</si>
  <si>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</si>
  <si>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</si>
  <si>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</si>
  <si>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</si>
  <si>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</si>
  <si>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</si>
  <si>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</si>
  <si>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</si>
  <si>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</si>
  <si>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</si>
  <si>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</si>
  <si>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</si>
  <si>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</si>
  <si>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</si>
  <si>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</si>
  <si>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</si>
  <si>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</si>
  <si>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</si>
  <si>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</si>
  <si>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</si>
  <si>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</si>
  <si>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</si>
  <si>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</si>
  <si>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</si>
  <si>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</si>
  <si>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</si>
  <si>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</si>
  <si>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</si>
  <si>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</si>
  <si>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</si>
  <si>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</si>
  <si>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</si>
  <si>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</si>
  <si>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</si>
  <si>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</si>
  <si>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</si>
  <si>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</si>
  <si>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</si>
  <si>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</si>
  <si>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</si>
  <si>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</si>
  <si>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</si>
  <si>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</si>
  <si>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</si>
  <si>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</si>
  <si>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</si>
  <si>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</si>
  <si>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</si>
  <si>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</si>
  <si>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</si>
  <si>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</si>
  <si>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</si>
  <si>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</si>
  <si>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</si>
  <si>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</si>
  <si>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</si>
  <si>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</si>
  <si>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</si>
  <si>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</si>
  <si>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</si>
  <si>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</si>
  <si>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</si>
  <si>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</si>
  <si>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</si>
  <si>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</si>
  <si>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</si>
  <si>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</si>
  <si>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</si>
  <si>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</si>
  <si>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</si>
  <si>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</si>
  <si>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</si>
  <si>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</si>
  <si>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</si>
  <si>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</si>
  <si>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</si>
  <si>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</si>
  <si>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</si>
  <si>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</si>
  <si>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</si>
  <si>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</si>
  <si>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</si>
  <si>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</si>
  <si>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</si>
  <si>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</si>
  <si>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</si>
  <si>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</si>
  <si>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</si>
  <si>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</si>
  <si>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</si>
  <si>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</si>
  <si>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</si>
  <si>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</si>
  <si>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</si>
  <si>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</si>
  <si>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</si>
  <si>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</si>
  <si>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</si>
  <si>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</si>
  <si>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</si>
  <si>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</si>
  <si>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</si>
  <si>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</si>
  <si>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</si>
  <si>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</si>
  <si>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</si>
  <si>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</si>
  <si>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</si>
  <si>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</si>
  <si>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</si>
  <si>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</si>
  <si>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</si>
  <si>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</si>
  <si>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</si>
  <si>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</si>
  <si>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</si>
  <si>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</si>
  <si>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</si>
  <si>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</si>
  <si>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</si>
  <si>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</si>
  <si>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</si>
  <si>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</si>
  <si>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</si>
  <si>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</si>
  <si>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</si>
  <si>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</si>
  <si>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</si>
  <si>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</si>
  <si>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</si>
  <si>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</si>
  <si>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</si>
  <si>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</si>
  <si>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</si>
  <si>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</si>
  <si>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</si>
  <si>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</si>
  <si>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</si>
  <si>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</si>
  <si>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</si>
  <si>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</si>
  <si>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</si>
  <si>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</si>
  <si>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</si>
  <si>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</si>
  <si>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</si>
  <si>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</si>
  <si>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</si>
  <si>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</si>
  <si>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</si>
  <si>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</si>
  <si>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</si>
  <si>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</si>
  <si>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</si>
  <si>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</si>
  <si>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</si>
  <si>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</si>
  <si>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</si>
  <si>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</si>
  <si>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</si>
  <si>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</si>
  <si>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</si>
  <si>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</si>
  <si>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</si>
  <si>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</si>
  <si>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</si>
  <si>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</si>
  <si>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</si>
  <si>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</si>
  <si>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</si>
  <si>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</si>
  <si>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</si>
  <si>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</si>
  <si>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</si>
  <si>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</si>
  <si>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</si>
  <si>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</si>
  <si>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</si>
  <si>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</si>
  <si>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</si>
  <si>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</si>
  <si>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</si>
  <si>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</si>
  <si>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</si>
  <si>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</si>
  <si>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</si>
  <si>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</si>
  <si>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</si>
  <si>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</si>
  <si>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</si>
  <si>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</si>
  <si>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</si>
  <si>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</si>
  <si>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</si>
  <si>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</si>
  <si>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</si>
  <si>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</si>
  <si>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</si>
  <si>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</si>
  <si>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</si>
  <si>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</si>
  <si>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</si>
  <si>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</si>
  <si>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</si>
  <si>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</si>
  <si>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</si>
  <si>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</si>
  <si>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</si>
  <si>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</si>
  <si>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</si>
  <si>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</si>
  <si>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</si>
  <si>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</si>
  <si>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</si>
  <si>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</si>
  <si>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</si>
  <si>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</si>
  <si>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</si>
  <si>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</si>
  <si>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</si>
  <si>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</si>
  <si>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</si>
  <si>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</si>
  <si>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</si>
  <si>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</si>
  <si>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</si>
  <si>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</si>
  <si>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</si>
  <si>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</si>
  <si>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</si>
  <si>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</si>
  <si>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</si>
  <si>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</si>
  <si>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</si>
  <si>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</si>
  <si>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</si>
  <si>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</si>
  <si>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</si>
  <si>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</si>
  <si>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</si>
  <si>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</si>
  <si>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</si>
  <si>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</si>
  <si>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</si>
  <si>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</si>
  <si>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</si>
  <si>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</si>
  <si>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</si>
  <si>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</si>
  <si>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</si>
  <si>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</si>
  <si>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</si>
  <si>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</si>
  <si>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</si>
  <si>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</si>
  <si>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</si>
  <si>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</si>
  <si>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</si>
  <si>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</si>
  <si>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</si>
  <si>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</si>
  <si>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</si>
  <si>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</si>
  <si>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</si>
  <si>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</si>
  <si>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</si>
  <si>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</si>
  <si>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</si>
  <si>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</si>
  <si>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</si>
  <si>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</si>
  <si>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</si>
  <si>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</si>
  <si>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</si>
  <si>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</si>
  <si>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</si>
  <si>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</si>
  <si>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</si>
  <si>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</si>
  <si>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</si>
  <si>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</si>
  <si>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</si>
  <si>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</si>
  <si>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</si>
  <si>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</si>
  <si>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</si>
  <si>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</si>
  <si>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</si>
  <si>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</si>
  <si>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</si>
  <si>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</si>
  <si>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</si>
  <si>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</si>
  <si>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</si>
  <si>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</si>
  <si>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</si>
  <si>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</si>
  <si>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</si>
  <si>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</si>
  <si>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</si>
  <si>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</si>
  <si>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</si>
  <si>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</si>
  <si>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</si>
  <si>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</si>
  <si>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</si>
  <si>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</si>
  <si>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</si>
  <si>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</si>
  <si>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</si>
  <si>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</si>
  <si>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</si>
  <si>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</si>
  <si>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</si>
  <si>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</si>
  <si>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</si>
  <si>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</si>
  <si>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</si>
  <si>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</si>
  <si>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</si>
  <si>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</si>
  <si>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</si>
  <si>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</si>
  <si>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</si>
  <si>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</si>
  <si>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</si>
  <si>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</si>
  <si>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</si>
  <si>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</si>
  <si>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</si>
  <si>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</si>
  <si>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</si>
  <si>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</si>
  <si>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</si>
  <si>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</si>
  <si>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</si>
  <si>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</si>
  <si>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</si>
  <si>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</si>
  <si>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</si>
  <si>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</si>
  <si>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</si>
  <si>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</si>
  <si>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</si>
  <si>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</si>
  <si>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</si>
  <si>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</si>
  <si>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</si>
  <si>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</si>
  <si>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</si>
  <si>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</si>
  <si>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</si>
  <si>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</si>
  <si>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</si>
  <si>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</si>
  <si>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</si>
  <si>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</si>
  <si>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</si>
  <si>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</si>
  <si>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</si>
  <si>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</si>
  <si>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</si>
  <si>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</si>
  <si>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</si>
  <si>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</si>
  <si>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</si>
  <si>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</si>
  <si>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</si>
  <si>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</si>
  <si>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</si>
  <si>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</si>
  <si>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</si>
  <si>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</si>
  <si>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</si>
  <si>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</si>
  <si>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</si>
  <si>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</si>
  <si>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</si>
  <si>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</si>
  <si>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</si>
  <si>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</si>
  <si>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</si>
  <si>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</si>
  <si>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</si>
  <si>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</si>
  <si>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</si>
  <si>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</si>
  <si>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</si>
  <si>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</si>
  <si>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</si>
  <si>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</si>
  <si>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</si>
  <si>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</si>
  <si>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</si>
  <si>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</si>
  <si>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</si>
  <si>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</si>
  <si>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</si>
  <si>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</si>
  <si>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</si>
  <si>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</si>
  <si>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</si>
  <si>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</si>
  <si>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</si>
  <si>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</si>
  <si>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</si>
  <si>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</si>
  <si>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</si>
  <si>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</si>
  <si>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</si>
  <si>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</si>
  <si>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</si>
  <si>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</si>
  <si>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</si>
  <si>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</si>
  <si>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</si>
  <si>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</si>
  <si>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</si>
  <si>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</si>
  <si>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</si>
  <si>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</si>
  <si>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</si>
  <si>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</si>
  <si>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</si>
  <si>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</si>
  <si>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</si>
  <si>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</si>
  <si>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</si>
  <si>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</si>
  <si>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</si>
  <si>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</si>
  <si>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</si>
  <si>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</si>
  <si>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</si>
  <si>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</si>
  <si>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</si>
  <si>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</si>
  <si>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</si>
  <si>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</si>
  <si>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</si>
  <si>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</si>
  <si>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</si>
  <si>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</si>
  <si>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</si>
  <si>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</si>
  <si>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</si>
  <si>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</si>
  <si>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</si>
  <si>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</si>
  <si>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</si>
  <si>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</si>
  <si>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</si>
  <si>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</si>
  <si>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</si>
  <si>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</si>
  <si>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</si>
  <si>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</si>
  <si>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</si>
  <si>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</si>
  <si>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</si>
  <si>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</si>
  <si>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</si>
  <si>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</si>
  <si>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</si>
  <si>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</si>
  <si>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</si>
  <si>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</si>
  <si>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</si>
  <si>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</si>
  <si>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</si>
  <si>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</si>
  <si>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</si>
  <si>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</si>
  <si>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</si>
  <si>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</si>
  <si>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</si>
  <si>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</si>
  <si>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</si>
  <si>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</si>
  <si>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</si>
  <si>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</si>
  <si>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</si>
  <si>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</si>
  <si>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</si>
  <si>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</si>
  <si>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</si>
  <si>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</si>
  <si>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</si>
  <si>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</si>
  <si>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</si>
  <si>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</si>
  <si>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</si>
  <si>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</si>
  <si>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</si>
  <si>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</si>
  <si>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</si>
  <si>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</si>
  <si>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</si>
  <si>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</si>
  <si>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</si>
  <si>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</si>
  <si>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</si>
  <si>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</si>
  <si>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</si>
  <si>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</si>
  <si>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</si>
  <si>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</si>
  <si>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</si>
  <si>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</si>
  <si>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</si>
  <si>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</si>
  <si>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</si>
  <si>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</si>
  <si>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</si>
  <si>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</si>
  <si>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</si>
  <si>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</si>
  <si>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</si>
  <si>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</si>
  <si>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</si>
  <si>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</si>
  <si>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</si>
  <si>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</si>
  <si>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</si>
  <si>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</si>
  <si>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</si>
  <si>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</si>
  <si>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</si>
  <si>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</si>
  <si>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</si>
  <si>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</si>
  <si>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</si>
  <si>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</si>
  <si>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</si>
  <si>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</si>
  <si>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</si>
  <si>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</si>
  <si>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</si>
  <si>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</si>
  <si>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</si>
  <si>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</si>
  <si>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</si>
  <si>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</si>
  <si>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</si>
  <si>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</si>
  <si>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</si>
  <si>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</si>
  <si>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</si>
  <si>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</si>
  <si>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</si>
  <si>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</si>
  <si>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</si>
  <si>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</si>
  <si>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</si>
  <si>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</si>
  <si>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</si>
  <si>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</si>
  <si>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</si>
  <si>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</si>
  <si>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</si>
  <si>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</si>
  <si>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</si>
  <si>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</si>
  <si>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</si>
  <si>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</si>
  <si>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</si>
  <si>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</si>
  <si>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</si>
  <si>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</si>
  <si>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</si>
  <si>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</si>
  <si>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</si>
  <si>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</si>
  <si>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</si>
  <si>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</si>
  <si>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</si>
  <si>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</si>
  <si>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</si>
  <si>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</si>
  <si>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</si>
  <si>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</si>
  <si>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</si>
  <si>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</si>
  <si>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</si>
  <si>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</si>
  <si>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</si>
  <si>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</si>
  <si>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</si>
  <si>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</si>
  <si>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</si>
  <si>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</si>
  <si>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</si>
  <si>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</si>
  <si>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</si>
  <si>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</si>
  <si>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</si>
  <si>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</si>
  <si>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</si>
  <si>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</si>
  <si>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</si>
  <si>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</si>
  <si>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</si>
  <si>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</si>
  <si>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</si>
  <si>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</si>
  <si>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</si>
  <si>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</si>
  <si>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</si>
  <si>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</si>
  <si>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</si>
  <si>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</si>
  <si>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</si>
  <si>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</si>
  <si>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</si>
  <si>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</si>
  <si>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</si>
  <si>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</si>
  <si>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</si>
  <si>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</si>
  <si>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</si>
  <si>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</si>
  <si>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</si>
  <si>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</si>
  <si>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</si>
  <si>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</si>
  <si>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</si>
  <si>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</si>
  <si>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</si>
  <si>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</si>
  <si>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</si>
  <si>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</si>
  <si>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</si>
  <si>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</si>
  <si>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</si>
  <si>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</si>
  <si>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</si>
  <si>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</si>
  <si>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</si>
  <si>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</si>
  <si>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</si>
  <si>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</si>
  <si>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</si>
  <si>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</si>
  <si>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</si>
  <si>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</si>
  <si>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</si>
  <si>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</si>
  <si>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</si>
  <si>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</si>
  <si>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</si>
  <si>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</si>
  <si>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</si>
  <si>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</si>
  <si>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</si>
  <si>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</si>
  <si>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</si>
  <si>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</si>
  <si>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Ecolab SpA</t>
  </si>
  <si>
    <t>CORDEL DE PERLON 5/8" (16mm)</t>
  </si>
  <si>
    <t>Samson Controls S A</t>
  </si>
  <si>
    <t>Rotex Global LLC</t>
  </si>
  <si>
    <t>Oxiquim S.A.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</si>
  <si>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</si>
  <si>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</si>
  <si>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</si>
  <si>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</si>
  <si>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</si>
  <si>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</si>
  <si>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</si>
  <si>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</si>
  <si>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Ferreteria Zavala</t>
  </si>
  <si>
    <t>Comercializadora Fernorte Industria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</si>
  <si>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</si>
  <si>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</si>
  <si>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</si>
  <si>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</si>
  <si>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</si>
  <si>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</si>
  <si>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</si>
  <si>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</si>
  <si>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</si>
  <si>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</si>
  <si>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</si>
  <si>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</si>
  <si>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</si>
  <si>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</si>
  <si>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</si>
  <si>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</si>
  <si>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</si>
  <si>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</si>
  <si>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</si>
  <si>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</si>
  <si>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</si>
  <si>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</si>
  <si>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</si>
  <si>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</si>
  <si>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</si>
  <si>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</si>
  <si>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</si>
  <si>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</si>
  <si>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</si>
  <si>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</si>
  <si>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</si>
  <si>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</si>
  <si>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</si>
  <si>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</si>
  <si>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</si>
  <si>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</si>
  <si>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</si>
  <si>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</si>
  <si>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</si>
  <si>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</si>
  <si>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</si>
  <si>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</si>
  <si>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Margarita Morales Freire</t>
  </si>
  <si>
    <t>Maquinaria Industrial Ltda.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</si>
  <si>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</si>
  <si>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</si>
  <si>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</si>
  <si>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</si>
  <si>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</si>
  <si>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</si>
  <si>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</si>
  <si>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</si>
  <si>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</si>
  <si>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Inversiones KPZ SpA</t>
  </si>
  <si>
    <t>MSTRONICS AUTOMATIZACION INDUSTRIAL</t>
  </si>
  <si>
    <t>Microtec S A</t>
  </si>
  <si>
    <t>Cleanova US, INC</t>
  </si>
  <si>
    <t>Luksic Zuanic Sociedad Anonima</t>
  </si>
  <si>
    <t>IMP. EXP Y COMERCIALIZADORA JOMAR</t>
  </si>
  <si>
    <t>OBTURADOR TX 313 SKF</t>
  </si>
  <si>
    <t>BODEGA</t>
  </si>
  <si>
    <t>Ferreteria Santiago SA.</t>
  </si>
  <si>
    <t>Comspain S.A</t>
  </si>
  <si>
    <t>Oschatz Power GmbH</t>
  </si>
  <si>
    <t>Soluciones y Representaciones tecni</t>
  </si>
  <si>
    <t>Disponibilidad Criticos (A)</t>
  </si>
  <si>
    <t>Disponibilidad Bodega</t>
  </si>
  <si>
    <t>Validación</t>
  </si>
  <si>
    <t>TODO IZAJE S.A</t>
  </si>
  <si>
    <t>Enrique Osses Espejo Y Compania Lim</t>
  </si>
  <si>
    <t>Wika Chile SPA</t>
  </si>
  <si>
    <t>Filtros Marticorena Sociedad Anonim</t>
  </si>
  <si>
    <t>1002653864</t>
  </si>
  <si>
    <t>1002654975</t>
  </si>
  <si>
    <t>1002653862</t>
  </si>
  <si>
    <t>1002653863</t>
  </si>
  <si>
    <t>1002654974</t>
  </si>
  <si>
    <t>1002653865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</si>
</sst>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514276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1.428856250001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1.428857523148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1.428858564817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1.428859953703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1.428854745369" backgroundQuery="1" createdVersion="3" refreshedVersion="8" minRefreshableVersion="3" recordCount="0" supportSubquery="1" supportAdvancedDrill="1" xr:uid="{8377D145-FBDC-4437-9100-FE828CD2ADA8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6511195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476">
      <pivotArea type="all" dataOnly="0" outline="0" fieldPosition="0"/>
    </format>
    <format dxfId="475">
      <pivotArea dataOnly="0" labelOnly="1" outline="0" axis="axisValues" fieldPosition="0"/>
    </format>
    <format dxfId="474">
      <pivotArea outline="0" collapsedLevelsAreSubtotals="1" fieldPosition="0"/>
    </format>
    <format dxfId="473">
      <pivotArea outline="0" collapsedLevelsAreSubtotals="1" fieldPosition="0"/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field="1" type="button" dataOnly="0" labelOnly="1" outline="0" axis="axisRow" fieldPosition="0"/>
    </format>
    <format dxfId="469">
      <pivotArea dataOnly="0" labelOnly="1" fieldPosition="0">
        <references count="1">
          <reference field="1" count="0"/>
        </references>
      </pivotArea>
    </format>
    <format dxfId="468">
      <pivotArea dataOnly="0" labelOnly="1" grandRow="1" outline="0" fieldPosition="0"/>
    </format>
    <format dxfId="4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4">
      <pivotArea outline="0" fieldPosition="0">
        <references count="1">
          <reference field="4294967294" count="1">
            <x v="0"/>
          </reference>
        </references>
      </pivotArea>
    </format>
    <format dxfId="463">
      <pivotArea dataOnly="0" labelOnly="1" fieldPosition="0">
        <references count="1">
          <reference field="1" count="1">
            <x v="0"/>
          </reference>
        </references>
      </pivotArea>
    </format>
    <format dxfId="462">
      <pivotArea dataOnly="0" labelOnly="1" fieldPosition="0">
        <references count="1">
          <reference field="1" count="1">
            <x v="1"/>
          </reference>
        </references>
      </pivotArea>
    </format>
    <format dxfId="461">
      <pivotArea dataOnly="0" labelOnly="1" fieldPosition="0">
        <references count="1">
          <reference field="1" count="1">
            <x v="3"/>
          </reference>
        </references>
      </pivotArea>
    </format>
    <format dxfId="460">
      <pivotArea dataOnly="0" labelOnly="1" fieldPosition="0">
        <references count="1">
          <reference field="1" count="1">
            <x v="2"/>
          </reference>
        </references>
      </pivotArea>
    </format>
    <format dxfId="45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45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457">
      <pivotArea field="1" type="button" dataOnly="0" labelOnly="1" outline="0" axis="axisRow" fieldPosition="0"/>
    </format>
    <format dxfId="4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5">
      <pivotArea outline="0" collapsedLevelsAreSubtotals="1" fieldPosition="0"/>
    </format>
    <format dxfId="4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1" type="button" dataOnly="0" labelOnly="1" outline="0" axis="axisRow" fieldPosition="0"/>
    </format>
    <format dxfId="449">
      <pivotArea dataOnly="0" labelOnly="1" fieldPosition="0">
        <references count="1">
          <reference field="1" count="0"/>
        </references>
      </pivotArea>
    </format>
    <format dxfId="448">
      <pivotArea dataOnly="0" labelOnly="1" grandRow="1" outline="0" fieldPosition="0"/>
    </format>
    <format dxfId="4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06">
      <pivotArea type="all" dataOnly="0" outline="0" fieldPosition="0"/>
    </format>
    <format dxfId="505">
      <pivotArea dataOnly="0" labelOnly="1" outline="0" axis="axisValues" fieldPosition="0"/>
    </format>
    <format dxfId="504">
      <pivotArea outline="0" collapsedLevelsAreSubtotals="1" fieldPosition="0"/>
    </format>
    <format dxfId="503">
      <pivotArea outline="0" collapsedLevelsAreSubtotals="1" fieldPosition="0"/>
    </format>
    <format dxfId="502">
      <pivotArea type="all" dataOnly="0" outline="0" fieldPosition="0"/>
    </format>
    <format dxfId="501">
      <pivotArea outline="0" collapsedLevelsAreSubtotals="1" fieldPosition="0"/>
    </format>
    <format dxfId="500">
      <pivotArea field="1" type="button" dataOnly="0" labelOnly="1" outline="0" axis="axisRow" fieldPosition="0"/>
    </format>
    <format dxfId="499">
      <pivotArea dataOnly="0" labelOnly="1" fieldPosition="0">
        <references count="1">
          <reference field="1" count="0"/>
        </references>
      </pivotArea>
    </format>
    <format dxfId="498">
      <pivotArea dataOnly="0" labelOnly="1" grandRow="1" outline="0" fieldPosition="0"/>
    </format>
    <format dxfId="4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4">
      <pivotArea outline="0" fieldPosition="0">
        <references count="1">
          <reference field="4294967294" count="1">
            <x v="0"/>
          </reference>
        </references>
      </pivotArea>
    </format>
    <format dxfId="493">
      <pivotArea dataOnly="0" labelOnly="1" fieldPosition="0">
        <references count="1">
          <reference field="1" count="1">
            <x v="0"/>
          </reference>
        </references>
      </pivotArea>
    </format>
    <format dxfId="492">
      <pivotArea dataOnly="0" labelOnly="1" fieldPosition="0">
        <references count="1">
          <reference field="1" count="1">
            <x v="1"/>
          </reference>
        </references>
      </pivotArea>
    </format>
    <format dxfId="491">
      <pivotArea dataOnly="0" labelOnly="1" fieldPosition="0">
        <references count="1">
          <reference field="1" count="1">
            <x v="3"/>
          </reference>
        </references>
      </pivotArea>
    </format>
    <format dxfId="490">
      <pivotArea dataOnly="0" labelOnly="1" fieldPosition="0">
        <references count="1">
          <reference field="1" count="1">
            <x v="2"/>
          </reference>
        </references>
      </pivotArea>
    </format>
    <format dxfId="48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48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487">
      <pivotArea field="1" type="button" dataOnly="0" labelOnly="1" outline="0" axis="axisRow" fieldPosition="0"/>
    </format>
    <format dxfId="4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5">
      <pivotArea outline="0" collapsedLevelsAreSubtotals="1" fieldPosition="0"/>
    </format>
    <format dxfId="4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2">
      <pivotArea type="all" dataOnly="0" outline="0" fieldPosition="0"/>
    </format>
    <format dxfId="481">
      <pivotArea outline="0" collapsedLevelsAreSubtotals="1" fieldPosition="0"/>
    </format>
    <format dxfId="480">
      <pivotArea field="1" type="button" dataOnly="0" labelOnly="1" outline="0" axis="axisRow" fieldPosition="0"/>
    </format>
    <format dxfId="479">
      <pivotArea dataOnly="0" labelOnly="1" fieldPosition="0">
        <references count="1">
          <reference field="1" count="0"/>
        </references>
      </pivotArea>
    </format>
    <format dxfId="478">
      <pivotArea dataOnly="0" labelOnly="1" grandRow="1" outline="0" fieldPosition="0"/>
    </format>
    <format dxfId="4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8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15">
      <pivotArea field="0" type="button" dataOnly="0" labelOnly="1" outline="0" axis="axisRow" fieldPosition="0"/>
    </format>
    <format dxfId="5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3">
      <pivotArea type="all" dataOnly="0" outline="0" fieldPosition="0"/>
    </format>
    <format dxfId="512">
      <pivotArea outline="0" collapsedLevelsAreSubtotals="1" fieldPosition="0"/>
    </format>
    <format dxfId="511">
      <pivotArea field="0" type="button" dataOnly="0" labelOnly="1" outline="0" axis="axisRow" fieldPosition="0"/>
    </format>
    <format dxfId="510">
      <pivotArea dataOnly="0" labelOnly="1" fieldPosition="0">
        <references count="1">
          <reference field="0" count="0"/>
        </references>
      </pivotArea>
    </format>
    <format dxfId="509">
      <pivotArea dataOnly="0" labelOnly="1" grandRow="1" outline="0" fieldPosition="0"/>
    </format>
    <format dxfId="5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21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28">
      <pivotArea type="all" dataOnly="0" outline="0" fieldPosition="0"/>
    </format>
    <format dxfId="527">
      <pivotArea outline="0" collapsedLevelsAreSubtotals="1" fieldPosition="0"/>
    </format>
    <format dxfId="526">
      <pivotArea field="0" type="button" dataOnly="0" labelOnly="1" outline="0"/>
    </format>
    <format dxfId="525">
      <pivotArea dataOnly="0" labelOnly="1" grandRow="1" outline="0" fieldPosition="0"/>
    </format>
    <format dxfId="5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dataOnly="0" labelOnly="1" outline="0" axis="axisValues" fieldPosition="0"/>
    </format>
    <format dxfId="520">
      <pivotArea type="all" dataOnly="0" outline="0" fieldPosition="0"/>
    </format>
    <format dxfId="519">
      <pivotArea dataOnly="0" labelOnly="1" outline="0" axis="axisValues" fieldPosition="0"/>
    </format>
    <format dxfId="518">
      <pivotArea outline="0" collapsedLevelsAreSubtotals="1" fieldPosition="0"/>
    </format>
    <format dxfId="517">
      <pivotArea outline="0" collapsedLevelsAreSubtotals="1" fieldPosition="0"/>
    </format>
    <format dxfId="516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765111953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5" tableType="queryTable" totalsRowShown="0" headerRowDxfId="446" dataDxfId="445">
  <autoFilter ref="B16:T1325" xr:uid="{00000000-000C-0000-FFFF-FFFF00000000}"/>
  <tableColumns count="19">
    <tableColumn id="1" xr3:uid="{00000000-0010-0000-0000-000001000000}" uniqueName="1" name="Material" queryTableFieldId="1" dataDxfId="16"/>
    <tableColumn id="2" xr3:uid="{00000000-0010-0000-0000-000002000000}" uniqueName="2" name="Texto breve de material" queryTableFieldId="2" dataDxfId="15"/>
    <tableColumn id="3" xr3:uid="{00000000-0010-0000-0000-000003000000}" uniqueName="3" name="Centro" queryTableFieldId="16" dataDxfId="14"/>
    <tableColumn id="14" xr3:uid="{00000000-0010-0000-0000-00000E000000}" uniqueName="14" name="Area" queryTableFieldId="60" dataDxfId="13"/>
    <tableColumn id="18" xr3:uid="{00000000-0010-0000-0000-000012000000}" uniqueName="18" name="Criticidad" queryTableFieldId="61" dataDxfId="12"/>
    <tableColumn id="4" xr3:uid="{00000000-0010-0000-0000-000004000000}" uniqueName="4" name="Stock Seguridad" queryTableFieldId="4" dataDxfId="11"/>
    <tableColumn id="5" xr3:uid="{00000000-0010-0000-0000-000005000000}" uniqueName="5" name="Cantidad de Compra" queryTableFieldId="5" dataDxfId="10"/>
    <tableColumn id="6" xr3:uid="{00000000-0010-0000-0000-000006000000}" uniqueName="6" name="Stock" queryTableFieldId="6" dataDxfId="9"/>
    <tableColumn id="7" xr3:uid="{00000000-0010-0000-0000-000007000000}" uniqueName="7" name="UMB" queryTableFieldId="7" dataDxfId="8"/>
    <tableColumn id="8" xr3:uid="{00000000-0010-0000-0000-000008000000}" uniqueName="8" name="Condicion Stock" queryTableFieldId="8" dataDxfId="7"/>
    <tableColumn id="20" xr3:uid="{40652814-20EE-428C-90F1-1945E00F9E29}" uniqueName="20" name="Solped" queryTableFieldId="88" dataDxfId="6"/>
    <tableColumn id="13" xr3:uid="{00000000-0010-0000-0000-00000D000000}" uniqueName="13" name="Cantidad Solped" queryTableFieldId="66" dataDxfId="5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4"/>
    <tableColumn id="11" xr3:uid="{00000000-0010-0000-0000-00000B000000}" uniqueName="11" name="Proveedor" queryTableFieldId="11" dataDxfId="3"/>
    <tableColumn id="15" xr3:uid="{00000000-0010-0000-0000-00000F000000}" uniqueName="15" name="Fecha de entrega" queryTableFieldId="30" dataDxfId="2"/>
    <tableColumn id="19" xr3:uid="{00000000-0010-0000-0000-000013000000}" uniqueName="19" name="Usuario" queryTableFieldId="71" dataDxfId="444"/>
    <tableColumn id="9" xr3:uid="{00000000-0010-0000-0000-000009000000}" uniqueName="9" name="Observación" queryTableFieldId="47" dataDxfId="1"/>
    <tableColumn id="10" xr3:uid="{00000000-0010-0000-0000-00000A000000}" uniqueName="10" name="Grupo de compras" queryTableFieldId="64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3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3"/>
  <sheetViews>
    <sheetView showGridLines="0" tabSelected="1" zoomScale="55" zoomScaleNormal="55" workbookViewId="0">
      <selection activeCell="O31" sqref="O31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1.140625" style="1" customWidth="1"/>
    <col min="5" max="5" width="21.28515625" style="1" customWidth="1"/>
    <col min="6" max="6" width="15.85546875" style="4" customWidth="1"/>
    <col min="7" max="7" width="15.5703125" style="1" customWidth="1"/>
    <col min="8" max="8" width="9.710937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8.5703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hidden="1" customWidth="1"/>
    <col min="17" max="17" width="19.85546875" style="21" hidden="1" customWidth="1"/>
    <col min="18" max="18" width="79.85546875" style="21" hidden="1" customWidth="1"/>
    <col min="19" max="19" width="90.140625" style="21" customWidth="1"/>
    <col min="20" max="20" width="22.42578125" style="21" customWidth="1"/>
    <col min="21" max="24" width="25" style="21" customWidth="1"/>
    <col min="25" max="25" width="11.85546875" style="21" customWidth="1"/>
    <col min="26" max="16384" width="11.5703125" style="1"/>
  </cols>
  <sheetData>
    <row r="1" spans="1:25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84" t="s">
        <v>64</v>
      </c>
      <c r="N1" s="78" t="s" vm="1">
        <v>1228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80" t="s">
        <v>6</v>
      </c>
      <c r="J2" s="76" t="s">
        <v>79</v>
      </c>
      <c r="K2" s="79" t="s">
        <v>80</v>
      </c>
      <c r="L2" s="56"/>
      <c r="M2" s="2" t="s">
        <v>1229</v>
      </c>
    </row>
    <row r="3" spans="1:25" s="2" customFormat="1" x14ac:dyDescent="0.25">
      <c r="A3"/>
      <c r="B3"/>
      <c r="C3"/>
      <c r="E3" s="25" t="s">
        <v>81</v>
      </c>
      <c r="F3" s="26">
        <v>917</v>
      </c>
      <c r="G3" s="27">
        <v>0.96292257360959654</v>
      </c>
      <c r="H3" s="1"/>
      <c r="I3" s="76" t="s">
        <v>14</v>
      </c>
      <c r="J3" s="77">
        <v>321</v>
      </c>
      <c r="K3" s="81">
        <v>4</v>
      </c>
      <c r="L3" s="56"/>
      <c r="M3" s="80" t="s">
        <v>6</v>
      </c>
      <c r="N3" s="76" t="s">
        <v>79</v>
      </c>
      <c r="O3" s="79" t="s">
        <v>80</v>
      </c>
      <c r="P3" s="78" t="s">
        <v>1230</v>
      </c>
    </row>
    <row r="4" spans="1:25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76" t="s">
        <v>7</v>
      </c>
      <c r="J4" s="82">
        <v>819</v>
      </c>
      <c r="K4" s="81">
        <v>7</v>
      </c>
      <c r="L4" s="56"/>
      <c r="M4" s="76" t="s">
        <v>14</v>
      </c>
      <c r="N4" s="77">
        <v>9</v>
      </c>
      <c r="O4" s="81"/>
      <c r="P4" s="77">
        <v>9</v>
      </c>
      <c r="Q4"/>
      <c r="R4"/>
      <c r="S4"/>
      <c r="T4"/>
      <c r="U4"/>
      <c r="V4"/>
      <c r="W4"/>
      <c r="X4"/>
      <c r="Y4"/>
    </row>
    <row r="5" spans="1:25" s="2" customFormat="1" x14ac:dyDescent="0.25">
      <c r="A5"/>
      <c r="B5"/>
      <c r="C5"/>
      <c r="E5" s="25" t="s">
        <v>90</v>
      </c>
      <c r="F5" s="26">
        <v>96</v>
      </c>
      <c r="G5" s="27">
        <v>0.97916666666666663</v>
      </c>
      <c r="H5" s="1"/>
      <c r="I5" s="76" t="s">
        <v>9</v>
      </c>
      <c r="J5" s="65">
        <v>116</v>
      </c>
      <c r="K5" s="81">
        <v>20</v>
      </c>
      <c r="L5" s="56"/>
      <c r="M5" s="76" t="s">
        <v>7</v>
      </c>
      <c r="N5" s="82">
        <v>74</v>
      </c>
      <c r="O5" s="81"/>
      <c r="P5" s="77">
        <v>74</v>
      </c>
      <c r="Q5"/>
      <c r="R5"/>
      <c r="S5"/>
      <c r="T5"/>
      <c r="U5"/>
      <c r="V5"/>
      <c r="W5"/>
      <c r="X5"/>
      <c r="Y5"/>
    </row>
    <row r="6" spans="1:25" s="2" customFormat="1" ht="18.75" x14ac:dyDescent="0.25">
      <c r="A6"/>
      <c r="B6"/>
      <c r="C6" s="28" t="s">
        <v>78</v>
      </c>
      <c r="E6" s="25" t="s">
        <v>1649</v>
      </c>
      <c r="F6" s="26">
        <v>83</v>
      </c>
      <c r="G6" s="27">
        <v>0.97590361445783136</v>
      </c>
      <c r="H6" s="1"/>
      <c r="I6" s="76" t="s">
        <v>13</v>
      </c>
      <c r="J6" s="82">
        <v>53</v>
      </c>
      <c r="K6" s="81">
        <v>13</v>
      </c>
      <c r="L6" s="56"/>
      <c r="M6" s="76" t="s">
        <v>9</v>
      </c>
      <c r="N6" s="65">
        <v>18</v>
      </c>
      <c r="O6" s="81">
        <v>1</v>
      </c>
      <c r="P6" s="77">
        <v>18</v>
      </c>
      <c r="Q6"/>
      <c r="R6"/>
      <c r="S6"/>
      <c r="T6"/>
      <c r="U6"/>
      <c r="V6"/>
      <c r="W6"/>
      <c r="X6"/>
      <c r="Y6"/>
    </row>
    <row r="7" spans="1:25" s="2" customFormat="1" ht="21" x14ac:dyDescent="0.25">
      <c r="A7"/>
      <c r="B7"/>
      <c r="C7" s="58">
        <v>0.95951107715813599</v>
      </c>
      <c r="E7" s="25" t="s">
        <v>121</v>
      </c>
      <c r="F7" s="26">
        <v>35</v>
      </c>
      <c r="G7" s="27">
        <v>0.94285714285714284</v>
      </c>
      <c r="H7" s="1"/>
      <c r="I7" s="83" t="s">
        <v>77</v>
      </c>
      <c r="J7" s="82">
        <v>1309</v>
      </c>
      <c r="K7" s="81">
        <v>44</v>
      </c>
      <c r="L7" s="56"/>
      <c r="M7" s="76" t="s">
        <v>13</v>
      </c>
      <c r="N7" s="82">
        <v>13</v>
      </c>
      <c r="O7" s="81">
        <v>1</v>
      </c>
      <c r="P7" s="77">
        <v>13</v>
      </c>
      <c r="Q7"/>
      <c r="R7"/>
      <c r="S7"/>
      <c r="T7"/>
      <c r="U7"/>
      <c r="V7"/>
      <c r="W7"/>
      <c r="X7"/>
      <c r="Y7"/>
    </row>
    <row r="8" spans="1:25" s="2" customFormat="1" ht="18.75" x14ac:dyDescent="0.25">
      <c r="A8"/>
      <c r="B8"/>
      <c r="C8" s="63" t="s">
        <v>1655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83" t="s">
        <v>77</v>
      </c>
      <c r="N8" s="82">
        <v>114</v>
      </c>
      <c r="O8" s="81">
        <v>2</v>
      </c>
      <c r="P8" s="77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21" x14ac:dyDescent="0.25">
      <c r="A9"/>
      <c r="B9"/>
      <c r="C9" s="58">
        <f>(COUNTIFS(K$17:K$1048576,"Stock OK")+COUNTIFS(K$17:K$1048576,"Sobre Stock")) / COUNTA(K$17:K$1048576)</f>
        <v>0.87089381207028271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75" x14ac:dyDescent="0.25">
      <c r="A10"/>
      <c r="B10"/>
      <c r="C10" s="63" t="s">
        <v>1654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25">
      <c r="A11"/>
      <c r="B11"/>
      <c r="C11" s="58">
        <f>(COUNTIFS(F:F,"A",K:K,"Stock OK")+COUNTIFS(F:F,"A",K:K,"Sobre Stock"))/
COUNTIFS(F:F,"A",K:K,"&lt;&gt;")</f>
        <v>0.83003952569169959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9">
        <f>GETPIVOTDATA("[Measures].[Recuento de Material]",$I$2,"[data].[Condicion Stock]","[data].[Condicion Stock].&amp;[Sobre Stock]")/GETPIVOTDATA("[Measures].[Recuento de Material]",$I$2)</f>
        <v>0.24522536287242169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25">
      <c r="A14"/>
      <c r="B14"/>
      <c r="C14"/>
      <c r="E14" s="25" t="s">
        <v>77</v>
      </c>
      <c r="F14" s="26">
        <v>1309</v>
      </c>
      <c r="G14" s="54">
        <v>0.95951107715813599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2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105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25">
      <c r="B18" s="4">
        <v>20004808</v>
      </c>
      <c r="C18" s="1" t="s">
        <v>96</v>
      </c>
      <c r="D18" s="4" t="s">
        <v>89</v>
      </c>
      <c r="E18" s="3" t="s">
        <v>1649</v>
      </c>
      <c r="F18" s="3" t="s">
        <v>92</v>
      </c>
      <c r="G18" s="4">
        <v>60</v>
      </c>
      <c r="H18" s="4">
        <v>100</v>
      </c>
      <c r="I18" s="4">
        <v>212</v>
      </c>
      <c r="J18" s="4" t="s">
        <v>8</v>
      </c>
      <c r="K18" s="4" t="s">
        <v>14</v>
      </c>
      <c r="L18" s="11"/>
      <c r="M18" s="3"/>
      <c r="N18"/>
      <c r="O18" s="4"/>
      <c r="P18" s="1"/>
      <c r="Q18" s="22"/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2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150</v>
      </c>
      <c r="J19" s="4" t="s">
        <v>8</v>
      </c>
      <c r="K19" s="5" t="s">
        <v>7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/>
      <c r="V19" s="1"/>
      <c r="W19" s="1"/>
      <c r="X19" s="1"/>
      <c r="Y19" s="1"/>
    </row>
    <row r="20" spans="2:25" x14ac:dyDescent="0.25">
      <c r="B20" s="4">
        <v>20004847</v>
      </c>
      <c r="C20" s="1" t="s">
        <v>1342</v>
      </c>
      <c r="D20" s="4" t="s">
        <v>89</v>
      </c>
      <c r="E20" s="3"/>
      <c r="F20" s="3" t="s">
        <v>69</v>
      </c>
      <c r="G20" s="4">
        <v>5</v>
      </c>
      <c r="H20" s="4">
        <v>10</v>
      </c>
      <c r="I20" s="4">
        <v>4</v>
      </c>
      <c r="J20" s="4" t="s">
        <v>8</v>
      </c>
      <c r="K20" s="4" t="s">
        <v>9</v>
      </c>
      <c r="L20" s="11"/>
      <c r="M20" s="3"/>
      <c r="N20">
        <v>4502677592</v>
      </c>
      <c r="O20" s="4">
        <v>10</v>
      </c>
      <c r="P20" s="1" t="s">
        <v>1641</v>
      </c>
      <c r="Q20" s="22">
        <v>46181</v>
      </c>
      <c r="R20"/>
      <c r="S20" s="11"/>
      <c r="T20" s="4" t="s">
        <v>66</v>
      </c>
      <c r="U20" s="1"/>
      <c r="V20" s="1"/>
      <c r="W20" s="1"/>
      <c r="X20" s="1"/>
      <c r="Y20" s="1"/>
    </row>
    <row r="21" spans="2:25" x14ac:dyDescent="0.25">
      <c r="B21" s="4">
        <v>20004877</v>
      </c>
      <c r="C21" s="1" t="s">
        <v>1231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8</v>
      </c>
      <c r="J21" s="4" t="s">
        <v>23</v>
      </c>
      <c r="K21" s="4" t="s">
        <v>9</v>
      </c>
      <c r="L21" s="11">
        <v>1002631450</v>
      </c>
      <c r="M21" s="3">
        <v>25</v>
      </c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x14ac:dyDescent="0.25">
      <c r="B22" s="4">
        <v>20004885</v>
      </c>
      <c r="C22" s="1" t="s">
        <v>1232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2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14</v>
      </c>
      <c r="J23" s="4" t="s">
        <v>357</v>
      </c>
      <c r="K23" s="4" t="s">
        <v>7</v>
      </c>
      <c r="L23" s="11"/>
      <c r="M23" s="3"/>
      <c r="N23"/>
      <c r="O23" s="4"/>
      <c r="P23" s="1"/>
      <c r="Q23" s="22"/>
      <c r="R23" t="s">
        <v>95</v>
      </c>
      <c r="S23" s="11"/>
      <c r="T23" s="4" t="s">
        <v>71</v>
      </c>
      <c r="U23" s="1"/>
      <c r="V23" s="1"/>
      <c r="W23" s="1"/>
      <c r="X23" s="1"/>
      <c r="Y23" s="1"/>
    </row>
    <row r="24" spans="2:25" x14ac:dyDescent="0.25">
      <c r="B24" s="4">
        <v>20004886</v>
      </c>
      <c r="C24" s="1" t="s">
        <v>1233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x14ac:dyDescent="0.25">
      <c r="B25" s="4">
        <v>20004927</v>
      </c>
      <c r="C25" s="1" t="s">
        <v>1408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25">
      <c r="B26" s="4">
        <v>20004998</v>
      </c>
      <c r="C26" s="1" t="s">
        <v>1236</v>
      </c>
      <c r="D26" s="4" t="s">
        <v>89</v>
      </c>
      <c r="E26" s="3"/>
      <c r="F26" s="3" t="s">
        <v>69</v>
      </c>
      <c r="G26" s="4">
        <v>10</v>
      </c>
      <c r="H26" s="4">
        <v>20</v>
      </c>
      <c r="I26" s="4">
        <v>5</v>
      </c>
      <c r="J26" s="4" t="s">
        <v>23</v>
      </c>
      <c r="K26" s="5" t="s">
        <v>9</v>
      </c>
      <c r="L26" s="11">
        <v>1002648064</v>
      </c>
      <c r="M26" s="3">
        <v>20</v>
      </c>
      <c r="N26"/>
      <c r="O26" s="4"/>
      <c r="P26" s="1"/>
      <c r="Q26" s="22"/>
      <c r="R26"/>
      <c r="S26" s="11"/>
      <c r="T26" s="4" t="s">
        <v>68</v>
      </c>
      <c r="U26" s="1"/>
      <c r="V26" s="1"/>
      <c r="W26" s="1"/>
      <c r="X26" s="1"/>
      <c r="Y26" s="1"/>
    </row>
    <row r="27" spans="2:25" x14ac:dyDescent="0.25">
      <c r="B27" s="4">
        <v>20004931</v>
      </c>
      <c r="C27" s="1" t="s">
        <v>99</v>
      </c>
      <c r="D27" s="4" t="s">
        <v>89</v>
      </c>
      <c r="E27" s="3" t="s">
        <v>100</v>
      </c>
      <c r="F27" s="3" t="s">
        <v>92</v>
      </c>
      <c r="G27" s="4">
        <v>1001</v>
      </c>
      <c r="H27" s="4">
        <v>3000</v>
      </c>
      <c r="I27" s="4">
        <v>2000</v>
      </c>
      <c r="J27" s="4" t="s">
        <v>356</v>
      </c>
      <c r="K27" s="5" t="s">
        <v>7</v>
      </c>
      <c r="L27" s="11"/>
      <c r="M27" s="3"/>
      <c r="N27"/>
      <c r="O27" s="4"/>
      <c r="P27" s="1"/>
      <c r="Q27" s="22"/>
      <c r="R27" t="s">
        <v>101</v>
      </c>
      <c r="S27" s="11"/>
      <c r="T27" s="4" t="s">
        <v>68</v>
      </c>
      <c r="U27" s="1"/>
      <c r="V27" s="1"/>
      <c r="W27" s="1"/>
      <c r="X27" s="1"/>
      <c r="Y27" s="1"/>
    </row>
    <row r="28" spans="2:25" x14ac:dyDescent="0.25">
      <c r="B28" s="4">
        <v>20004932</v>
      </c>
      <c r="C28" s="1" t="s">
        <v>1234</v>
      </c>
      <c r="D28" s="4" t="s">
        <v>89</v>
      </c>
      <c r="E28" s="3"/>
      <c r="F28" s="3" t="s">
        <v>69</v>
      </c>
      <c r="G28" s="4">
        <v>250</v>
      </c>
      <c r="H28" s="4">
        <v>250</v>
      </c>
      <c r="I28" s="4">
        <v>750</v>
      </c>
      <c r="J28" s="4" t="s">
        <v>356</v>
      </c>
      <c r="K28" s="4" t="s">
        <v>14</v>
      </c>
      <c r="L28" s="11"/>
      <c r="M28" s="3"/>
      <c r="N28"/>
      <c r="O28" s="4"/>
      <c r="P28" s="1"/>
      <c r="Q28" s="22"/>
      <c r="R28"/>
      <c r="S28" s="11"/>
      <c r="T28" s="4" t="s">
        <v>68</v>
      </c>
      <c r="U28" s="1"/>
      <c r="V28" s="1"/>
      <c r="W28" s="1"/>
      <c r="X28" s="1"/>
      <c r="Y28" s="1"/>
    </row>
    <row r="29" spans="2:25" x14ac:dyDescent="0.25">
      <c r="B29" s="4">
        <v>20004936</v>
      </c>
      <c r="C29" s="1" t="s">
        <v>102</v>
      </c>
      <c r="D29" s="4" t="s">
        <v>89</v>
      </c>
      <c r="E29" s="3" t="s">
        <v>100</v>
      </c>
      <c r="F29" s="3" t="s">
        <v>92</v>
      </c>
      <c r="G29" s="4">
        <v>2</v>
      </c>
      <c r="H29" s="4">
        <v>3</v>
      </c>
      <c r="I29" s="4">
        <v>4</v>
      </c>
      <c r="J29" s="4" t="s">
        <v>24</v>
      </c>
      <c r="K29" s="5" t="s">
        <v>7</v>
      </c>
      <c r="L29" s="11"/>
      <c r="M29" s="3"/>
      <c r="N29"/>
      <c r="O29" s="4"/>
      <c r="P29" s="1"/>
      <c r="Q29" s="22"/>
      <c r="R29" t="s">
        <v>101</v>
      </c>
      <c r="S29" s="11"/>
      <c r="T29" s="4" t="s">
        <v>68</v>
      </c>
      <c r="U29" s="1"/>
      <c r="V29" s="1"/>
      <c r="W29" s="1"/>
      <c r="X29" s="1"/>
      <c r="Y29" s="1"/>
    </row>
    <row r="30" spans="2:25" x14ac:dyDescent="0.25">
      <c r="B30" s="4">
        <v>20004983</v>
      </c>
      <c r="C30" s="1" t="s">
        <v>103</v>
      </c>
      <c r="D30" s="4" t="s">
        <v>89</v>
      </c>
      <c r="E30" s="3" t="s">
        <v>100</v>
      </c>
      <c r="F30" s="3" t="s">
        <v>92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101</v>
      </c>
      <c r="S30" s="11"/>
      <c r="T30" s="4" t="s">
        <v>68</v>
      </c>
      <c r="U30" s="1"/>
      <c r="V30" s="1"/>
      <c r="W30" s="1"/>
      <c r="X30" s="1"/>
      <c r="Y30" s="1"/>
    </row>
    <row r="31" spans="2:25" x14ac:dyDescent="0.25">
      <c r="B31" s="4">
        <v>20004986</v>
      </c>
      <c r="C31" s="1" t="s">
        <v>1235</v>
      </c>
      <c r="D31" s="4" t="s">
        <v>89</v>
      </c>
      <c r="E31" s="3"/>
      <c r="F31" s="3" t="s">
        <v>69</v>
      </c>
      <c r="G31" s="4">
        <v>4</v>
      </c>
      <c r="H31" s="4">
        <v>4</v>
      </c>
      <c r="I31" s="4">
        <v>7</v>
      </c>
      <c r="J31" s="4" t="s">
        <v>8</v>
      </c>
      <c r="K31" s="5" t="s">
        <v>7</v>
      </c>
      <c r="L31" s="11"/>
      <c r="M31" s="3"/>
      <c r="N31"/>
      <c r="O31" s="4"/>
      <c r="P31" s="1"/>
      <c r="Q31" s="22"/>
      <c r="R31"/>
      <c r="S31" s="11"/>
      <c r="T31" s="4" t="s">
        <v>68</v>
      </c>
      <c r="U31" s="1"/>
      <c r="V31" s="1"/>
      <c r="W31" s="1"/>
      <c r="X31" s="1"/>
      <c r="Y31" s="1"/>
    </row>
    <row r="32" spans="2:25" x14ac:dyDescent="0.25">
      <c r="B32" s="4">
        <v>20005053</v>
      </c>
      <c r="C32" s="1" t="s">
        <v>104</v>
      </c>
      <c r="D32" s="4" t="s">
        <v>89</v>
      </c>
      <c r="E32" s="3" t="s">
        <v>100</v>
      </c>
      <c r="F32" s="3" t="s">
        <v>92</v>
      </c>
      <c r="G32" s="4">
        <v>80</v>
      </c>
      <c r="H32" s="4">
        <v>100</v>
      </c>
      <c r="I32" s="4">
        <v>126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 t="s">
        <v>101</v>
      </c>
      <c r="S32" s="11"/>
      <c r="T32" s="4" t="s">
        <v>68</v>
      </c>
      <c r="U32" s="1"/>
      <c r="V32" s="1"/>
      <c r="W32" s="1"/>
      <c r="X32" s="1"/>
      <c r="Y32" s="1"/>
    </row>
    <row r="33" spans="2:25" x14ac:dyDescent="0.25">
      <c r="B33" s="4">
        <v>20005001</v>
      </c>
      <c r="C33" s="1" t="s">
        <v>1270</v>
      </c>
      <c r="D33" s="4" t="s">
        <v>89</v>
      </c>
      <c r="E33" s="3"/>
      <c r="F33" s="3" t="s">
        <v>69</v>
      </c>
      <c r="G33" s="4">
        <v>300</v>
      </c>
      <c r="H33" s="4">
        <v>600</v>
      </c>
      <c r="I33" s="4">
        <v>725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25">
      <c r="B34" s="4">
        <v>20019900</v>
      </c>
      <c r="C34" s="1" t="s">
        <v>106</v>
      </c>
      <c r="D34" s="4" t="s">
        <v>89</v>
      </c>
      <c r="E34" s="3" t="s">
        <v>90</v>
      </c>
      <c r="F34" s="3" t="s">
        <v>92</v>
      </c>
      <c r="G34" s="4">
        <v>50</v>
      </c>
      <c r="H34" s="4">
        <v>30</v>
      </c>
      <c r="I34" s="4">
        <v>65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91</v>
      </c>
      <c r="S34" s="11"/>
      <c r="T34" s="4" t="s">
        <v>66</v>
      </c>
      <c r="U34" s="1"/>
      <c r="V34" s="1"/>
      <c r="W34" s="1"/>
      <c r="X34" s="1"/>
      <c r="Y34" s="1"/>
    </row>
    <row r="35" spans="2:25" x14ac:dyDescent="0.25">
      <c r="B35" s="4">
        <v>20005022</v>
      </c>
      <c r="C35" s="1" t="s">
        <v>1265</v>
      </c>
      <c r="D35" s="4" t="s">
        <v>89</v>
      </c>
      <c r="E35" s="3"/>
      <c r="F35" s="3" t="s">
        <v>69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25">
      <c r="B36" s="4">
        <v>20005239</v>
      </c>
      <c r="C36" s="1" t="s">
        <v>107</v>
      </c>
      <c r="D36" s="4" t="s">
        <v>89</v>
      </c>
      <c r="E36" s="3" t="s">
        <v>100</v>
      </c>
      <c r="F36" s="3" t="s">
        <v>92</v>
      </c>
      <c r="G36" s="4">
        <v>13</v>
      </c>
      <c r="H36" s="4">
        <v>20</v>
      </c>
      <c r="I36" s="4">
        <v>154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101</v>
      </c>
      <c r="S36" s="11"/>
      <c r="T36" s="4" t="s">
        <v>71</v>
      </c>
      <c r="U36" s="1"/>
      <c r="V36" s="1"/>
      <c r="W36" s="1"/>
      <c r="X36" s="1"/>
      <c r="Y36" s="1"/>
    </row>
    <row r="37" spans="2:25" x14ac:dyDescent="0.25">
      <c r="B37" s="4">
        <v>20019901</v>
      </c>
      <c r="C37" s="1" t="s">
        <v>108</v>
      </c>
      <c r="D37" s="4" t="s">
        <v>89</v>
      </c>
      <c r="E37" s="3" t="s">
        <v>90</v>
      </c>
      <c r="F37" s="3" t="s">
        <v>92</v>
      </c>
      <c r="G37" s="4">
        <v>50</v>
      </c>
      <c r="H37" s="4">
        <v>30</v>
      </c>
      <c r="I37" s="4">
        <v>74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91</v>
      </c>
      <c r="S37" s="11"/>
      <c r="T37" s="4" t="s">
        <v>66</v>
      </c>
      <c r="U37" s="1"/>
      <c r="V37" s="1"/>
      <c r="W37" s="1"/>
      <c r="X37" s="1"/>
      <c r="Y37" s="1"/>
    </row>
    <row r="38" spans="2:25" x14ac:dyDescent="0.25">
      <c r="B38" s="4">
        <v>20005070</v>
      </c>
      <c r="C38" s="1" t="s">
        <v>1452</v>
      </c>
      <c r="D38" s="4" t="s">
        <v>89</v>
      </c>
      <c r="E38" s="3"/>
      <c r="F38" s="3" t="s">
        <v>69</v>
      </c>
      <c r="G38" s="4">
        <v>5</v>
      </c>
      <c r="H38" s="4">
        <v>15</v>
      </c>
      <c r="I38" s="4">
        <v>19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68</v>
      </c>
      <c r="U38" s="1"/>
      <c r="V38" s="1"/>
      <c r="W38" s="1"/>
      <c r="X38" s="1"/>
      <c r="Y38" s="1"/>
    </row>
    <row r="39" spans="2:25" x14ac:dyDescent="0.25">
      <c r="B39" s="4">
        <v>20005074</v>
      </c>
      <c r="C39" s="1" t="s">
        <v>1237</v>
      </c>
      <c r="D39" s="4" t="s">
        <v>89</v>
      </c>
      <c r="E39" s="3"/>
      <c r="F39" s="3" t="s">
        <v>69</v>
      </c>
      <c r="G39" s="4">
        <v>100</v>
      </c>
      <c r="H39" s="4">
        <v>100</v>
      </c>
      <c r="I39" s="4">
        <v>200</v>
      </c>
      <c r="J39" s="4" t="s">
        <v>356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25">
      <c r="B40" s="4">
        <v>20005402</v>
      </c>
      <c r="C40" s="1" t="s">
        <v>109</v>
      </c>
      <c r="D40" s="4" t="s">
        <v>89</v>
      </c>
      <c r="E40" s="3" t="s">
        <v>90</v>
      </c>
      <c r="F40" s="3" t="s">
        <v>92</v>
      </c>
      <c r="G40" s="4">
        <v>2</v>
      </c>
      <c r="H40" s="4">
        <v>2</v>
      </c>
      <c r="I40" s="4">
        <v>3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91</v>
      </c>
      <c r="S40" s="11"/>
      <c r="T40" s="4" t="s">
        <v>66</v>
      </c>
      <c r="U40" s="1"/>
      <c r="V40" s="1"/>
      <c r="W40" s="1"/>
      <c r="X40" s="1"/>
      <c r="Y40" s="1"/>
    </row>
    <row r="41" spans="2:25" x14ac:dyDescent="0.25">
      <c r="B41" s="4">
        <v>20005083</v>
      </c>
      <c r="C41" s="1" t="s">
        <v>1238</v>
      </c>
      <c r="D41" s="4" t="s">
        <v>89</v>
      </c>
      <c r="E41" s="3"/>
      <c r="F41" s="3" t="s">
        <v>69</v>
      </c>
      <c r="G41" s="4">
        <v>50</v>
      </c>
      <c r="H41" s="4">
        <v>100</v>
      </c>
      <c r="I41" s="4">
        <v>100</v>
      </c>
      <c r="J41" s="4" t="s">
        <v>356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25">
      <c r="B42" s="4">
        <v>20005088</v>
      </c>
      <c r="C42" s="1" t="s">
        <v>1239</v>
      </c>
      <c r="D42" s="4" t="s">
        <v>89</v>
      </c>
      <c r="E42" s="3"/>
      <c r="F42" s="3" t="s">
        <v>69</v>
      </c>
      <c r="G42" s="4">
        <v>2</v>
      </c>
      <c r="H42" s="4">
        <v>2</v>
      </c>
      <c r="I42" s="4">
        <v>0</v>
      </c>
      <c r="J42" s="4" t="s">
        <v>8</v>
      </c>
      <c r="K42" s="4" t="s">
        <v>13</v>
      </c>
      <c r="L42" s="11"/>
      <c r="M42" s="3"/>
      <c r="N42">
        <v>4502656310</v>
      </c>
      <c r="O42" s="4">
        <v>54</v>
      </c>
      <c r="P42" s="1" t="s">
        <v>1574</v>
      </c>
      <c r="Q42" s="22">
        <v>46146</v>
      </c>
      <c r="R42"/>
      <c r="S42" s="11" t="s">
        <v>1591</v>
      </c>
      <c r="T42" s="4" t="s">
        <v>73</v>
      </c>
      <c r="U42" s="1"/>
      <c r="V42" s="1"/>
      <c r="W42" s="1"/>
      <c r="X42" s="1"/>
      <c r="Y42" s="1"/>
    </row>
    <row r="43" spans="2:25" x14ac:dyDescent="0.25">
      <c r="B43" s="4">
        <v>20019902</v>
      </c>
      <c r="C43" s="1" t="s">
        <v>110</v>
      </c>
      <c r="D43" s="4" t="s">
        <v>89</v>
      </c>
      <c r="E43" s="3" t="s">
        <v>90</v>
      </c>
      <c r="F43" s="3" t="s">
        <v>92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91</v>
      </c>
      <c r="S43" s="11"/>
      <c r="T43" s="4" t="s">
        <v>66</v>
      </c>
      <c r="U43" s="1"/>
      <c r="V43" s="1"/>
      <c r="W43" s="1"/>
      <c r="X43" s="1"/>
      <c r="Y43" s="1"/>
    </row>
    <row r="44" spans="2:25" x14ac:dyDescent="0.25">
      <c r="B44" s="4">
        <v>20005106</v>
      </c>
      <c r="C44" s="1" t="s">
        <v>1240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2</v>
      </c>
      <c r="J44" s="4" t="s">
        <v>1241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68</v>
      </c>
      <c r="U44" s="1"/>
      <c r="V44" s="1"/>
      <c r="W44" s="1"/>
      <c r="X44" s="1"/>
      <c r="Y44" s="1"/>
    </row>
    <row r="45" spans="2:25" x14ac:dyDescent="0.25">
      <c r="B45" s="4">
        <v>20005210</v>
      </c>
      <c r="C45" s="1" t="s">
        <v>1418</v>
      </c>
      <c r="D45" s="4" t="s">
        <v>89</v>
      </c>
      <c r="E45" s="3"/>
      <c r="F45" s="3" t="s">
        <v>69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68</v>
      </c>
      <c r="U45" s="1"/>
      <c r="V45" s="1"/>
      <c r="W45" s="1"/>
      <c r="X45" s="1"/>
      <c r="Y45" s="1"/>
    </row>
    <row r="46" spans="2:25" x14ac:dyDescent="0.25">
      <c r="B46" s="4">
        <v>20005414</v>
      </c>
      <c r="C46" s="1" t="s">
        <v>111</v>
      </c>
      <c r="D46" s="4" t="s">
        <v>89</v>
      </c>
      <c r="E46" s="3" t="s">
        <v>90</v>
      </c>
      <c r="F46" s="3" t="s">
        <v>92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112</v>
      </c>
      <c r="S46" s="11"/>
      <c r="T46" s="4" t="s">
        <v>66</v>
      </c>
      <c r="U46" s="1"/>
      <c r="V46" s="1"/>
      <c r="W46" s="1"/>
      <c r="X46" s="1"/>
      <c r="Y46" s="1"/>
    </row>
    <row r="47" spans="2:25" x14ac:dyDescent="0.25">
      <c r="B47" s="4">
        <v>20005221</v>
      </c>
      <c r="C47" s="1" t="s">
        <v>1436</v>
      </c>
      <c r="D47" s="4" t="s">
        <v>89</v>
      </c>
      <c r="E47" s="3"/>
      <c r="F47" s="3" t="s">
        <v>69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/>
      <c r="V47" s="1"/>
      <c r="W47" s="1"/>
      <c r="X47" s="1"/>
      <c r="Y47" s="1"/>
    </row>
    <row r="48" spans="2:25" x14ac:dyDescent="0.25">
      <c r="B48" s="4">
        <v>20005224</v>
      </c>
      <c r="C48" s="1" t="s">
        <v>1242</v>
      </c>
      <c r="D48" s="4" t="s">
        <v>89</v>
      </c>
      <c r="E48" s="3"/>
      <c r="F48" s="3" t="s">
        <v>69</v>
      </c>
      <c r="G48" s="4">
        <v>2</v>
      </c>
      <c r="H48" s="4">
        <v>2</v>
      </c>
      <c r="I48" s="4">
        <v>1</v>
      </c>
      <c r="J48" s="4" t="s">
        <v>8</v>
      </c>
      <c r="K48" s="4" t="s">
        <v>9</v>
      </c>
      <c r="L48" s="11">
        <v>1002637283</v>
      </c>
      <c r="M48" s="3">
        <v>2</v>
      </c>
      <c r="N48"/>
      <c r="O48" s="4"/>
      <c r="P48" s="1"/>
      <c r="Q48" s="22"/>
      <c r="R48"/>
      <c r="S48" s="11"/>
      <c r="T48" s="4" t="s">
        <v>68</v>
      </c>
      <c r="U48" s="1"/>
      <c r="V48" s="1"/>
      <c r="W48" s="1"/>
      <c r="X48" s="1"/>
      <c r="Y48" s="1"/>
    </row>
    <row r="49" spans="2:25" x14ac:dyDescent="0.25">
      <c r="B49" s="4">
        <v>20005460</v>
      </c>
      <c r="C49" s="1" t="s">
        <v>113</v>
      </c>
      <c r="D49" s="4" t="s">
        <v>89</v>
      </c>
      <c r="E49" s="3" t="s">
        <v>90</v>
      </c>
      <c r="F49" s="3" t="s">
        <v>92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112</v>
      </c>
      <c r="S49" s="11"/>
      <c r="T49" s="4" t="s">
        <v>66</v>
      </c>
      <c r="U49" s="1"/>
      <c r="V49" s="1"/>
      <c r="W49" s="1"/>
      <c r="X49" s="1"/>
      <c r="Y49" s="1"/>
    </row>
    <row r="50" spans="2:25" x14ac:dyDescent="0.25">
      <c r="B50" s="4">
        <v>20005235</v>
      </c>
      <c r="C50" s="1" t="s">
        <v>1243</v>
      </c>
      <c r="D50" s="4" t="s">
        <v>89</v>
      </c>
      <c r="E50" s="3"/>
      <c r="F50" s="3" t="s">
        <v>69</v>
      </c>
      <c r="G50" s="4">
        <v>5</v>
      </c>
      <c r="H50" s="4">
        <v>10</v>
      </c>
      <c r="I50" s="4">
        <v>8</v>
      </c>
      <c r="J50" s="4" t="s">
        <v>1244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68</v>
      </c>
      <c r="U50" s="1"/>
      <c r="V50" s="1"/>
      <c r="W50" s="1"/>
      <c r="X50" s="1"/>
      <c r="Y50" s="1"/>
    </row>
    <row r="51" spans="2:25" x14ac:dyDescent="0.25">
      <c r="B51" s="4">
        <v>20005464</v>
      </c>
      <c r="C51" s="1" t="s">
        <v>114</v>
      </c>
      <c r="D51" s="4" t="s">
        <v>89</v>
      </c>
      <c r="E51" s="3" t="s">
        <v>90</v>
      </c>
      <c r="F51" s="3" t="s">
        <v>92</v>
      </c>
      <c r="G51" s="4">
        <v>20</v>
      </c>
      <c r="H51" s="4">
        <v>20</v>
      </c>
      <c r="I51" s="4">
        <v>25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112</v>
      </c>
      <c r="S51" s="11"/>
      <c r="T51" s="4" t="s">
        <v>66</v>
      </c>
      <c r="U51" s="1"/>
      <c r="V51" s="1"/>
      <c r="W51" s="1"/>
      <c r="X51" s="1"/>
      <c r="Y51" s="1"/>
    </row>
    <row r="52" spans="2:25" ht="14.45" customHeight="1" x14ac:dyDescent="0.25">
      <c r="B52" s="4">
        <v>20005258</v>
      </c>
      <c r="C52" s="1" t="s">
        <v>1409</v>
      </c>
      <c r="D52" s="4" t="s">
        <v>89</v>
      </c>
      <c r="E52" s="3"/>
      <c r="F52" s="3" t="s">
        <v>69</v>
      </c>
      <c r="G52" s="4">
        <v>10</v>
      </c>
      <c r="H52" s="4">
        <v>20</v>
      </c>
      <c r="I52" s="4">
        <v>42</v>
      </c>
      <c r="J52" s="4" t="s">
        <v>8</v>
      </c>
      <c r="K52" s="4" t="s">
        <v>14</v>
      </c>
      <c r="L52" s="11"/>
      <c r="M52" s="3"/>
      <c r="N52"/>
      <c r="O52" s="4"/>
      <c r="P52" s="1"/>
      <c r="Q52" s="22"/>
      <c r="R52"/>
      <c r="S52" s="11"/>
      <c r="T52" s="4" t="s">
        <v>68</v>
      </c>
      <c r="U52" s="1"/>
      <c r="V52" s="1"/>
      <c r="W52" s="1"/>
      <c r="X52" s="1"/>
      <c r="Y52" s="1"/>
    </row>
    <row r="53" spans="2:25" ht="14.45" customHeight="1" x14ac:dyDescent="0.25">
      <c r="B53" s="4">
        <v>20005498</v>
      </c>
      <c r="C53" s="1" t="s">
        <v>115</v>
      </c>
      <c r="D53" s="4" t="s">
        <v>89</v>
      </c>
      <c r="E53" s="3" t="s">
        <v>90</v>
      </c>
      <c r="F53" s="3" t="s">
        <v>92</v>
      </c>
      <c r="G53" s="4">
        <v>25</v>
      </c>
      <c r="H53" s="4">
        <v>50</v>
      </c>
      <c r="I53" s="4">
        <v>39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112</v>
      </c>
      <c r="S53" s="11"/>
      <c r="T53" s="4" t="s">
        <v>66</v>
      </c>
      <c r="U53" s="1"/>
      <c r="V53" s="1"/>
      <c r="W53" s="1"/>
      <c r="X53" s="1"/>
      <c r="Y53" s="1"/>
    </row>
    <row r="54" spans="2:25" ht="14.45" customHeight="1" x14ac:dyDescent="0.25">
      <c r="B54" s="4">
        <v>20005259</v>
      </c>
      <c r="C54" s="1" t="s">
        <v>1245</v>
      </c>
      <c r="D54" s="4" t="s">
        <v>89</v>
      </c>
      <c r="E54" s="3"/>
      <c r="F54" s="3" t="s">
        <v>69</v>
      </c>
      <c r="G54" s="4">
        <v>2</v>
      </c>
      <c r="H54" s="4">
        <v>2</v>
      </c>
      <c r="I54" s="4">
        <v>6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68</v>
      </c>
      <c r="U54" s="1"/>
      <c r="V54" s="1"/>
      <c r="W54" s="1"/>
      <c r="X54" s="1"/>
      <c r="Y54" s="1"/>
    </row>
    <row r="55" spans="2:25" ht="14.45" customHeight="1" x14ac:dyDescent="0.25">
      <c r="B55" s="4">
        <v>20005298</v>
      </c>
      <c r="C55" s="1" t="s">
        <v>1246</v>
      </c>
      <c r="D55" s="4" t="s">
        <v>89</v>
      </c>
      <c r="E55" s="3"/>
      <c r="F55" s="3" t="s">
        <v>69</v>
      </c>
      <c r="G55" s="4">
        <v>2</v>
      </c>
      <c r="H55" s="4">
        <v>10</v>
      </c>
      <c r="I55" s="4">
        <v>16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45" customHeight="1" x14ac:dyDescent="0.25">
      <c r="B56" s="4">
        <v>20005877</v>
      </c>
      <c r="C56" s="1" t="s">
        <v>16</v>
      </c>
      <c r="D56" s="4" t="s">
        <v>89</v>
      </c>
      <c r="E56" s="3" t="s">
        <v>1649</v>
      </c>
      <c r="F56" s="3" t="s">
        <v>92</v>
      </c>
      <c r="G56" s="4">
        <v>72</v>
      </c>
      <c r="H56" s="4">
        <v>120</v>
      </c>
      <c r="I56" s="4">
        <v>145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 t="s">
        <v>116</v>
      </c>
      <c r="S56" s="11"/>
      <c r="T56" s="4" t="s">
        <v>70</v>
      </c>
      <c r="U56" s="1"/>
      <c r="V56" s="1"/>
      <c r="W56" s="1"/>
      <c r="X56" s="1"/>
      <c r="Y56" s="1"/>
    </row>
    <row r="57" spans="2:25" ht="14.45" customHeight="1" x14ac:dyDescent="0.25">
      <c r="B57" s="4">
        <v>20005318</v>
      </c>
      <c r="C57" s="1" t="s">
        <v>1453</v>
      </c>
      <c r="D57" s="4" t="s">
        <v>89</v>
      </c>
      <c r="E57" s="3"/>
      <c r="F57" s="3" t="s">
        <v>69</v>
      </c>
      <c r="G57" s="4">
        <v>5</v>
      </c>
      <c r="H57" s="4">
        <v>15</v>
      </c>
      <c r="I57" s="4">
        <v>30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/>
      <c r="V57" s="1"/>
      <c r="W57" s="1"/>
      <c r="X57" s="1"/>
      <c r="Y57" s="1"/>
    </row>
    <row r="58" spans="2:25" ht="14.45" customHeight="1" x14ac:dyDescent="0.25">
      <c r="B58" s="4">
        <v>20005324</v>
      </c>
      <c r="C58" s="1" t="s">
        <v>1247</v>
      </c>
      <c r="D58" s="4" t="s">
        <v>89</v>
      </c>
      <c r="E58" s="3"/>
      <c r="F58" s="3" t="s">
        <v>69</v>
      </c>
      <c r="G58" s="4">
        <v>3</v>
      </c>
      <c r="H58" s="4">
        <v>6</v>
      </c>
      <c r="I58" s="4">
        <v>4</v>
      </c>
      <c r="J58" s="4" t="s">
        <v>1244</v>
      </c>
      <c r="K58" s="4" t="s">
        <v>7</v>
      </c>
      <c r="L58" s="11"/>
      <c r="M58" s="3"/>
      <c r="N58"/>
      <c r="O58" s="4"/>
      <c r="P58" s="1"/>
      <c r="Q58" s="22"/>
      <c r="R58"/>
      <c r="S58" s="11"/>
      <c r="T58" s="4" t="s">
        <v>71</v>
      </c>
      <c r="U58" s="1"/>
      <c r="V58" s="1"/>
      <c r="W58" s="1"/>
      <c r="X58" s="1"/>
      <c r="Y58" s="1"/>
    </row>
    <row r="59" spans="2:25" ht="14.45" customHeight="1" x14ac:dyDescent="0.25">
      <c r="B59" s="4">
        <v>20005881</v>
      </c>
      <c r="C59" s="1" t="s">
        <v>117</v>
      </c>
      <c r="D59" s="4" t="s">
        <v>89</v>
      </c>
      <c r="E59" s="3" t="s">
        <v>118</v>
      </c>
      <c r="F59" s="3" t="s">
        <v>92</v>
      </c>
      <c r="G59" s="4">
        <v>15</v>
      </c>
      <c r="H59" s="4">
        <v>30</v>
      </c>
      <c r="I59" s="4">
        <v>13</v>
      </c>
      <c r="J59" s="4" t="s">
        <v>8</v>
      </c>
      <c r="K59" s="4" t="s">
        <v>9</v>
      </c>
      <c r="L59" s="11"/>
      <c r="M59" s="3"/>
      <c r="N59">
        <v>4502673375</v>
      </c>
      <c r="O59" s="4">
        <v>30</v>
      </c>
      <c r="P59" s="1" t="s">
        <v>22</v>
      </c>
      <c r="Q59" s="22">
        <v>46170</v>
      </c>
      <c r="R59" t="s">
        <v>119</v>
      </c>
      <c r="S59" s="11"/>
      <c r="T59" s="4" t="s">
        <v>68</v>
      </c>
      <c r="U59" s="1"/>
      <c r="V59" s="1"/>
      <c r="W59" s="1"/>
      <c r="X59" s="1"/>
      <c r="Y59" s="1"/>
    </row>
    <row r="60" spans="2:25" ht="14.45" customHeight="1" x14ac:dyDescent="0.25">
      <c r="B60" s="4">
        <v>20005325</v>
      </c>
      <c r="C60" s="1" t="s">
        <v>1248</v>
      </c>
      <c r="D60" s="4" t="s">
        <v>89</v>
      </c>
      <c r="E60" s="3"/>
      <c r="F60" s="3" t="s">
        <v>69</v>
      </c>
      <c r="G60" s="4">
        <v>5</v>
      </c>
      <c r="H60" s="4">
        <v>10</v>
      </c>
      <c r="I60" s="4">
        <v>3</v>
      </c>
      <c r="J60" s="4" t="s">
        <v>1244</v>
      </c>
      <c r="K60" s="4" t="s">
        <v>9</v>
      </c>
      <c r="L60" s="11"/>
      <c r="M60" s="3"/>
      <c r="N60">
        <v>4502676331</v>
      </c>
      <c r="O60" s="4">
        <v>10</v>
      </c>
      <c r="P60" s="1" t="s">
        <v>1631</v>
      </c>
      <c r="Q60" s="22">
        <v>46177</v>
      </c>
      <c r="R60"/>
      <c r="S60" s="11"/>
      <c r="T60" s="4" t="s">
        <v>71</v>
      </c>
      <c r="U60" s="1"/>
      <c r="V60" s="1"/>
      <c r="W60" s="1"/>
      <c r="X60" s="1"/>
      <c r="Y60" s="1"/>
    </row>
    <row r="61" spans="2:25" ht="14.45" customHeight="1" x14ac:dyDescent="0.25">
      <c r="B61" s="4">
        <v>20005329</v>
      </c>
      <c r="C61" s="1" t="s">
        <v>1249</v>
      </c>
      <c r="D61" s="4" t="s">
        <v>89</v>
      </c>
      <c r="E61" s="3"/>
      <c r="F61" s="3" t="s">
        <v>69</v>
      </c>
      <c r="G61" s="4">
        <v>2</v>
      </c>
      <c r="H61" s="4">
        <v>2</v>
      </c>
      <c r="I61" s="4">
        <v>24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  <c r="T61" s="4" t="s">
        <v>70</v>
      </c>
      <c r="U61" s="1"/>
      <c r="V61" s="1"/>
      <c r="W61" s="1"/>
      <c r="X61" s="1"/>
      <c r="Y61" s="1"/>
    </row>
    <row r="62" spans="2:25" ht="14.45" customHeight="1" x14ac:dyDescent="0.25">
      <c r="B62" s="4">
        <v>20005883</v>
      </c>
      <c r="C62" s="1" t="s">
        <v>120</v>
      </c>
      <c r="D62" s="4" t="s">
        <v>89</v>
      </c>
      <c r="E62" s="3" t="s">
        <v>118</v>
      </c>
      <c r="F62" s="3" t="s">
        <v>92</v>
      </c>
      <c r="G62" s="4">
        <v>80</v>
      </c>
      <c r="H62" s="4">
        <v>80</v>
      </c>
      <c r="I62" s="4">
        <v>97</v>
      </c>
      <c r="J62" s="4" t="s">
        <v>8</v>
      </c>
      <c r="K62" s="4" t="s">
        <v>7</v>
      </c>
      <c r="L62" s="11"/>
      <c r="M62" s="3"/>
      <c r="N62"/>
      <c r="O62" s="4"/>
      <c r="P62" s="1"/>
      <c r="Q62" s="22"/>
      <c r="R62" t="s">
        <v>119</v>
      </c>
      <c r="S62" s="11" t="s">
        <v>1592</v>
      </c>
      <c r="T62" s="4" t="s">
        <v>70</v>
      </c>
      <c r="U62" s="1"/>
      <c r="V62" s="1"/>
      <c r="W62" s="1"/>
      <c r="X62" s="1"/>
      <c r="Y62" s="1"/>
    </row>
    <row r="63" spans="2:25" ht="14.45" customHeight="1" x14ac:dyDescent="0.25">
      <c r="B63" s="4">
        <v>20005456</v>
      </c>
      <c r="C63" s="1" t="s">
        <v>360</v>
      </c>
      <c r="D63" s="4" t="s">
        <v>89</v>
      </c>
      <c r="E63" s="3"/>
      <c r="F63" s="3" t="s">
        <v>69</v>
      </c>
      <c r="G63" s="4">
        <v>25</v>
      </c>
      <c r="H63" s="4">
        <v>50</v>
      </c>
      <c r="I63" s="4">
        <v>46</v>
      </c>
      <c r="J63" s="4" t="s">
        <v>24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66</v>
      </c>
      <c r="U63" s="1"/>
      <c r="V63" s="1"/>
      <c r="W63" s="1"/>
      <c r="X63" s="1"/>
      <c r="Y63" s="1"/>
    </row>
    <row r="64" spans="2:25" ht="14.45" customHeight="1" x14ac:dyDescent="0.25">
      <c r="B64" s="4">
        <v>20005923</v>
      </c>
      <c r="C64" s="1" t="s">
        <v>1217</v>
      </c>
      <c r="D64" s="4" t="s">
        <v>89</v>
      </c>
      <c r="E64" s="3" t="s">
        <v>1649</v>
      </c>
      <c r="F64" s="3" t="s">
        <v>92</v>
      </c>
      <c r="G64" s="4">
        <v>20</v>
      </c>
      <c r="H64" s="4">
        <v>20</v>
      </c>
      <c r="I64" s="4">
        <v>20</v>
      </c>
      <c r="J64" s="4" t="s">
        <v>8</v>
      </c>
      <c r="K64" s="4" t="s">
        <v>7</v>
      </c>
      <c r="L64" s="11"/>
      <c r="M64" s="3"/>
      <c r="N64"/>
      <c r="O64" s="4"/>
      <c r="P64" s="1"/>
      <c r="Q64" s="22"/>
      <c r="R64" t="s">
        <v>116</v>
      </c>
      <c r="S64" s="11"/>
      <c r="T64" s="4" t="s">
        <v>70</v>
      </c>
      <c r="U64" s="1"/>
      <c r="V64" s="1"/>
      <c r="W64" s="1"/>
      <c r="X64" s="1"/>
      <c r="Y64" s="1"/>
    </row>
    <row r="65" spans="2:25" ht="14.45" customHeight="1" x14ac:dyDescent="0.25">
      <c r="B65" s="4">
        <v>20005485</v>
      </c>
      <c r="C65" s="1" t="s">
        <v>359</v>
      </c>
      <c r="D65" s="4" t="s">
        <v>89</v>
      </c>
      <c r="E65" s="3"/>
      <c r="F65" s="3" t="s">
        <v>69</v>
      </c>
      <c r="G65" s="4">
        <v>40</v>
      </c>
      <c r="H65" s="4">
        <v>20</v>
      </c>
      <c r="I65" s="4">
        <v>40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66</v>
      </c>
      <c r="U65" s="1"/>
      <c r="V65" s="1"/>
      <c r="W65" s="1"/>
      <c r="X65" s="1"/>
      <c r="Y65" s="1"/>
    </row>
    <row r="66" spans="2:25" ht="14.45" customHeight="1" x14ac:dyDescent="0.25">
      <c r="B66" s="4">
        <v>20005942</v>
      </c>
      <c r="C66" s="1" t="s">
        <v>1376</v>
      </c>
      <c r="D66" s="4" t="s">
        <v>89</v>
      </c>
      <c r="E66" s="3" t="s">
        <v>121</v>
      </c>
      <c r="F66" s="3" t="s">
        <v>92</v>
      </c>
      <c r="G66" s="4">
        <v>1</v>
      </c>
      <c r="H66" s="4">
        <v>1</v>
      </c>
      <c r="I66" s="4">
        <v>1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122</v>
      </c>
      <c r="S66" s="11"/>
      <c r="T66" s="4" t="s">
        <v>68</v>
      </c>
      <c r="U66" s="1"/>
      <c r="V66" s="1"/>
      <c r="W66" s="1"/>
      <c r="X66" s="1"/>
      <c r="Y66" s="1"/>
    </row>
    <row r="67" spans="2:25" ht="14.45" customHeight="1" x14ac:dyDescent="0.25">
      <c r="B67" s="4">
        <v>20005494</v>
      </c>
      <c r="C67" s="1" t="s">
        <v>361</v>
      </c>
      <c r="D67" s="4" t="s">
        <v>89</v>
      </c>
      <c r="E67" s="3"/>
      <c r="F67" s="3" t="s">
        <v>69</v>
      </c>
      <c r="G67" s="4">
        <v>25</v>
      </c>
      <c r="H67" s="4">
        <v>50</v>
      </c>
      <c r="I67" s="4">
        <v>28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66</v>
      </c>
      <c r="U67" s="1"/>
      <c r="V67" s="1"/>
      <c r="W67" s="1"/>
      <c r="X67" s="1"/>
      <c r="Y67" s="1"/>
    </row>
    <row r="68" spans="2:25" ht="14.45" customHeight="1" x14ac:dyDescent="0.25">
      <c r="B68" s="4">
        <v>20005496</v>
      </c>
      <c r="C68" s="1" t="s">
        <v>358</v>
      </c>
      <c r="D68" s="4" t="s">
        <v>89</v>
      </c>
      <c r="E68" s="3"/>
      <c r="F68" s="3" t="s">
        <v>69</v>
      </c>
      <c r="G68" s="4">
        <v>40</v>
      </c>
      <c r="H68" s="4">
        <v>100</v>
      </c>
      <c r="I68" s="4">
        <v>78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/>
      <c r="V68" s="1"/>
      <c r="W68" s="1"/>
      <c r="X68" s="1"/>
      <c r="Y68" s="1"/>
    </row>
    <row r="69" spans="2:25" ht="14.45" customHeight="1" x14ac:dyDescent="0.25">
      <c r="B69" s="4">
        <v>20005954</v>
      </c>
      <c r="C69" s="1" t="s">
        <v>1341</v>
      </c>
      <c r="D69" s="4" t="s">
        <v>89</v>
      </c>
      <c r="E69" s="3" t="s">
        <v>94</v>
      </c>
      <c r="F69" s="3" t="s">
        <v>92</v>
      </c>
      <c r="G69" s="4">
        <v>1166</v>
      </c>
      <c r="H69" s="4">
        <v>2300</v>
      </c>
      <c r="I69" s="4">
        <v>1400</v>
      </c>
      <c r="J69" s="4" t="s">
        <v>25</v>
      </c>
      <c r="K69" s="4" t="s">
        <v>7</v>
      </c>
      <c r="L69" s="11"/>
      <c r="M69" s="3"/>
      <c r="N69"/>
      <c r="O69" s="4"/>
      <c r="P69" s="1"/>
      <c r="Q69" s="22"/>
      <c r="R69" t="s">
        <v>95</v>
      </c>
      <c r="S69" s="11"/>
      <c r="T69" s="4" t="s">
        <v>71</v>
      </c>
      <c r="U69" s="1"/>
      <c r="V69" s="1"/>
      <c r="W69" s="1"/>
      <c r="X69" s="1"/>
      <c r="Y69" s="1"/>
    </row>
    <row r="70" spans="2:25" ht="14.45" customHeight="1" x14ac:dyDescent="0.25">
      <c r="B70" s="4">
        <v>20005497</v>
      </c>
      <c r="C70" s="1" t="s">
        <v>362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40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25">
      <c r="B71" s="4">
        <v>20005986</v>
      </c>
      <c r="C71" s="1" t="s">
        <v>123</v>
      </c>
      <c r="D71" s="4" t="s">
        <v>89</v>
      </c>
      <c r="E71" s="3" t="s">
        <v>118</v>
      </c>
      <c r="F71" s="3" t="s">
        <v>92</v>
      </c>
      <c r="G71" s="4">
        <v>10</v>
      </c>
      <c r="H71" s="4">
        <v>10</v>
      </c>
      <c r="I71" s="4">
        <v>12</v>
      </c>
      <c r="J71" s="4" t="s">
        <v>8</v>
      </c>
      <c r="K71" s="4" t="s">
        <v>7</v>
      </c>
      <c r="L71" s="11"/>
      <c r="M71" s="3"/>
      <c r="N71"/>
      <c r="O71" s="4"/>
      <c r="P71" s="1"/>
      <c r="Q71" s="22"/>
      <c r="R71" t="s">
        <v>119</v>
      </c>
      <c r="S71" s="11"/>
      <c r="T71" s="4" t="s">
        <v>70</v>
      </c>
      <c r="U71" s="1"/>
      <c r="V71" s="1"/>
      <c r="W71" s="1"/>
      <c r="X71" s="1"/>
      <c r="Y71" s="1"/>
    </row>
    <row r="72" spans="2:25" x14ac:dyDescent="0.25">
      <c r="B72" s="4">
        <v>20005513</v>
      </c>
      <c r="C72" s="1" t="s">
        <v>1426</v>
      </c>
      <c r="D72" s="4" t="s">
        <v>89</v>
      </c>
      <c r="E72" s="3"/>
      <c r="F72" s="3" t="s">
        <v>69</v>
      </c>
      <c r="G72" s="4">
        <v>10</v>
      </c>
      <c r="H72" s="4">
        <v>10</v>
      </c>
      <c r="I72" s="4">
        <v>15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/>
      <c r="V72" s="1"/>
      <c r="W72" s="1"/>
      <c r="X72" s="1"/>
      <c r="Y72" s="1"/>
    </row>
    <row r="73" spans="2:25" x14ac:dyDescent="0.25">
      <c r="B73" s="4">
        <v>20005575</v>
      </c>
      <c r="C73" s="1" t="s">
        <v>1438</v>
      </c>
      <c r="D73" s="4" t="s">
        <v>89</v>
      </c>
      <c r="E73" s="3"/>
      <c r="F73" s="3" t="s">
        <v>69</v>
      </c>
      <c r="G73" s="4">
        <v>4</v>
      </c>
      <c r="H73" s="4">
        <v>10</v>
      </c>
      <c r="I73" s="4">
        <v>10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68</v>
      </c>
      <c r="U73" s="1"/>
      <c r="V73" s="1"/>
      <c r="W73" s="1"/>
      <c r="X73" s="1"/>
      <c r="Y73" s="1"/>
    </row>
    <row r="74" spans="2:25" x14ac:dyDescent="0.25">
      <c r="B74" s="4">
        <v>20014660</v>
      </c>
      <c r="C74" s="1" t="s">
        <v>124</v>
      </c>
      <c r="D74" s="4" t="s">
        <v>89</v>
      </c>
      <c r="E74" s="3" t="s">
        <v>1649</v>
      </c>
      <c r="F74" s="3" t="s">
        <v>92</v>
      </c>
      <c r="G74" s="4">
        <v>14</v>
      </c>
      <c r="H74" s="4">
        <v>20</v>
      </c>
      <c r="I74" s="4">
        <v>0</v>
      </c>
      <c r="J74" s="4" t="s">
        <v>8</v>
      </c>
      <c r="K74" s="4" t="s">
        <v>13</v>
      </c>
      <c r="L74" s="11"/>
      <c r="M74" s="3"/>
      <c r="N74">
        <v>4502683210</v>
      </c>
      <c r="O74" s="4">
        <v>14</v>
      </c>
      <c r="P74" s="1" t="s">
        <v>1566</v>
      </c>
      <c r="Q74" s="22">
        <v>46195</v>
      </c>
      <c r="R74" t="s">
        <v>116</v>
      </c>
      <c r="S74" s="11"/>
      <c r="T74" s="4" t="s">
        <v>66</v>
      </c>
      <c r="U74" s="1"/>
      <c r="V74" s="1"/>
      <c r="W74" s="1"/>
      <c r="X74" s="1"/>
      <c r="Y74" s="1"/>
    </row>
    <row r="75" spans="2:25" x14ac:dyDescent="0.25">
      <c r="B75" s="4">
        <v>20005576</v>
      </c>
      <c r="C75" s="1" t="s">
        <v>1439</v>
      </c>
      <c r="D75" s="4" t="s">
        <v>89</v>
      </c>
      <c r="E75" s="3"/>
      <c r="F75" s="3" t="s">
        <v>69</v>
      </c>
      <c r="G75" s="4">
        <v>2</v>
      </c>
      <c r="H75" s="4">
        <v>4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66</v>
      </c>
      <c r="U75" s="1"/>
      <c r="V75" s="1"/>
      <c r="W75" s="1"/>
      <c r="X75" s="1"/>
      <c r="Y75" s="1"/>
    </row>
    <row r="76" spans="2:25" x14ac:dyDescent="0.25">
      <c r="B76" s="4">
        <v>20005577</v>
      </c>
      <c r="C76" s="1" t="s">
        <v>1440</v>
      </c>
      <c r="D76" s="4" t="s">
        <v>89</v>
      </c>
      <c r="E76" s="3"/>
      <c r="F76" s="3" t="s">
        <v>69</v>
      </c>
      <c r="G76" s="4">
        <v>3</v>
      </c>
      <c r="H76" s="4">
        <v>6</v>
      </c>
      <c r="I76" s="4">
        <v>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68</v>
      </c>
      <c r="U76" s="1"/>
      <c r="V76" s="1"/>
      <c r="W76" s="1"/>
      <c r="X76" s="1"/>
      <c r="Y76" s="1"/>
    </row>
    <row r="77" spans="2:25" x14ac:dyDescent="0.25">
      <c r="B77" s="4">
        <v>20006108</v>
      </c>
      <c r="C77" s="1" t="s">
        <v>125</v>
      </c>
      <c r="D77" s="4" t="s">
        <v>89</v>
      </c>
      <c r="E77" s="3" t="s">
        <v>1649</v>
      </c>
      <c r="F77" s="3" t="s">
        <v>92</v>
      </c>
      <c r="G77" s="4">
        <v>20</v>
      </c>
      <c r="H77" s="4">
        <v>30</v>
      </c>
      <c r="I77" s="4">
        <v>43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 t="s">
        <v>116</v>
      </c>
      <c r="S77" s="11"/>
      <c r="T77" s="4" t="s">
        <v>66</v>
      </c>
      <c r="U77" s="1"/>
      <c r="V77" s="1"/>
      <c r="W77" s="1"/>
      <c r="X77" s="1"/>
      <c r="Y77" s="1"/>
    </row>
    <row r="78" spans="2:25" x14ac:dyDescent="0.25">
      <c r="B78" s="4">
        <v>20005749</v>
      </c>
      <c r="C78" s="1" t="s">
        <v>1116</v>
      </c>
      <c r="D78" s="4" t="s">
        <v>89</v>
      </c>
      <c r="E78" s="3"/>
      <c r="F78" s="3" t="s">
        <v>69</v>
      </c>
      <c r="G78" s="4">
        <v>10</v>
      </c>
      <c r="H78" s="4">
        <v>50</v>
      </c>
      <c r="I78" s="4">
        <v>50</v>
      </c>
      <c r="J78" s="4" t="s">
        <v>24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66</v>
      </c>
      <c r="U78" s="1"/>
      <c r="V78" s="1"/>
      <c r="W78" s="1"/>
      <c r="X78" s="1"/>
      <c r="Y78" s="1"/>
    </row>
    <row r="79" spans="2:25" x14ac:dyDescent="0.25">
      <c r="B79" s="4">
        <v>20009103</v>
      </c>
      <c r="C79" s="1" t="s">
        <v>32</v>
      </c>
      <c r="D79" s="4" t="s">
        <v>89</v>
      </c>
      <c r="E79" s="3" t="s">
        <v>1649</v>
      </c>
      <c r="F79" s="3" t="s">
        <v>92</v>
      </c>
      <c r="G79" s="4">
        <v>80</v>
      </c>
      <c r="H79" s="4">
        <v>100</v>
      </c>
      <c r="I79" s="4">
        <v>122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116</v>
      </c>
      <c r="S79" s="11"/>
      <c r="T79" s="4" t="s">
        <v>66</v>
      </c>
      <c r="U79" s="1"/>
      <c r="V79" s="1"/>
      <c r="W79" s="1"/>
      <c r="X79" s="1"/>
      <c r="Y79" s="1"/>
    </row>
    <row r="80" spans="2:25" x14ac:dyDescent="0.25">
      <c r="B80" s="4">
        <v>20006109</v>
      </c>
      <c r="C80" s="1" t="s">
        <v>26</v>
      </c>
      <c r="D80" s="4" t="s">
        <v>89</v>
      </c>
      <c r="E80" s="3" t="s">
        <v>1649</v>
      </c>
      <c r="F80" s="3" t="s">
        <v>92</v>
      </c>
      <c r="G80" s="4">
        <v>24</v>
      </c>
      <c r="H80" s="4">
        <v>48</v>
      </c>
      <c r="I80" s="4">
        <v>44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116</v>
      </c>
      <c r="S80" s="11"/>
      <c r="T80" s="4" t="s">
        <v>66</v>
      </c>
      <c r="U80" s="1"/>
      <c r="V80" s="1"/>
      <c r="W80" s="1"/>
      <c r="X80" s="1"/>
      <c r="Y80" s="1"/>
    </row>
    <row r="81" spans="2:25" x14ac:dyDescent="0.25">
      <c r="B81" s="4">
        <v>20005899</v>
      </c>
      <c r="C81" s="1" t="s">
        <v>1457</v>
      </c>
      <c r="D81" s="4" t="s">
        <v>89</v>
      </c>
      <c r="E81" s="3"/>
      <c r="F81" s="3" t="s">
        <v>69</v>
      </c>
      <c r="G81" s="4">
        <v>5</v>
      </c>
      <c r="H81" s="4">
        <v>10</v>
      </c>
      <c r="I81" s="4">
        <v>10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70</v>
      </c>
      <c r="U81" s="1"/>
      <c r="V81" s="1"/>
      <c r="W81" s="1"/>
      <c r="X81" s="1"/>
      <c r="Y81" s="1"/>
    </row>
    <row r="82" spans="2:25" x14ac:dyDescent="0.25">
      <c r="B82" s="4">
        <v>20012260</v>
      </c>
      <c r="C82" s="1" t="s">
        <v>34</v>
      </c>
      <c r="D82" s="4" t="s">
        <v>89</v>
      </c>
      <c r="E82" s="3" t="s">
        <v>1649</v>
      </c>
      <c r="F82" s="3" t="s">
        <v>92</v>
      </c>
      <c r="G82" s="4">
        <v>25</v>
      </c>
      <c r="H82" s="4">
        <v>50</v>
      </c>
      <c r="I82" s="4">
        <v>48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66</v>
      </c>
      <c r="U82" s="1"/>
      <c r="V82" s="1"/>
      <c r="W82" s="1"/>
      <c r="X82" s="1"/>
      <c r="Y82" s="1"/>
    </row>
    <row r="83" spans="2:25" x14ac:dyDescent="0.25">
      <c r="B83" s="4">
        <v>20006114</v>
      </c>
      <c r="C83" s="1" t="s">
        <v>126</v>
      </c>
      <c r="D83" s="4" t="s">
        <v>89</v>
      </c>
      <c r="E83" s="3" t="s">
        <v>1649</v>
      </c>
      <c r="F83" s="3" t="s">
        <v>92</v>
      </c>
      <c r="G83" s="4">
        <v>6</v>
      </c>
      <c r="H83" s="4">
        <v>24</v>
      </c>
      <c r="I83" s="4">
        <v>15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116</v>
      </c>
      <c r="S83" s="11"/>
      <c r="T83" s="4" t="s">
        <v>68</v>
      </c>
      <c r="U83" s="1"/>
      <c r="V83" s="1"/>
      <c r="W83" s="1"/>
      <c r="X83" s="1"/>
      <c r="Y83" s="1"/>
    </row>
    <row r="84" spans="2:25" x14ac:dyDescent="0.25">
      <c r="B84" s="4">
        <v>20005974</v>
      </c>
      <c r="C84" s="1" t="s">
        <v>1267</v>
      </c>
      <c r="D84" s="4" t="s">
        <v>89</v>
      </c>
      <c r="E84" s="3"/>
      <c r="F84" s="3" t="s">
        <v>69</v>
      </c>
      <c r="G84" s="4">
        <v>5</v>
      </c>
      <c r="H84" s="4">
        <v>10</v>
      </c>
      <c r="I84" s="4">
        <v>8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68</v>
      </c>
      <c r="U84" s="1"/>
      <c r="V84" s="1"/>
      <c r="W84" s="1"/>
      <c r="X84" s="1"/>
      <c r="Y84" s="1"/>
    </row>
    <row r="85" spans="2:25" x14ac:dyDescent="0.25">
      <c r="B85" s="4">
        <v>20006120</v>
      </c>
      <c r="C85" s="1" t="s">
        <v>127</v>
      </c>
      <c r="D85" s="4" t="s">
        <v>89</v>
      </c>
      <c r="E85" s="3" t="s">
        <v>1649</v>
      </c>
      <c r="F85" s="3" t="s">
        <v>92</v>
      </c>
      <c r="G85" s="4">
        <v>72</v>
      </c>
      <c r="H85" s="4">
        <v>72</v>
      </c>
      <c r="I85" s="4">
        <v>86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68</v>
      </c>
      <c r="U85" s="1"/>
      <c r="V85" s="1"/>
      <c r="W85" s="1"/>
      <c r="X85" s="1"/>
      <c r="Y85" s="1"/>
    </row>
    <row r="86" spans="2:25" x14ac:dyDescent="0.25">
      <c r="B86" s="4">
        <v>20011841</v>
      </c>
      <c r="C86" s="1" t="s">
        <v>128</v>
      </c>
      <c r="D86" s="4" t="s">
        <v>89</v>
      </c>
      <c r="E86" s="3" t="s">
        <v>90</v>
      </c>
      <c r="F86" s="3" t="s">
        <v>92</v>
      </c>
      <c r="G86" s="4">
        <v>325</v>
      </c>
      <c r="H86" s="4">
        <v>378</v>
      </c>
      <c r="I86" s="4">
        <v>270</v>
      </c>
      <c r="J86" s="4" t="s">
        <v>24</v>
      </c>
      <c r="K86" s="4" t="s">
        <v>9</v>
      </c>
      <c r="L86" s="11">
        <v>1002637281</v>
      </c>
      <c r="M86" s="3">
        <v>378</v>
      </c>
      <c r="N86"/>
      <c r="O86" s="4"/>
      <c r="P86" s="1"/>
      <c r="Q86" s="22"/>
      <c r="R86" t="s">
        <v>91</v>
      </c>
      <c r="S86" s="11"/>
      <c r="T86" s="4" t="s">
        <v>73</v>
      </c>
      <c r="U86" s="1"/>
      <c r="V86" s="1"/>
      <c r="W86" s="1"/>
      <c r="X86" s="1"/>
      <c r="Y86" s="1"/>
    </row>
    <row r="87" spans="2:25" x14ac:dyDescent="0.25">
      <c r="B87" s="4">
        <v>20006144</v>
      </c>
      <c r="C87" s="1" t="s">
        <v>1218</v>
      </c>
      <c r="D87" s="4" t="s">
        <v>89</v>
      </c>
      <c r="E87" s="3" t="s">
        <v>90</v>
      </c>
      <c r="F87" s="3" t="s">
        <v>92</v>
      </c>
      <c r="G87" s="4">
        <v>96</v>
      </c>
      <c r="H87" s="4">
        <v>60</v>
      </c>
      <c r="I87" s="4">
        <v>108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91</v>
      </c>
      <c r="S87" s="11"/>
      <c r="T87" s="4" t="s">
        <v>67</v>
      </c>
      <c r="U87" s="1"/>
      <c r="V87" s="1"/>
      <c r="W87" s="1"/>
      <c r="X87" s="1"/>
      <c r="Y87" s="1"/>
    </row>
    <row r="88" spans="2:25" x14ac:dyDescent="0.25">
      <c r="B88" s="4">
        <v>20006145</v>
      </c>
      <c r="C88" s="1" t="s">
        <v>129</v>
      </c>
      <c r="D88" s="4" t="s">
        <v>89</v>
      </c>
      <c r="E88" s="3" t="s">
        <v>90</v>
      </c>
      <c r="F88" s="3" t="s">
        <v>92</v>
      </c>
      <c r="G88" s="4">
        <v>60</v>
      </c>
      <c r="H88" s="4">
        <v>60</v>
      </c>
      <c r="I88" s="4">
        <v>128</v>
      </c>
      <c r="J88" s="4" t="s">
        <v>8</v>
      </c>
      <c r="K88" s="4" t="s">
        <v>14</v>
      </c>
      <c r="L88" s="11"/>
      <c r="M88" s="3"/>
      <c r="N88"/>
      <c r="O88" s="4"/>
      <c r="P88" s="1"/>
      <c r="Q88" s="22"/>
      <c r="R88" t="s">
        <v>91</v>
      </c>
      <c r="S88" s="11"/>
      <c r="T88" s="4" t="s">
        <v>68</v>
      </c>
      <c r="U88" s="1"/>
      <c r="V88" s="1"/>
      <c r="W88" s="1"/>
      <c r="X88" s="1"/>
      <c r="Y88" s="1"/>
    </row>
    <row r="89" spans="2:25" x14ac:dyDescent="0.25">
      <c r="B89" s="4">
        <v>20006115</v>
      </c>
      <c r="C89" s="1" t="s">
        <v>1221</v>
      </c>
      <c r="D89" s="4" t="s">
        <v>89</v>
      </c>
      <c r="E89" s="3"/>
      <c r="F89" s="3" t="s">
        <v>105</v>
      </c>
      <c r="G89" s="4">
        <v>200</v>
      </c>
      <c r="H89" s="4">
        <v>400</v>
      </c>
      <c r="I89" s="4">
        <v>0</v>
      </c>
      <c r="J89" s="4" t="s">
        <v>24</v>
      </c>
      <c r="K89" s="4" t="s">
        <v>13</v>
      </c>
      <c r="L89" s="11"/>
      <c r="M89" s="3"/>
      <c r="N89">
        <v>4502677336</v>
      </c>
      <c r="O89" s="4">
        <v>600</v>
      </c>
      <c r="P89" s="1" t="s">
        <v>1642</v>
      </c>
      <c r="Q89" s="22">
        <v>46188</v>
      </c>
      <c r="R89"/>
      <c r="S89" s="11"/>
      <c r="T89" s="4" t="s">
        <v>68</v>
      </c>
      <c r="U89" s="1"/>
      <c r="V89" s="1"/>
      <c r="W89" s="1"/>
      <c r="X89" s="1"/>
      <c r="Y89" s="1"/>
    </row>
    <row r="90" spans="2:25" x14ac:dyDescent="0.25">
      <c r="B90" s="4">
        <v>20006153</v>
      </c>
      <c r="C90" s="1" t="s">
        <v>1220</v>
      </c>
      <c r="D90" s="4" t="s">
        <v>89</v>
      </c>
      <c r="E90" s="3" t="s">
        <v>1649</v>
      </c>
      <c r="F90" s="3" t="s">
        <v>92</v>
      </c>
      <c r="G90" s="4">
        <v>550</v>
      </c>
      <c r="H90" s="4">
        <v>900</v>
      </c>
      <c r="I90" s="4">
        <v>497</v>
      </c>
      <c r="J90" s="4" t="s">
        <v>24</v>
      </c>
      <c r="K90" s="4" t="s">
        <v>9</v>
      </c>
      <c r="L90" s="11">
        <v>1002644420</v>
      </c>
      <c r="M90" s="3">
        <v>1200</v>
      </c>
      <c r="N90"/>
      <c r="O90" s="4"/>
      <c r="P90" s="1"/>
      <c r="Q90" s="22"/>
      <c r="R90" t="s">
        <v>116</v>
      </c>
      <c r="S90" s="11"/>
      <c r="T90" s="4" t="s">
        <v>71</v>
      </c>
      <c r="U90" s="1"/>
      <c r="V90" s="1"/>
      <c r="W90" s="1"/>
      <c r="X90" s="1"/>
      <c r="Y90" s="1"/>
    </row>
    <row r="91" spans="2:25" x14ac:dyDescent="0.25">
      <c r="B91" s="4">
        <v>20006158</v>
      </c>
      <c r="C91" s="1" t="s">
        <v>130</v>
      </c>
      <c r="D91" s="4" t="s">
        <v>89</v>
      </c>
      <c r="E91" s="3" t="s">
        <v>1649</v>
      </c>
      <c r="F91" s="3" t="s">
        <v>92</v>
      </c>
      <c r="G91" s="4">
        <v>50</v>
      </c>
      <c r="H91" s="4">
        <v>50</v>
      </c>
      <c r="I91" s="4">
        <v>50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116</v>
      </c>
      <c r="S91" s="11"/>
      <c r="T91" s="4" t="s">
        <v>68</v>
      </c>
      <c r="U91" s="1"/>
      <c r="V91" s="1"/>
      <c r="W91" s="1"/>
      <c r="X91" s="1"/>
      <c r="Y91" s="1"/>
    </row>
    <row r="92" spans="2:25" x14ac:dyDescent="0.25">
      <c r="B92" s="4">
        <v>20006165</v>
      </c>
      <c r="C92" s="1" t="s">
        <v>131</v>
      </c>
      <c r="D92" s="4" t="s">
        <v>89</v>
      </c>
      <c r="E92" s="3" t="s">
        <v>132</v>
      </c>
      <c r="F92" s="3" t="s">
        <v>92</v>
      </c>
      <c r="G92" s="4">
        <v>400</v>
      </c>
      <c r="H92" s="4">
        <v>400</v>
      </c>
      <c r="I92" s="4">
        <v>900</v>
      </c>
      <c r="J92" s="4" t="s">
        <v>24</v>
      </c>
      <c r="K92" s="4" t="s">
        <v>14</v>
      </c>
      <c r="L92" s="11"/>
      <c r="M92" s="3"/>
      <c r="N92"/>
      <c r="O92" s="4"/>
      <c r="P92" s="1"/>
      <c r="Q92" s="22"/>
      <c r="R92" t="s">
        <v>133</v>
      </c>
      <c r="S92" s="11"/>
      <c r="T92" s="4" t="s">
        <v>68</v>
      </c>
      <c r="U92" s="1"/>
      <c r="V92" s="1"/>
      <c r="W92" s="1"/>
      <c r="X92" s="1"/>
      <c r="Y92" s="1"/>
    </row>
    <row r="93" spans="2:25" x14ac:dyDescent="0.25">
      <c r="B93" s="4">
        <v>20006156</v>
      </c>
      <c r="C93" s="1" t="s">
        <v>1437</v>
      </c>
      <c r="D93" s="4" t="s">
        <v>89</v>
      </c>
      <c r="E93" s="3"/>
      <c r="F93" s="3" t="s">
        <v>69</v>
      </c>
      <c r="G93" s="4">
        <v>10</v>
      </c>
      <c r="H93" s="4">
        <v>10</v>
      </c>
      <c r="I93" s="4">
        <v>26</v>
      </c>
      <c r="J93" s="4" t="s">
        <v>8</v>
      </c>
      <c r="K93" s="4" t="s">
        <v>14</v>
      </c>
      <c r="L93" s="11"/>
      <c r="M93" s="3"/>
      <c r="N93"/>
      <c r="O93" s="4"/>
      <c r="P93" s="1"/>
      <c r="Q93" s="22"/>
      <c r="R93"/>
      <c r="S93" s="11"/>
      <c r="T93" s="4" t="s">
        <v>71</v>
      </c>
      <c r="U93" s="1"/>
      <c r="V93" s="1"/>
      <c r="W93" s="1"/>
      <c r="X93" s="1"/>
      <c r="Y93" s="1"/>
    </row>
    <row r="94" spans="2:25" x14ac:dyDescent="0.25">
      <c r="B94" s="4">
        <v>20006551</v>
      </c>
      <c r="C94" s="1" t="s">
        <v>134</v>
      </c>
      <c r="D94" s="4" t="s">
        <v>89</v>
      </c>
      <c r="E94" s="3" t="s">
        <v>1649</v>
      </c>
      <c r="F94" s="3" t="s">
        <v>92</v>
      </c>
      <c r="G94" s="4">
        <v>80</v>
      </c>
      <c r="H94" s="4">
        <v>80</v>
      </c>
      <c r="I94" s="4">
        <v>96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116</v>
      </c>
      <c r="S94" s="11"/>
      <c r="T94" s="4" t="s">
        <v>66</v>
      </c>
      <c r="U94" s="1"/>
      <c r="V94" s="1"/>
      <c r="W94" s="1"/>
      <c r="X94" s="1"/>
      <c r="Y94" s="1"/>
    </row>
    <row r="95" spans="2:25" x14ac:dyDescent="0.25">
      <c r="B95" s="4">
        <v>20006694</v>
      </c>
      <c r="C95" s="1" t="s">
        <v>135</v>
      </c>
      <c r="D95" s="4" t="s">
        <v>89</v>
      </c>
      <c r="E95" s="3" t="s">
        <v>1649</v>
      </c>
      <c r="F95" s="3" t="s">
        <v>92</v>
      </c>
      <c r="G95" s="4">
        <v>150</v>
      </c>
      <c r="H95" s="4">
        <v>250</v>
      </c>
      <c r="I95" s="4">
        <v>287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s="4" t="s">
        <v>66</v>
      </c>
      <c r="U95" s="1"/>
      <c r="V95" s="1"/>
      <c r="W95" s="1"/>
      <c r="X95" s="1"/>
      <c r="Y95" s="1"/>
    </row>
    <row r="96" spans="2:25" x14ac:dyDescent="0.25">
      <c r="B96" s="4">
        <v>20006588</v>
      </c>
      <c r="C96" s="1" t="s">
        <v>1368</v>
      </c>
      <c r="D96" s="4" t="s">
        <v>89</v>
      </c>
      <c r="E96" s="3"/>
      <c r="F96" s="3" t="s">
        <v>69</v>
      </c>
      <c r="G96" s="4">
        <v>2</v>
      </c>
      <c r="H96" s="4">
        <v>2</v>
      </c>
      <c r="I96" s="4">
        <v>5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/>
      <c r="S96" s="11"/>
      <c r="T96" s="4" t="s">
        <v>66</v>
      </c>
      <c r="U96" s="1"/>
      <c r="V96" s="1"/>
      <c r="W96" s="1"/>
      <c r="X96" s="1"/>
      <c r="Y96" s="1"/>
    </row>
    <row r="97" spans="2:25" x14ac:dyDescent="0.25">
      <c r="B97" s="4">
        <v>20006647</v>
      </c>
      <c r="C97" s="1" t="s">
        <v>363</v>
      </c>
      <c r="D97" s="4" t="s">
        <v>89</v>
      </c>
      <c r="E97" s="3"/>
      <c r="F97" s="3" t="s">
        <v>69</v>
      </c>
      <c r="G97" s="4">
        <v>30</v>
      </c>
      <c r="H97" s="4">
        <v>50</v>
      </c>
      <c r="I97" s="4">
        <v>30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/>
      <c r="S97" s="11"/>
      <c r="T97" s="4" t="s">
        <v>66</v>
      </c>
      <c r="U97" s="1"/>
      <c r="V97" s="1"/>
      <c r="W97" s="1"/>
      <c r="X97" s="1"/>
      <c r="Y97" s="1"/>
    </row>
    <row r="98" spans="2:25" x14ac:dyDescent="0.25">
      <c r="B98" s="4">
        <v>20006695</v>
      </c>
      <c r="C98" s="1" t="s">
        <v>136</v>
      </c>
      <c r="D98" s="4" t="s">
        <v>89</v>
      </c>
      <c r="E98" s="3" t="s">
        <v>1649</v>
      </c>
      <c r="F98" s="3" t="s">
        <v>92</v>
      </c>
      <c r="G98" s="4">
        <v>150</v>
      </c>
      <c r="H98" s="4">
        <v>250</v>
      </c>
      <c r="I98" s="4">
        <v>168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116</v>
      </c>
      <c r="S98" s="11"/>
      <c r="T98" s="4" t="s">
        <v>66</v>
      </c>
      <c r="U98" s="1"/>
      <c r="V98" s="1"/>
      <c r="W98" s="1"/>
      <c r="X98" s="1"/>
      <c r="Y98" s="1"/>
    </row>
    <row r="99" spans="2:25" x14ac:dyDescent="0.25">
      <c r="B99" s="4">
        <v>20006648</v>
      </c>
      <c r="C99" s="1" t="s">
        <v>1328</v>
      </c>
      <c r="D99" s="4" t="s">
        <v>89</v>
      </c>
      <c r="E99" s="3"/>
      <c r="F99" s="3" t="s">
        <v>69</v>
      </c>
      <c r="G99" s="4">
        <v>20</v>
      </c>
      <c r="H99" s="4">
        <v>40</v>
      </c>
      <c r="I99" s="4">
        <v>37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66</v>
      </c>
      <c r="U99" s="1"/>
      <c r="V99" s="1"/>
      <c r="W99" s="1"/>
      <c r="X99" s="1"/>
      <c r="Y99" s="1"/>
    </row>
    <row r="100" spans="2:25" x14ac:dyDescent="0.25">
      <c r="B100" s="4">
        <v>20006952</v>
      </c>
      <c r="C100" s="1" t="s">
        <v>137</v>
      </c>
      <c r="D100" s="4" t="s">
        <v>89</v>
      </c>
      <c r="E100" s="3" t="s">
        <v>1649</v>
      </c>
      <c r="F100" s="3" t="s">
        <v>92</v>
      </c>
      <c r="G100" s="4">
        <v>4</v>
      </c>
      <c r="H100" s="4">
        <v>8</v>
      </c>
      <c r="I100" s="4">
        <v>12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116</v>
      </c>
      <c r="S100" s="11"/>
      <c r="T100" s="4" t="s">
        <v>66</v>
      </c>
      <c r="U100" s="1"/>
      <c r="V100" s="1"/>
      <c r="W100" s="1"/>
      <c r="X100" s="1"/>
      <c r="Y100" s="1"/>
    </row>
    <row r="101" spans="2:25" x14ac:dyDescent="0.25">
      <c r="B101" s="4">
        <v>20006650</v>
      </c>
      <c r="C101" s="1" t="s">
        <v>1225</v>
      </c>
      <c r="D101" s="4" t="s">
        <v>89</v>
      </c>
      <c r="E101" s="3"/>
      <c r="F101" s="3" t="s">
        <v>69</v>
      </c>
      <c r="G101" s="4">
        <v>30</v>
      </c>
      <c r="H101" s="4">
        <v>40</v>
      </c>
      <c r="I101" s="4">
        <v>69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66</v>
      </c>
      <c r="U101" s="1"/>
      <c r="V101" s="1"/>
      <c r="W101" s="1"/>
      <c r="X101" s="1"/>
      <c r="Y101" s="1"/>
    </row>
    <row r="102" spans="2:25" x14ac:dyDescent="0.25">
      <c r="B102" s="4">
        <v>20007185</v>
      </c>
      <c r="C102" s="1" t="s">
        <v>138</v>
      </c>
      <c r="D102" s="4" t="s">
        <v>89</v>
      </c>
      <c r="E102" s="3" t="s">
        <v>90</v>
      </c>
      <c r="F102" s="3" t="s">
        <v>92</v>
      </c>
      <c r="G102" s="4">
        <v>30</v>
      </c>
      <c r="H102" s="4">
        <v>10</v>
      </c>
      <c r="I102" s="4">
        <v>36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91</v>
      </c>
      <c r="S102" s="11"/>
      <c r="T102" s="4" t="s">
        <v>73</v>
      </c>
      <c r="U102" s="1"/>
      <c r="V102" s="1"/>
      <c r="W102" s="1"/>
      <c r="X102" s="1"/>
      <c r="Y102" s="1"/>
    </row>
    <row r="103" spans="2:25" x14ac:dyDescent="0.25">
      <c r="B103" s="4">
        <v>20007186</v>
      </c>
      <c r="C103" s="1" t="s">
        <v>139</v>
      </c>
      <c r="D103" s="4" t="s">
        <v>89</v>
      </c>
      <c r="E103" s="3" t="s">
        <v>90</v>
      </c>
      <c r="F103" s="3" t="s">
        <v>92</v>
      </c>
      <c r="G103" s="4">
        <v>20</v>
      </c>
      <c r="H103" s="4">
        <v>20</v>
      </c>
      <c r="I103" s="4">
        <v>33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73</v>
      </c>
      <c r="U103" s="1"/>
      <c r="V103" s="1"/>
      <c r="W103" s="1"/>
      <c r="X103" s="1"/>
      <c r="Y103" s="1"/>
    </row>
    <row r="104" spans="2:25" x14ac:dyDescent="0.25">
      <c r="B104" s="4">
        <v>20007008</v>
      </c>
      <c r="C104" s="1" t="s">
        <v>1065</v>
      </c>
      <c r="D104" s="4" t="s">
        <v>89</v>
      </c>
      <c r="E104" s="3"/>
      <c r="F104" s="3" t="s">
        <v>69</v>
      </c>
      <c r="G104" s="4">
        <v>8</v>
      </c>
      <c r="H104" s="4">
        <v>2</v>
      </c>
      <c r="I104" s="4">
        <v>8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s="4" t="s">
        <v>73</v>
      </c>
      <c r="U104" s="1"/>
      <c r="V104" s="1"/>
      <c r="W104" s="1"/>
      <c r="X104" s="1"/>
      <c r="Y104" s="1"/>
    </row>
    <row r="105" spans="2:25" x14ac:dyDescent="0.25">
      <c r="B105" s="4">
        <v>20007010</v>
      </c>
      <c r="C105" s="1" t="s">
        <v>1066</v>
      </c>
      <c r="D105" s="4" t="s">
        <v>89</v>
      </c>
      <c r="E105" s="3"/>
      <c r="F105" s="3" t="s">
        <v>69</v>
      </c>
      <c r="G105" s="4">
        <v>5</v>
      </c>
      <c r="H105" s="4">
        <v>5</v>
      </c>
      <c r="I105" s="4">
        <v>6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73</v>
      </c>
      <c r="U105" s="1"/>
      <c r="V105" s="1"/>
      <c r="W105" s="1"/>
      <c r="X105" s="1"/>
      <c r="Y105" s="1"/>
    </row>
    <row r="106" spans="2:25" x14ac:dyDescent="0.25">
      <c r="B106" s="4">
        <v>20007189</v>
      </c>
      <c r="C106" s="1" t="s">
        <v>140</v>
      </c>
      <c r="D106" s="4" t="s">
        <v>89</v>
      </c>
      <c r="E106" s="3" t="s">
        <v>90</v>
      </c>
      <c r="F106" s="3" t="s">
        <v>92</v>
      </c>
      <c r="G106" s="4">
        <v>8</v>
      </c>
      <c r="H106" s="4">
        <v>8</v>
      </c>
      <c r="I106" s="4">
        <v>11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/>
      <c r="V106" s="1"/>
      <c r="W106" s="1"/>
      <c r="X106" s="1"/>
      <c r="Y106" s="1"/>
    </row>
    <row r="107" spans="2:25" x14ac:dyDescent="0.25">
      <c r="B107" s="4">
        <v>20007011</v>
      </c>
      <c r="C107" s="1" t="s">
        <v>1067</v>
      </c>
      <c r="D107" s="4" t="s">
        <v>89</v>
      </c>
      <c r="E107" s="3"/>
      <c r="F107" s="3" t="s">
        <v>69</v>
      </c>
      <c r="G107" s="4">
        <v>8</v>
      </c>
      <c r="H107" s="4">
        <v>2</v>
      </c>
      <c r="I107" s="4">
        <v>9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/>
      <c r="V107" s="1"/>
      <c r="W107" s="1"/>
      <c r="X107" s="1"/>
      <c r="Y107" s="1"/>
    </row>
    <row r="108" spans="2:25" x14ac:dyDescent="0.25">
      <c r="B108" s="4">
        <v>20007143</v>
      </c>
      <c r="C108" s="1" t="s">
        <v>1551</v>
      </c>
      <c r="D108" s="4" t="s">
        <v>89</v>
      </c>
      <c r="E108" s="3"/>
      <c r="F108" s="3" t="s">
        <v>69</v>
      </c>
      <c r="G108" s="4">
        <v>1</v>
      </c>
      <c r="H108" s="4">
        <v>1</v>
      </c>
      <c r="I108" s="4">
        <v>2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70</v>
      </c>
      <c r="U108" s="1"/>
      <c r="V108" s="1"/>
      <c r="W108" s="1"/>
      <c r="X108" s="1"/>
      <c r="Y108" s="1"/>
    </row>
    <row r="109" spans="2:25" x14ac:dyDescent="0.25">
      <c r="B109" s="4">
        <v>20008355</v>
      </c>
      <c r="C109" s="1" t="s">
        <v>30</v>
      </c>
      <c r="D109" s="4" t="s">
        <v>89</v>
      </c>
      <c r="E109" s="3" t="s">
        <v>141</v>
      </c>
      <c r="F109" s="3" t="s">
        <v>92</v>
      </c>
      <c r="G109" s="4">
        <v>2000</v>
      </c>
      <c r="H109" s="4">
        <v>3000</v>
      </c>
      <c r="I109" s="4">
        <v>2300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142</v>
      </c>
      <c r="S109" s="11"/>
      <c r="T109" s="4" t="s">
        <v>67</v>
      </c>
      <c r="U109" s="1"/>
      <c r="V109" s="1"/>
      <c r="W109" s="1"/>
      <c r="X109" s="1"/>
      <c r="Y109" s="1"/>
    </row>
    <row r="110" spans="2:25" x14ac:dyDescent="0.25">
      <c r="B110" s="4">
        <v>20007164</v>
      </c>
      <c r="C110" s="1" t="s">
        <v>1109</v>
      </c>
      <c r="D110" s="4" t="s">
        <v>89</v>
      </c>
      <c r="E110" s="3"/>
      <c r="F110" s="3" t="s">
        <v>69</v>
      </c>
      <c r="G110" s="4">
        <v>80</v>
      </c>
      <c r="H110" s="4">
        <v>100</v>
      </c>
      <c r="I110" s="4">
        <v>107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74</v>
      </c>
      <c r="U110" s="1"/>
      <c r="V110" s="1"/>
      <c r="W110" s="1"/>
      <c r="X110" s="1"/>
      <c r="Y110" s="1"/>
    </row>
    <row r="111" spans="2:25" x14ac:dyDescent="0.25">
      <c r="B111" s="4">
        <v>20007184</v>
      </c>
      <c r="C111" s="1" t="s">
        <v>1458</v>
      </c>
      <c r="D111" s="4" t="s">
        <v>89</v>
      </c>
      <c r="E111" s="3"/>
      <c r="F111" s="3" t="s">
        <v>69</v>
      </c>
      <c r="G111" s="4">
        <v>5</v>
      </c>
      <c r="H111" s="4">
        <v>2</v>
      </c>
      <c r="I111" s="4">
        <v>5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73</v>
      </c>
      <c r="U111" s="1"/>
      <c r="V111" s="1"/>
      <c r="W111" s="1"/>
      <c r="X111" s="1"/>
      <c r="Y111" s="1"/>
    </row>
    <row r="112" spans="2:25" x14ac:dyDescent="0.25">
      <c r="B112" s="4">
        <v>20007190</v>
      </c>
      <c r="C112" s="1" t="s">
        <v>143</v>
      </c>
      <c r="D112" s="4" t="s">
        <v>89</v>
      </c>
      <c r="E112" s="3" t="s">
        <v>90</v>
      </c>
      <c r="F112" s="3" t="s">
        <v>92</v>
      </c>
      <c r="G112" s="4">
        <v>20</v>
      </c>
      <c r="H112" s="4">
        <v>20</v>
      </c>
      <c r="I112" s="4">
        <v>17</v>
      </c>
      <c r="J112" s="4" t="s">
        <v>8</v>
      </c>
      <c r="K112" s="4" t="s">
        <v>9</v>
      </c>
      <c r="L112" s="11" t="s">
        <v>1661</v>
      </c>
      <c r="M112" s="3">
        <v>20</v>
      </c>
      <c r="N112"/>
      <c r="O112" s="4"/>
      <c r="P112" s="1"/>
      <c r="Q112" s="22"/>
      <c r="R112" t="s">
        <v>91</v>
      </c>
      <c r="S112" s="11"/>
      <c r="T112" s="4" t="s">
        <v>73</v>
      </c>
      <c r="U112" s="1"/>
      <c r="V112" s="1"/>
      <c r="W112" s="1"/>
      <c r="X112" s="1"/>
      <c r="Y112" s="1"/>
    </row>
    <row r="113" spans="2:25" x14ac:dyDescent="0.25">
      <c r="B113" s="4">
        <v>20015134</v>
      </c>
      <c r="C113" s="1" t="s">
        <v>144</v>
      </c>
      <c r="D113" s="4" t="s">
        <v>89</v>
      </c>
      <c r="E113" s="3" t="s">
        <v>94</v>
      </c>
      <c r="F113" s="3" t="s">
        <v>92</v>
      </c>
      <c r="G113" s="4">
        <v>2001</v>
      </c>
      <c r="H113" s="4">
        <v>5000</v>
      </c>
      <c r="I113" s="4">
        <v>1955</v>
      </c>
      <c r="J113" s="4" t="s">
        <v>10</v>
      </c>
      <c r="K113" s="4" t="s">
        <v>9</v>
      </c>
      <c r="L113" s="11" t="s">
        <v>1662</v>
      </c>
      <c r="M113" s="3">
        <v>5000</v>
      </c>
      <c r="N113"/>
      <c r="O113" s="4"/>
      <c r="P113" s="1"/>
      <c r="Q113" s="22"/>
      <c r="R113" t="s">
        <v>95</v>
      </c>
      <c r="S113" s="11"/>
      <c r="T113" s="4" t="s">
        <v>71</v>
      </c>
      <c r="U113" s="1"/>
      <c r="V113" s="1"/>
      <c r="W113" s="1"/>
      <c r="X113" s="1"/>
      <c r="Y113" s="1"/>
    </row>
    <row r="114" spans="2:25" x14ac:dyDescent="0.25">
      <c r="B114" s="4">
        <v>20007214</v>
      </c>
      <c r="C114" s="1" t="s">
        <v>145</v>
      </c>
      <c r="D114" s="4" t="s">
        <v>89</v>
      </c>
      <c r="E114" s="3" t="s">
        <v>90</v>
      </c>
      <c r="F114" s="3" t="s">
        <v>92</v>
      </c>
      <c r="G114" s="4">
        <v>7</v>
      </c>
      <c r="H114" s="4">
        <v>14</v>
      </c>
      <c r="I114" s="4">
        <v>5</v>
      </c>
      <c r="J114" s="4" t="s">
        <v>8</v>
      </c>
      <c r="K114" s="4" t="s">
        <v>9</v>
      </c>
      <c r="L114" s="11" t="s">
        <v>1662</v>
      </c>
      <c r="M114" s="3">
        <v>14</v>
      </c>
      <c r="N114"/>
      <c r="O114" s="4"/>
      <c r="P114" s="1"/>
      <c r="Q114" s="22"/>
      <c r="R114" t="s">
        <v>91</v>
      </c>
      <c r="S114" s="11"/>
      <c r="T114" s="4" t="s">
        <v>71</v>
      </c>
      <c r="U114" s="1"/>
      <c r="V114" s="1"/>
      <c r="W114" s="1"/>
      <c r="X114" s="1"/>
      <c r="Y114" s="1"/>
    </row>
    <row r="115" spans="2:25" x14ac:dyDescent="0.25">
      <c r="B115" s="4">
        <v>20007187</v>
      </c>
      <c r="C115" s="1" t="s">
        <v>1068</v>
      </c>
      <c r="D115" s="4" t="s">
        <v>89</v>
      </c>
      <c r="E115" s="3"/>
      <c r="F115" s="3" t="s">
        <v>69</v>
      </c>
      <c r="G115" s="4">
        <v>25</v>
      </c>
      <c r="H115" s="4">
        <v>25</v>
      </c>
      <c r="I115" s="4">
        <v>44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s="4" t="s">
        <v>73</v>
      </c>
      <c r="U115" s="1"/>
      <c r="V115" s="1"/>
      <c r="W115" s="1"/>
      <c r="X115" s="1"/>
      <c r="Y115" s="1"/>
    </row>
    <row r="116" spans="2:25" x14ac:dyDescent="0.25">
      <c r="B116" s="4">
        <v>20007265</v>
      </c>
      <c r="C116" s="1" t="s">
        <v>146</v>
      </c>
      <c r="D116" s="4" t="s">
        <v>89</v>
      </c>
      <c r="E116" s="3" t="s">
        <v>90</v>
      </c>
      <c r="F116" s="3" t="s">
        <v>92</v>
      </c>
      <c r="G116" s="4">
        <v>15</v>
      </c>
      <c r="H116" s="4">
        <v>30</v>
      </c>
      <c r="I116" s="4">
        <v>38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91</v>
      </c>
      <c r="S116" s="11"/>
      <c r="T116" s="4" t="s">
        <v>71</v>
      </c>
      <c r="U116" s="1"/>
      <c r="V116" s="1"/>
      <c r="W116" s="1"/>
      <c r="X116" s="1"/>
      <c r="Y116" s="1"/>
    </row>
    <row r="117" spans="2:25" x14ac:dyDescent="0.25">
      <c r="B117" s="4">
        <v>20007282</v>
      </c>
      <c r="C117" s="1" t="s">
        <v>147</v>
      </c>
      <c r="D117" s="4" t="s">
        <v>89</v>
      </c>
      <c r="E117" s="3" t="s">
        <v>90</v>
      </c>
      <c r="F117" s="3" t="s">
        <v>92</v>
      </c>
      <c r="G117" s="4">
        <v>8</v>
      </c>
      <c r="H117" s="4">
        <v>16</v>
      </c>
      <c r="I117" s="4">
        <v>7</v>
      </c>
      <c r="J117" s="4" t="s">
        <v>8</v>
      </c>
      <c r="K117" s="4" t="s">
        <v>9</v>
      </c>
      <c r="L117" s="11">
        <v>1002644389</v>
      </c>
      <c r="M117" s="3">
        <v>16</v>
      </c>
      <c r="N117"/>
      <c r="O117" s="4"/>
      <c r="P117" s="1"/>
      <c r="Q117" s="22"/>
      <c r="R117" t="s">
        <v>91</v>
      </c>
      <c r="S117" s="11"/>
      <c r="T117" s="4" t="s">
        <v>71</v>
      </c>
      <c r="U117" s="1"/>
      <c r="V117" s="1"/>
      <c r="W117" s="1"/>
      <c r="X117" s="1"/>
      <c r="Y117" s="1"/>
    </row>
    <row r="118" spans="2:25" x14ac:dyDescent="0.25">
      <c r="B118" s="4">
        <v>20007191</v>
      </c>
      <c r="C118" s="1" t="s">
        <v>1222</v>
      </c>
      <c r="D118" s="4" t="s">
        <v>89</v>
      </c>
      <c r="E118" s="3"/>
      <c r="F118" s="3" t="s">
        <v>69</v>
      </c>
      <c r="G118" s="4">
        <v>8</v>
      </c>
      <c r="H118" s="4">
        <v>3</v>
      </c>
      <c r="I118" s="4">
        <v>11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s="4" t="s">
        <v>73</v>
      </c>
      <c r="U118" s="1"/>
      <c r="V118" s="1"/>
      <c r="W118" s="1"/>
      <c r="X118" s="1"/>
      <c r="Y118" s="1"/>
    </row>
    <row r="119" spans="2:25" x14ac:dyDescent="0.25">
      <c r="B119" s="4">
        <v>20007290</v>
      </c>
      <c r="C119" s="1" t="s">
        <v>148</v>
      </c>
      <c r="D119" s="4" t="s">
        <v>89</v>
      </c>
      <c r="E119" s="3" t="s">
        <v>90</v>
      </c>
      <c r="F119" s="3" t="s">
        <v>92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91</v>
      </c>
      <c r="S119" s="11"/>
      <c r="T119" s="4" t="s">
        <v>71</v>
      </c>
      <c r="U119" s="1"/>
      <c r="V119" s="1"/>
      <c r="W119" s="1"/>
      <c r="X119" s="1"/>
      <c r="Y119" s="1"/>
    </row>
    <row r="120" spans="2:25" x14ac:dyDescent="0.25">
      <c r="B120" s="4">
        <v>20007327</v>
      </c>
      <c r="C120" s="1" t="s">
        <v>1419</v>
      </c>
      <c r="D120" s="4" t="s">
        <v>89</v>
      </c>
      <c r="E120" s="3" t="s">
        <v>90</v>
      </c>
      <c r="F120" s="3" t="s">
        <v>92</v>
      </c>
      <c r="G120" s="4">
        <v>8</v>
      </c>
      <c r="H120" s="4">
        <v>6</v>
      </c>
      <c r="I120" s="4">
        <v>13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91</v>
      </c>
      <c r="S120" s="11" t="s">
        <v>1593</v>
      </c>
      <c r="T120" s="4" t="s">
        <v>71</v>
      </c>
      <c r="U120" s="1"/>
      <c r="V120" s="1"/>
      <c r="W120" s="1"/>
      <c r="X120" s="1"/>
      <c r="Y120" s="1"/>
    </row>
    <row r="121" spans="2:25" x14ac:dyDescent="0.25">
      <c r="B121" s="4">
        <v>20007435</v>
      </c>
      <c r="C121" s="1" t="s">
        <v>149</v>
      </c>
      <c r="D121" s="4" t="s">
        <v>89</v>
      </c>
      <c r="E121" s="3" t="s">
        <v>100</v>
      </c>
      <c r="F121" s="3" t="s">
        <v>92</v>
      </c>
      <c r="G121" s="4">
        <v>1</v>
      </c>
      <c r="H121" s="4">
        <v>1</v>
      </c>
      <c r="I121" s="4">
        <v>7</v>
      </c>
      <c r="J121" s="4" t="s">
        <v>8</v>
      </c>
      <c r="K121" s="4" t="s">
        <v>14</v>
      </c>
      <c r="L121" s="11"/>
      <c r="M121" s="3"/>
      <c r="N121"/>
      <c r="O121" s="4"/>
      <c r="P121" s="1"/>
      <c r="Q121" s="22"/>
      <c r="R121" t="s">
        <v>101</v>
      </c>
      <c r="S121" s="11"/>
      <c r="T121" s="4" t="s">
        <v>67</v>
      </c>
      <c r="U121" s="1"/>
      <c r="V121" s="1"/>
      <c r="W121" s="1"/>
      <c r="X121" s="1"/>
      <c r="Y121" s="1"/>
    </row>
    <row r="122" spans="2:25" x14ac:dyDescent="0.25">
      <c r="B122" s="4">
        <v>20007514</v>
      </c>
      <c r="C122" s="1" t="s">
        <v>150</v>
      </c>
      <c r="D122" s="4" t="s">
        <v>89</v>
      </c>
      <c r="E122" s="3" t="s">
        <v>121</v>
      </c>
      <c r="F122" s="3" t="s">
        <v>92</v>
      </c>
      <c r="G122" s="4">
        <v>2</v>
      </c>
      <c r="H122" s="4">
        <v>2</v>
      </c>
      <c r="I122" s="4">
        <v>13</v>
      </c>
      <c r="J122" s="4" t="s">
        <v>8</v>
      </c>
      <c r="K122" s="4" t="s">
        <v>14</v>
      </c>
      <c r="L122" s="70"/>
      <c r="M122" s="3"/>
      <c r="N122"/>
      <c r="O122" s="4"/>
      <c r="P122" s="1"/>
      <c r="Q122" s="22"/>
      <c r="R122" t="s">
        <v>151</v>
      </c>
      <c r="S122" s="11"/>
      <c r="T122" s="4" t="s">
        <v>67</v>
      </c>
      <c r="U122" s="1"/>
      <c r="V122" s="1"/>
      <c r="W122" s="1"/>
      <c r="X122" s="1"/>
      <c r="Y122" s="1"/>
    </row>
    <row r="123" spans="2:25" x14ac:dyDescent="0.25">
      <c r="B123" s="4">
        <v>20007531</v>
      </c>
      <c r="C123" s="1" t="s">
        <v>152</v>
      </c>
      <c r="D123" s="4" t="s">
        <v>89</v>
      </c>
      <c r="E123" s="3" t="s">
        <v>121</v>
      </c>
      <c r="F123" s="3" t="s">
        <v>92</v>
      </c>
      <c r="G123" s="4">
        <v>5</v>
      </c>
      <c r="H123" s="4">
        <v>8</v>
      </c>
      <c r="I123" s="4">
        <v>9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151</v>
      </c>
      <c r="S123" s="11"/>
      <c r="T123" s="4" t="s">
        <v>67</v>
      </c>
      <c r="U123" s="1"/>
      <c r="V123" s="1"/>
      <c r="W123" s="1"/>
      <c r="X123" s="1"/>
      <c r="Y123" s="1"/>
    </row>
    <row r="124" spans="2:25" x14ac:dyDescent="0.25">
      <c r="B124" s="4">
        <v>20007335</v>
      </c>
      <c r="C124" s="1" t="s">
        <v>1491</v>
      </c>
      <c r="D124" s="4" t="s">
        <v>89</v>
      </c>
      <c r="E124" s="3"/>
      <c r="F124" s="3" t="s">
        <v>69</v>
      </c>
      <c r="G124" s="4">
        <v>2</v>
      </c>
      <c r="H124" s="4">
        <v>2</v>
      </c>
      <c r="I124" s="4">
        <v>2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/>
      <c r="S124" s="11"/>
      <c r="T124" s="4" t="s">
        <v>73</v>
      </c>
      <c r="U124" s="1"/>
      <c r="V124" s="1"/>
      <c r="W124" s="1"/>
      <c r="X124" s="1"/>
      <c r="Y124" s="1"/>
    </row>
    <row r="125" spans="2:25" x14ac:dyDescent="0.25">
      <c r="B125" s="4">
        <v>20007548</v>
      </c>
      <c r="C125" s="1" t="s">
        <v>153</v>
      </c>
      <c r="D125" s="4" t="s">
        <v>89</v>
      </c>
      <c r="E125" s="3" t="s">
        <v>121</v>
      </c>
      <c r="F125" s="3" t="s">
        <v>92</v>
      </c>
      <c r="G125" s="4">
        <v>2</v>
      </c>
      <c r="H125" s="4">
        <v>2</v>
      </c>
      <c r="I125" s="4">
        <v>0</v>
      </c>
      <c r="J125" s="4" t="s">
        <v>8</v>
      </c>
      <c r="K125" s="4" t="s">
        <v>13</v>
      </c>
      <c r="L125" s="11" t="s">
        <v>1656</v>
      </c>
      <c r="M125" s="3"/>
      <c r="N125"/>
      <c r="O125" s="4"/>
      <c r="P125" s="1"/>
      <c r="Q125" s="22"/>
      <c r="R125" t="s">
        <v>151</v>
      </c>
      <c r="S125" s="11" t="s">
        <v>1594</v>
      </c>
      <c r="T125" s="4" t="s">
        <v>67</v>
      </c>
      <c r="U125" s="1"/>
      <c r="V125" s="1"/>
      <c r="W125" s="1"/>
      <c r="X125" s="1"/>
      <c r="Y125" s="1"/>
    </row>
    <row r="126" spans="2:25" x14ac:dyDescent="0.25">
      <c r="B126" s="4">
        <v>20007338</v>
      </c>
      <c r="C126" s="1" t="s">
        <v>1492</v>
      </c>
      <c r="D126" s="4" t="s">
        <v>89</v>
      </c>
      <c r="E126" s="3"/>
      <c r="F126" s="3" t="s">
        <v>69</v>
      </c>
      <c r="G126" s="4">
        <v>1</v>
      </c>
      <c r="H126" s="4">
        <v>2</v>
      </c>
      <c r="I126" s="4">
        <v>3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73</v>
      </c>
      <c r="U126" s="1"/>
      <c r="V126" s="1"/>
      <c r="W126" s="1"/>
      <c r="X126" s="1"/>
      <c r="Y126" s="1"/>
    </row>
    <row r="127" spans="2:25" x14ac:dyDescent="0.25">
      <c r="B127" s="4">
        <v>20007563</v>
      </c>
      <c r="C127" s="1" t="s">
        <v>27</v>
      </c>
      <c r="D127" s="4" t="s">
        <v>89</v>
      </c>
      <c r="E127" s="3" t="s">
        <v>1649</v>
      </c>
      <c r="F127" s="3" t="s">
        <v>92</v>
      </c>
      <c r="G127" s="4">
        <v>8</v>
      </c>
      <c r="H127" s="4">
        <v>12</v>
      </c>
      <c r="I127" s="4">
        <v>19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116</v>
      </c>
      <c r="S127" s="11"/>
      <c r="T127" s="4" t="s">
        <v>71</v>
      </c>
      <c r="U127" s="1"/>
      <c r="V127" s="1"/>
      <c r="W127" s="1"/>
      <c r="X127" s="1"/>
      <c r="Y127" s="1"/>
    </row>
    <row r="128" spans="2:25" x14ac:dyDescent="0.25">
      <c r="B128" s="4">
        <v>20007835</v>
      </c>
      <c r="C128" s="1" t="s">
        <v>154</v>
      </c>
      <c r="D128" s="4" t="s">
        <v>89</v>
      </c>
      <c r="E128" s="3" t="s">
        <v>121</v>
      </c>
      <c r="F128" s="3" t="s">
        <v>92</v>
      </c>
      <c r="G128" s="4">
        <v>20</v>
      </c>
      <c r="H128" s="4">
        <v>30</v>
      </c>
      <c r="I128" s="4">
        <v>47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151</v>
      </c>
      <c r="S128" s="11"/>
      <c r="T128" s="4" t="s">
        <v>67</v>
      </c>
      <c r="U128" s="1"/>
      <c r="V128" s="1"/>
      <c r="W128" s="1"/>
      <c r="X128" s="1"/>
      <c r="Y128" s="1"/>
    </row>
    <row r="129" spans="2:25" x14ac:dyDescent="0.25">
      <c r="B129" s="4">
        <v>20007926</v>
      </c>
      <c r="C129" s="1" t="s">
        <v>155</v>
      </c>
      <c r="D129" s="4" t="s">
        <v>89</v>
      </c>
      <c r="E129" s="3" t="s">
        <v>121</v>
      </c>
      <c r="F129" s="3" t="s">
        <v>92</v>
      </c>
      <c r="G129" s="4">
        <v>4</v>
      </c>
      <c r="H129" s="4">
        <v>7</v>
      </c>
      <c r="I129" s="4">
        <v>11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151</v>
      </c>
      <c r="S129" s="11"/>
      <c r="T129" s="4" t="s">
        <v>66</v>
      </c>
      <c r="U129" s="1"/>
      <c r="V129" s="1"/>
      <c r="W129" s="1"/>
      <c r="X129" s="1"/>
      <c r="Y129" s="1"/>
    </row>
    <row r="130" spans="2:25" x14ac:dyDescent="0.25">
      <c r="B130" s="4">
        <v>20007928</v>
      </c>
      <c r="C130" s="1" t="s">
        <v>1523</v>
      </c>
      <c r="D130" s="4" t="s">
        <v>89</v>
      </c>
      <c r="E130" s="3" t="s">
        <v>121</v>
      </c>
      <c r="F130" s="3" t="s">
        <v>92</v>
      </c>
      <c r="G130" s="4">
        <v>16</v>
      </c>
      <c r="H130" s="4">
        <v>32</v>
      </c>
      <c r="I130" s="4">
        <v>42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25">
      <c r="B131" s="4">
        <v>20008028</v>
      </c>
      <c r="C131" s="1" t="s">
        <v>156</v>
      </c>
      <c r="D131" s="4" t="s">
        <v>89</v>
      </c>
      <c r="E131" s="3" t="s">
        <v>121</v>
      </c>
      <c r="F131" s="3" t="s">
        <v>92</v>
      </c>
      <c r="G131" s="4">
        <v>4</v>
      </c>
      <c r="H131" s="4">
        <v>8</v>
      </c>
      <c r="I131" s="4">
        <v>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74</v>
      </c>
      <c r="U131" s="1"/>
      <c r="V131" s="1"/>
      <c r="W131" s="1"/>
      <c r="X131" s="1"/>
      <c r="Y131" s="1"/>
    </row>
    <row r="132" spans="2:25" x14ac:dyDescent="0.25">
      <c r="B132" s="4">
        <v>20008058</v>
      </c>
      <c r="C132" s="1" t="s">
        <v>28</v>
      </c>
      <c r="D132" s="4" t="s">
        <v>89</v>
      </c>
      <c r="E132" s="3" t="s">
        <v>1649</v>
      </c>
      <c r="F132" s="3" t="s">
        <v>92</v>
      </c>
      <c r="G132" s="4">
        <v>100</v>
      </c>
      <c r="H132" s="4">
        <v>200</v>
      </c>
      <c r="I132" s="4">
        <v>48</v>
      </c>
      <c r="J132" s="4" t="s">
        <v>8</v>
      </c>
      <c r="K132" s="4" t="s">
        <v>9</v>
      </c>
      <c r="L132" s="11">
        <v>1002648065</v>
      </c>
      <c r="M132" s="3">
        <v>200</v>
      </c>
      <c r="N132"/>
      <c r="O132" s="4"/>
      <c r="P132" s="1"/>
      <c r="Q132" s="22"/>
      <c r="R132" t="s">
        <v>116</v>
      </c>
      <c r="S132" s="11"/>
      <c r="T132" s="4" t="s">
        <v>71</v>
      </c>
      <c r="U132" s="1"/>
      <c r="V132" s="1"/>
      <c r="W132" s="1"/>
      <c r="X132" s="1"/>
      <c r="Y132" s="1"/>
    </row>
    <row r="133" spans="2:25" x14ac:dyDescent="0.25">
      <c r="B133" s="4">
        <v>20007652</v>
      </c>
      <c r="C133" s="1" t="s">
        <v>1279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60</v>
      </c>
      <c r="J133" s="4" t="s">
        <v>25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s="4" t="s">
        <v>67</v>
      </c>
      <c r="U133" s="1"/>
      <c r="V133" s="1"/>
      <c r="W133" s="1"/>
      <c r="X133" s="1"/>
      <c r="Y133" s="1"/>
    </row>
    <row r="134" spans="2:25" x14ac:dyDescent="0.25">
      <c r="B134" s="4">
        <v>20007660</v>
      </c>
      <c r="C134" s="1" t="s">
        <v>1280</v>
      </c>
      <c r="D134" s="4" t="s">
        <v>89</v>
      </c>
      <c r="E134" s="3"/>
      <c r="F134" s="3" t="s">
        <v>69</v>
      </c>
      <c r="G134" s="4">
        <v>50</v>
      </c>
      <c r="H134" s="4">
        <v>100</v>
      </c>
      <c r="I134" s="4">
        <v>100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67</v>
      </c>
      <c r="U134" s="1"/>
      <c r="V134" s="1"/>
      <c r="W134" s="1"/>
      <c r="X134" s="1"/>
      <c r="Y134" s="1"/>
    </row>
    <row r="135" spans="2:25" x14ac:dyDescent="0.25">
      <c r="B135" s="4">
        <v>20008069</v>
      </c>
      <c r="C135" s="1" t="s">
        <v>29</v>
      </c>
      <c r="D135" s="4" t="s">
        <v>89</v>
      </c>
      <c r="E135" s="3" t="s">
        <v>1649</v>
      </c>
      <c r="F135" s="3" t="s">
        <v>92</v>
      </c>
      <c r="G135" s="4">
        <v>150</v>
      </c>
      <c r="H135" s="4">
        <v>250</v>
      </c>
      <c r="I135" s="4">
        <v>165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116</v>
      </c>
      <c r="S135" s="11"/>
      <c r="T135" s="4" t="s">
        <v>71</v>
      </c>
      <c r="U135" s="1"/>
      <c r="V135" s="1"/>
      <c r="W135" s="1"/>
      <c r="X135" s="1"/>
      <c r="Y135" s="1"/>
    </row>
    <row r="136" spans="2:25" x14ac:dyDescent="0.25">
      <c r="B136" s="4">
        <v>20007824</v>
      </c>
      <c r="C136" s="1" t="s">
        <v>1497</v>
      </c>
      <c r="D136" s="4" t="s">
        <v>89</v>
      </c>
      <c r="E136" s="3"/>
      <c r="F136" s="3" t="s">
        <v>69</v>
      </c>
      <c r="G136" s="4">
        <v>3</v>
      </c>
      <c r="H136" s="4">
        <v>3</v>
      </c>
      <c r="I136" s="4">
        <v>10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/>
      <c r="V136" s="1"/>
      <c r="W136" s="1"/>
      <c r="X136" s="1"/>
      <c r="Y136" s="1"/>
    </row>
    <row r="137" spans="2:25" x14ac:dyDescent="0.25">
      <c r="B137" s="4">
        <v>20007855</v>
      </c>
      <c r="C137" s="1" t="s">
        <v>1524</v>
      </c>
      <c r="D137" s="4" t="s">
        <v>89</v>
      </c>
      <c r="E137" s="3"/>
      <c r="F137" s="3" t="s">
        <v>69</v>
      </c>
      <c r="G137" s="4">
        <v>4</v>
      </c>
      <c r="H137" s="4">
        <v>4</v>
      </c>
      <c r="I137" s="4">
        <v>2</v>
      </c>
      <c r="J137" s="4" t="s">
        <v>8</v>
      </c>
      <c r="K137" s="4" t="s">
        <v>9</v>
      </c>
      <c r="L137" s="11"/>
      <c r="M137" s="3"/>
      <c r="N137">
        <v>4502669999</v>
      </c>
      <c r="O137" s="4">
        <v>6</v>
      </c>
      <c r="P137" s="1" t="s">
        <v>1425</v>
      </c>
      <c r="Q137" s="22">
        <v>46181</v>
      </c>
      <c r="R137"/>
      <c r="S137" s="11"/>
      <c r="T137" s="4" t="s">
        <v>67</v>
      </c>
      <c r="U137" s="1"/>
      <c r="V137" s="1"/>
      <c r="W137" s="1"/>
      <c r="X137" s="1"/>
      <c r="Y137" s="1"/>
    </row>
    <row r="138" spans="2:25" x14ac:dyDescent="0.25">
      <c r="B138" s="4">
        <v>20008258</v>
      </c>
      <c r="C138" s="1" t="s">
        <v>157</v>
      </c>
      <c r="D138" s="4" t="s">
        <v>89</v>
      </c>
      <c r="E138" s="3" t="s">
        <v>121</v>
      </c>
      <c r="F138" s="3" t="s">
        <v>92</v>
      </c>
      <c r="G138" s="4">
        <v>8</v>
      </c>
      <c r="H138" s="4">
        <v>10</v>
      </c>
      <c r="I138" s="4">
        <v>7</v>
      </c>
      <c r="J138" s="4" t="s">
        <v>8</v>
      </c>
      <c r="K138" s="4" t="s">
        <v>9</v>
      </c>
      <c r="L138" s="11"/>
      <c r="M138" s="3"/>
      <c r="N138">
        <v>4502669999</v>
      </c>
      <c r="O138" s="4">
        <v>10</v>
      </c>
      <c r="P138" s="1" t="s">
        <v>1425</v>
      </c>
      <c r="Q138" s="22">
        <v>46181</v>
      </c>
      <c r="R138" t="s">
        <v>151</v>
      </c>
      <c r="S138" s="11"/>
      <c r="T138" s="4" t="s">
        <v>67</v>
      </c>
      <c r="U138" s="1"/>
      <c r="V138" s="1"/>
      <c r="W138" s="1"/>
      <c r="X138" s="1"/>
      <c r="Y138" s="1"/>
    </row>
    <row r="139" spans="2:25" x14ac:dyDescent="0.25">
      <c r="B139" s="4">
        <v>20008271</v>
      </c>
      <c r="C139" s="1" t="s">
        <v>158</v>
      </c>
      <c r="D139" s="4" t="s">
        <v>89</v>
      </c>
      <c r="E139" s="3" t="s">
        <v>121</v>
      </c>
      <c r="F139" s="3" t="s">
        <v>92</v>
      </c>
      <c r="G139" s="4">
        <v>8</v>
      </c>
      <c r="H139" s="4">
        <v>16</v>
      </c>
      <c r="I139" s="4">
        <v>32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159</v>
      </c>
      <c r="S139" s="11"/>
      <c r="T139" s="4" t="s">
        <v>73</v>
      </c>
      <c r="U139" s="1"/>
      <c r="V139" s="1"/>
      <c r="W139" s="1"/>
      <c r="X139" s="1"/>
      <c r="Y139" s="1"/>
    </row>
    <row r="140" spans="2:25" x14ac:dyDescent="0.25">
      <c r="B140" s="4">
        <v>20007923</v>
      </c>
      <c r="C140" s="1" t="s">
        <v>1380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6</v>
      </c>
      <c r="J140" s="4" t="s">
        <v>8</v>
      </c>
      <c r="K140" s="4" t="s">
        <v>9</v>
      </c>
      <c r="L140" s="11" t="s">
        <v>1663</v>
      </c>
      <c r="M140" s="3">
        <v>30</v>
      </c>
      <c r="N140"/>
      <c r="O140" s="4"/>
      <c r="P140" s="1"/>
      <c r="Q140" s="22"/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25">
      <c r="B141" s="4">
        <v>20008525</v>
      </c>
      <c r="C141" s="1" t="s">
        <v>160</v>
      </c>
      <c r="D141" s="4" t="s">
        <v>89</v>
      </c>
      <c r="E141" s="3" t="s">
        <v>1649</v>
      </c>
      <c r="F141" s="3" t="s">
        <v>92</v>
      </c>
      <c r="G141" s="4">
        <v>144</v>
      </c>
      <c r="H141" s="4">
        <v>288</v>
      </c>
      <c r="I141" s="4">
        <v>2500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116</v>
      </c>
      <c r="S141" s="11"/>
      <c r="T141" s="4" t="s">
        <v>67</v>
      </c>
      <c r="U141" s="1"/>
      <c r="V141" s="1"/>
      <c r="W141" s="1"/>
      <c r="X141" s="1"/>
      <c r="Y141" s="1"/>
    </row>
    <row r="142" spans="2:25" x14ac:dyDescent="0.25">
      <c r="B142" s="4">
        <v>20007924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/>
      <c r="V142" s="1"/>
      <c r="W142" s="1"/>
      <c r="X142" s="1"/>
      <c r="Y142" s="1"/>
    </row>
    <row r="143" spans="2:25" x14ac:dyDescent="0.2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37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/>
      <c r="V143" s="1"/>
      <c r="W143" s="1"/>
      <c r="X143" s="1"/>
      <c r="Y143" s="1"/>
    </row>
    <row r="144" spans="2:25" x14ac:dyDescent="0.25">
      <c r="B144" s="4">
        <v>20007931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16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/>
      <c r="V144" s="1"/>
      <c r="W144" s="1"/>
      <c r="X144" s="1"/>
      <c r="Y144" s="1"/>
    </row>
    <row r="145" spans="2:25" x14ac:dyDescent="0.25">
      <c r="B145" s="4">
        <v>20009101</v>
      </c>
      <c r="C145" s="1" t="s">
        <v>49</v>
      </c>
      <c r="D145" s="4" t="s">
        <v>89</v>
      </c>
      <c r="E145" s="3" t="s">
        <v>90</v>
      </c>
      <c r="F145" s="3" t="s">
        <v>92</v>
      </c>
      <c r="G145" s="4">
        <v>100</v>
      </c>
      <c r="H145" s="4">
        <v>150</v>
      </c>
      <c r="I145" s="4">
        <v>184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91</v>
      </c>
      <c r="S145" s="11"/>
      <c r="T145" s="4" t="s">
        <v>66</v>
      </c>
      <c r="U145" s="1"/>
      <c r="V145" s="1"/>
      <c r="W145" s="1"/>
      <c r="X145" s="1"/>
      <c r="Y145" s="1"/>
    </row>
    <row r="146" spans="2:25" x14ac:dyDescent="0.2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/>
      <c r="V146" s="1"/>
      <c r="W146" s="1"/>
      <c r="X146" s="1"/>
      <c r="Y146" s="1"/>
    </row>
    <row r="147" spans="2:25" x14ac:dyDescent="0.2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160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2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82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/>
      <c r="V148" s="1"/>
      <c r="W148" s="1"/>
      <c r="X148" s="1"/>
      <c r="Y148" s="1"/>
    </row>
    <row r="149" spans="2:25" x14ac:dyDescent="0.25">
      <c r="B149" s="4">
        <v>20008305</v>
      </c>
      <c r="C149" s="1" t="s">
        <v>1261</v>
      </c>
      <c r="D149" s="4" t="s">
        <v>89</v>
      </c>
      <c r="E149" s="3"/>
      <c r="F149" s="3" t="s">
        <v>69</v>
      </c>
      <c r="G149" s="4">
        <v>6</v>
      </c>
      <c r="H149" s="4">
        <v>3</v>
      </c>
      <c r="I149" s="4">
        <v>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67</v>
      </c>
      <c r="U149" s="1"/>
      <c r="V149" s="1"/>
      <c r="W149" s="1"/>
      <c r="X149" s="1"/>
      <c r="Y149" s="1"/>
    </row>
    <row r="150" spans="2:25" x14ac:dyDescent="0.25">
      <c r="B150" s="4">
        <v>20009196</v>
      </c>
      <c r="C150" s="1" t="s">
        <v>163</v>
      </c>
      <c r="D150" s="4" t="s">
        <v>89</v>
      </c>
      <c r="E150" s="3" t="s">
        <v>90</v>
      </c>
      <c r="F150" s="3" t="s">
        <v>92</v>
      </c>
      <c r="G150" s="4">
        <v>50</v>
      </c>
      <c r="H150" s="4">
        <v>100</v>
      </c>
      <c r="I150" s="4">
        <v>61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x14ac:dyDescent="0.2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25</v>
      </c>
      <c r="J151" s="4" t="s">
        <v>8</v>
      </c>
      <c r="K151" s="4" t="s">
        <v>9</v>
      </c>
      <c r="L151" s="11"/>
      <c r="M151" s="3"/>
      <c r="N151">
        <v>4502671912</v>
      </c>
      <c r="O151" s="4">
        <v>50</v>
      </c>
      <c r="P151" s="1" t="s">
        <v>1587</v>
      </c>
      <c r="Q151" s="22">
        <v>46174</v>
      </c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25">
      <c r="B152" s="4">
        <v>20008985</v>
      </c>
      <c r="C152" s="1" t="s">
        <v>364</v>
      </c>
      <c r="D152" s="4" t="s">
        <v>89</v>
      </c>
      <c r="E152" s="3"/>
      <c r="F152" s="3" t="s">
        <v>69</v>
      </c>
      <c r="G152" s="4">
        <v>20</v>
      </c>
      <c r="H152" s="4">
        <v>20</v>
      </c>
      <c r="I152" s="4">
        <v>27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/>
      <c r="S152" s="11"/>
      <c r="T152" s="4" t="s">
        <v>73</v>
      </c>
      <c r="U152" s="1"/>
      <c r="V152" s="1"/>
      <c r="W152" s="1"/>
      <c r="X152" s="1"/>
      <c r="Y152" s="1"/>
    </row>
    <row r="153" spans="2:25" x14ac:dyDescent="0.25">
      <c r="B153" s="4">
        <v>20009231</v>
      </c>
      <c r="C153" s="1" t="s">
        <v>165</v>
      </c>
      <c r="D153" s="4" t="s">
        <v>89</v>
      </c>
      <c r="E153" s="3" t="s">
        <v>90</v>
      </c>
      <c r="F153" s="3" t="s">
        <v>92</v>
      </c>
      <c r="G153" s="4">
        <v>30</v>
      </c>
      <c r="H153" s="4">
        <v>50</v>
      </c>
      <c r="I153" s="4">
        <v>42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91</v>
      </c>
      <c r="S153" s="11"/>
      <c r="T153" s="4" t="s">
        <v>66</v>
      </c>
      <c r="U153" s="1"/>
      <c r="V153" s="1"/>
      <c r="W153" s="1"/>
      <c r="X153" s="1"/>
      <c r="Y153" s="1"/>
    </row>
    <row r="154" spans="2:25" x14ac:dyDescent="0.25">
      <c r="B154" s="4">
        <v>20009248</v>
      </c>
      <c r="C154" s="1" t="s">
        <v>166</v>
      </c>
      <c r="D154" s="4" t="s">
        <v>89</v>
      </c>
      <c r="E154" s="3" t="s">
        <v>90</v>
      </c>
      <c r="F154" s="3" t="s">
        <v>92</v>
      </c>
      <c r="G154" s="4">
        <v>200</v>
      </c>
      <c r="H154" s="4">
        <v>200</v>
      </c>
      <c r="I154" s="4">
        <v>2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1557</v>
      </c>
      <c r="Q154" s="22">
        <v>46041</v>
      </c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25">
      <c r="B155" s="4">
        <v>20009104</v>
      </c>
      <c r="C155" s="1" t="s">
        <v>1581</v>
      </c>
      <c r="D155" s="4" t="s">
        <v>89</v>
      </c>
      <c r="E155" s="3"/>
      <c r="F155" s="3" t="s">
        <v>69</v>
      </c>
      <c r="G155" s="4">
        <v>50</v>
      </c>
      <c r="H155" s="4">
        <v>100</v>
      </c>
      <c r="I155" s="4">
        <v>100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/>
      <c r="S155" s="11"/>
      <c r="T155" s="4" t="s">
        <v>66</v>
      </c>
      <c r="U155" s="1"/>
      <c r="V155" s="1"/>
      <c r="W155" s="1"/>
      <c r="X155" s="1"/>
      <c r="Y155" s="1"/>
    </row>
    <row r="156" spans="2:25" x14ac:dyDescent="0.25">
      <c r="B156" s="4">
        <v>20009261</v>
      </c>
      <c r="C156" s="1" t="s">
        <v>167</v>
      </c>
      <c r="D156" s="4" t="s">
        <v>89</v>
      </c>
      <c r="E156" s="3" t="s">
        <v>90</v>
      </c>
      <c r="F156" s="3" t="s">
        <v>92</v>
      </c>
      <c r="G156" s="4">
        <v>20</v>
      </c>
      <c r="H156" s="4">
        <v>50</v>
      </c>
      <c r="I156" s="4">
        <v>81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2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/>
      <c r="V157" s="1"/>
      <c r="W157" s="1"/>
      <c r="X157" s="1"/>
      <c r="Y157" s="1"/>
    </row>
    <row r="158" spans="2:25" x14ac:dyDescent="0.2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2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2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2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2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x14ac:dyDescent="0.25">
      <c r="B163" s="4">
        <v>20009279</v>
      </c>
      <c r="C163" s="1" t="s">
        <v>1383</v>
      </c>
      <c r="D163" s="4" t="s">
        <v>89</v>
      </c>
      <c r="E163" s="3"/>
      <c r="F163" s="3" t="s">
        <v>69</v>
      </c>
      <c r="G163" s="4">
        <v>30</v>
      </c>
      <c r="H163" s="4">
        <v>60</v>
      </c>
      <c r="I163" s="4">
        <v>4</v>
      </c>
      <c r="J163" s="4" t="s">
        <v>8</v>
      </c>
      <c r="K163" s="4" t="s">
        <v>9</v>
      </c>
      <c r="L163" s="11"/>
      <c r="M163" s="3"/>
      <c r="N163">
        <v>4502672382</v>
      </c>
      <c r="O163" s="4">
        <v>80</v>
      </c>
      <c r="P163" s="1" t="s">
        <v>1557</v>
      </c>
      <c r="Q163" s="22">
        <v>46162</v>
      </c>
      <c r="R163"/>
      <c r="S163" s="11"/>
      <c r="T163" s="4" t="s">
        <v>66</v>
      </c>
      <c r="U163" s="1"/>
      <c r="V163" s="1"/>
      <c r="W163" s="1"/>
      <c r="X163" s="1"/>
      <c r="Y163" s="1"/>
    </row>
    <row r="164" spans="2:25" x14ac:dyDescent="0.2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2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87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2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68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2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/>
      <c r="V167" s="1"/>
      <c r="W167" s="1"/>
      <c r="X167" s="1"/>
      <c r="Y167" s="1"/>
    </row>
    <row r="168" spans="2:25" x14ac:dyDescent="0.25">
      <c r="B168" s="4">
        <v>20009586</v>
      </c>
      <c r="C168" s="1" t="s">
        <v>1281</v>
      </c>
      <c r="D168" s="4" t="s">
        <v>89</v>
      </c>
      <c r="E168" s="3"/>
      <c r="F168" s="3" t="s">
        <v>69</v>
      </c>
      <c r="G168" s="4">
        <v>1000</v>
      </c>
      <c r="H168" s="4">
        <v>2000</v>
      </c>
      <c r="I168" s="4">
        <v>3000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66</v>
      </c>
      <c r="U168" s="1"/>
      <c r="V168" s="1"/>
      <c r="W168" s="1"/>
      <c r="X168" s="1"/>
      <c r="Y168" s="1"/>
    </row>
    <row r="169" spans="2:25" x14ac:dyDescent="0.25">
      <c r="B169" s="4">
        <v>20010751</v>
      </c>
      <c r="C169" s="1" t="s">
        <v>178</v>
      </c>
      <c r="D169" s="4" t="s">
        <v>89</v>
      </c>
      <c r="E169" s="3" t="s">
        <v>90</v>
      </c>
      <c r="F169" s="3" t="s">
        <v>92</v>
      </c>
      <c r="G169" s="4">
        <v>6</v>
      </c>
      <c r="H169" s="4">
        <v>12</v>
      </c>
      <c r="I169" s="4">
        <v>7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66</v>
      </c>
      <c r="U169" s="1"/>
      <c r="V169" s="1"/>
      <c r="W169" s="1"/>
      <c r="X169" s="1"/>
      <c r="Y169" s="1"/>
    </row>
    <row r="170" spans="2:25" x14ac:dyDescent="0.25">
      <c r="B170" s="4">
        <v>20009587</v>
      </c>
      <c r="C170" s="1" t="s">
        <v>1282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/>
      <c r="V170" s="1"/>
      <c r="W170" s="1"/>
      <c r="X170" s="1"/>
      <c r="Y170" s="1"/>
    </row>
    <row r="171" spans="2:25" x14ac:dyDescent="0.25">
      <c r="B171" s="4">
        <v>20011173</v>
      </c>
      <c r="C171" s="1" t="s">
        <v>53</v>
      </c>
      <c r="D171" s="4" t="s">
        <v>89</v>
      </c>
      <c r="E171" s="3" t="s">
        <v>90</v>
      </c>
      <c r="F171" s="3" t="s">
        <v>92</v>
      </c>
      <c r="G171" s="4">
        <v>8</v>
      </c>
      <c r="H171" s="4">
        <v>10</v>
      </c>
      <c r="I171" s="4">
        <v>13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91</v>
      </c>
      <c r="S171" s="11"/>
      <c r="T171" s="4" t="s">
        <v>73</v>
      </c>
      <c r="U171" s="1"/>
      <c r="V171" s="1"/>
      <c r="W171" s="1"/>
      <c r="X171" s="1"/>
      <c r="Y171" s="1"/>
    </row>
    <row r="172" spans="2:25" x14ac:dyDescent="0.25">
      <c r="B172" s="4">
        <v>20009588</v>
      </c>
      <c r="C172" s="1" t="s">
        <v>1283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/>
      <c r="V172" s="1"/>
      <c r="W172" s="1"/>
      <c r="X172" s="1"/>
      <c r="Y172" s="1"/>
    </row>
    <row r="173" spans="2:25" x14ac:dyDescent="0.25">
      <c r="B173" s="4">
        <v>20011174</v>
      </c>
      <c r="C173" s="1" t="s">
        <v>54</v>
      </c>
      <c r="D173" s="4" t="s">
        <v>89</v>
      </c>
      <c r="E173" s="3" t="s">
        <v>90</v>
      </c>
      <c r="F173" s="3" t="s">
        <v>92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/>
      <c r="V173" s="1"/>
      <c r="W173" s="1"/>
      <c r="X173" s="1"/>
      <c r="Y173" s="1"/>
    </row>
    <row r="174" spans="2:25" x14ac:dyDescent="0.25">
      <c r="B174" s="4">
        <v>20009641</v>
      </c>
      <c r="C174" s="1" t="s">
        <v>1215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10150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66</v>
      </c>
      <c r="U174" s="1"/>
      <c r="V174" s="1"/>
      <c r="W174" s="1"/>
      <c r="X174" s="1"/>
      <c r="Y174" s="1"/>
    </row>
    <row r="175" spans="2:25" x14ac:dyDescent="0.2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2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25">
      <c r="B177" s="4">
        <v>20009699</v>
      </c>
      <c r="C177" s="1" t="s">
        <v>1384</v>
      </c>
      <c r="D177" s="4" t="s">
        <v>89</v>
      </c>
      <c r="E177" s="3"/>
      <c r="F177" s="3" t="s">
        <v>69</v>
      </c>
      <c r="G177" s="4">
        <v>30</v>
      </c>
      <c r="H177" s="4">
        <v>60</v>
      </c>
      <c r="I177" s="4">
        <v>38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66</v>
      </c>
      <c r="U177" s="1"/>
      <c r="V177" s="1"/>
      <c r="W177" s="1"/>
      <c r="X177" s="1"/>
      <c r="Y177" s="1"/>
    </row>
    <row r="178" spans="2:25" x14ac:dyDescent="0.25">
      <c r="B178" s="4">
        <v>20019648</v>
      </c>
      <c r="C178" s="1" t="s">
        <v>180</v>
      </c>
      <c r="D178" s="4" t="s">
        <v>89</v>
      </c>
      <c r="E178" s="3" t="s">
        <v>100</v>
      </c>
      <c r="F178" s="3" t="s">
        <v>92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101</v>
      </c>
      <c r="S178" s="11"/>
      <c r="T178" s="4" t="s">
        <v>67</v>
      </c>
      <c r="U178" s="1"/>
      <c r="V178" s="1"/>
      <c r="W178" s="1"/>
      <c r="X178" s="1"/>
      <c r="Y178" s="1"/>
    </row>
    <row r="179" spans="2:25" x14ac:dyDescent="0.25">
      <c r="B179" s="4">
        <v>20009765</v>
      </c>
      <c r="C179" s="1" t="s">
        <v>1493</v>
      </c>
      <c r="D179" s="4" t="s">
        <v>89</v>
      </c>
      <c r="E179" s="3"/>
      <c r="F179" s="3" t="s">
        <v>69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73</v>
      </c>
      <c r="U179" s="1"/>
      <c r="V179" s="1"/>
      <c r="W179" s="1"/>
      <c r="X179" s="1"/>
      <c r="Y179" s="1"/>
    </row>
    <row r="180" spans="2:25" x14ac:dyDescent="0.25">
      <c r="B180" s="4">
        <v>20011481</v>
      </c>
      <c r="C180" s="1" t="s">
        <v>181</v>
      </c>
      <c r="D180" s="4" t="s">
        <v>89</v>
      </c>
      <c r="E180" s="3" t="s">
        <v>100</v>
      </c>
      <c r="F180" s="3" t="s">
        <v>92</v>
      </c>
      <c r="G180" s="4">
        <v>4</v>
      </c>
      <c r="H180" s="4">
        <v>8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101</v>
      </c>
      <c r="S180" s="11"/>
      <c r="T180" s="4" t="s">
        <v>71</v>
      </c>
      <c r="U180" s="1"/>
      <c r="V180" s="1"/>
      <c r="W180" s="1"/>
      <c r="X180" s="1"/>
      <c r="Y180" s="1"/>
    </row>
    <row r="181" spans="2:25" x14ac:dyDescent="0.2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2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2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2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25">
      <c r="B185" s="4">
        <v>20011281</v>
      </c>
      <c r="C185" s="1" t="s">
        <v>1273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x14ac:dyDescent="0.25">
      <c r="B186" s="4">
        <v>20011297</v>
      </c>
      <c r="C186" s="1" t="s">
        <v>1274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/>
      <c r="V186" s="1"/>
      <c r="W186" s="1"/>
      <c r="X186" s="1"/>
      <c r="Y186" s="1"/>
    </row>
    <row r="187" spans="2:25" x14ac:dyDescent="0.25">
      <c r="B187" s="4">
        <v>20011723</v>
      </c>
      <c r="C187" s="1" t="s">
        <v>185</v>
      </c>
      <c r="D187" s="4" t="s">
        <v>89</v>
      </c>
      <c r="E187" s="3" t="s">
        <v>90</v>
      </c>
      <c r="F187" s="3" t="s">
        <v>105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/>
      <c r="V187" s="1"/>
      <c r="W187" s="1"/>
      <c r="X187" s="1"/>
      <c r="Y187" s="1"/>
    </row>
    <row r="188" spans="2:25" x14ac:dyDescent="0.2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x14ac:dyDescent="0.2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25">
      <c r="B190" s="4">
        <v>20011891</v>
      </c>
      <c r="C190" s="1" t="s">
        <v>1375</v>
      </c>
      <c r="D190" s="4" t="s">
        <v>89</v>
      </c>
      <c r="E190" s="3" t="s">
        <v>1649</v>
      </c>
      <c r="F190" s="3" t="s">
        <v>92</v>
      </c>
      <c r="G190" s="4">
        <v>55</v>
      </c>
      <c r="H190" s="4">
        <v>100</v>
      </c>
      <c r="I190" s="4">
        <v>104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25">
      <c r="B191" s="4">
        <v>20011612</v>
      </c>
      <c r="C191" s="1" t="s">
        <v>1385</v>
      </c>
      <c r="D191" s="4" t="s">
        <v>89</v>
      </c>
      <c r="E191" s="3"/>
      <c r="F191" s="3" t="s">
        <v>69</v>
      </c>
      <c r="G191" s="4">
        <v>12</v>
      </c>
      <c r="H191" s="4">
        <v>40</v>
      </c>
      <c r="I191" s="4">
        <v>0</v>
      </c>
      <c r="J191" s="4" t="s">
        <v>25</v>
      </c>
      <c r="K191" s="4" t="s">
        <v>13</v>
      </c>
      <c r="L191" s="11"/>
      <c r="M191" s="3"/>
      <c r="N191">
        <v>4502679137</v>
      </c>
      <c r="O191" s="4">
        <v>40</v>
      </c>
      <c r="P191" s="1" t="s">
        <v>1646</v>
      </c>
      <c r="Q191" s="22">
        <v>46181</v>
      </c>
      <c r="R191"/>
      <c r="S191" s="11"/>
      <c r="T191" s="4" t="s">
        <v>73</v>
      </c>
      <c r="U191" s="1"/>
      <c r="V191" s="1"/>
      <c r="W191" s="1"/>
      <c r="X191" s="1"/>
      <c r="Y191" s="1"/>
    </row>
    <row r="192" spans="2:25" x14ac:dyDescent="0.25">
      <c r="B192" s="4">
        <v>20011895</v>
      </c>
      <c r="C192" s="1" t="s">
        <v>188</v>
      </c>
      <c r="D192" s="4" t="s">
        <v>89</v>
      </c>
      <c r="E192" s="3" t="s">
        <v>1649</v>
      </c>
      <c r="F192" s="3" t="s">
        <v>92</v>
      </c>
      <c r="G192" s="4">
        <v>50</v>
      </c>
      <c r="H192" s="4">
        <v>150</v>
      </c>
      <c r="I192" s="4">
        <v>106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116</v>
      </c>
      <c r="S192" s="11"/>
      <c r="T192" s="4" t="s">
        <v>68</v>
      </c>
      <c r="U192" s="1"/>
      <c r="V192" s="1"/>
      <c r="W192" s="1"/>
      <c r="X192" s="1"/>
      <c r="Y192" s="1"/>
    </row>
    <row r="193" spans="2:25" x14ac:dyDescent="0.2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25">
      <c r="B194" s="4">
        <v>20011926</v>
      </c>
      <c r="C194" s="1" t="s">
        <v>1365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2</v>
      </c>
      <c r="J194" s="4" t="s">
        <v>8</v>
      </c>
      <c r="K194" s="4" t="s">
        <v>9</v>
      </c>
      <c r="L194" s="70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25">
      <c r="B195" s="4">
        <v>20011928</v>
      </c>
      <c r="C195" s="1" t="s">
        <v>190</v>
      </c>
      <c r="D195" s="4" t="s">
        <v>89</v>
      </c>
      <c r="E195" s="3" t="s">
        <v>1649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25">
      <c r="B196" s="4">
        <v>20011934</v>
      </c>
      <c r="C196" s="1" t="s">
        <v>191</v>
      </c>
      <c r="D196" s="4" t="s">
        <v>89</v>
      </c>
      <c r="E196" s="3" t="s">
        <v>1649</v>
      </c>
      <c r="F196" s="3" t="s">
        <v>92</v>
      </c>
      <c r="G196" s="4">
        <v>120</v>
      </c>
      <c r="H196" s="4">
        <v>200</v>
      </c>
      <c r="I196" s="4">
        <v>60</v>
      </c>
      <c r="J196" s="4" t="s">
        <v>23</v>
      </c>
      <c r="K196" s="4" t="s">
        <v>9</v>
      </c>
      <c r="L196" s="11" t="s">
        <v>1662</v>
      </c>
      <c r="M196" s="3">
        <v>260</v>
      </c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2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3</v>
      </c>
      <c r="J197" s="4" t="s">
        <v>8</v>
      </c>
      <c r="K197" s="4" t="s">
        <v>9</v>
      </c>
      <c r="L197" s="11"/>
      <c r="M197" s="66"/>
      <c r="N197"/>
      <c r="O197" s="4"/>
      <c r="P197" s="1"/>
      <c r="Q197" s="22"/>
      <c r="R197" t="s">
        <v>193</v>
      </c>
      <c r="S197" s="11" t="s">
        <v>1595</v>
      </c>
      <c r="T197" s="4" t="s">
        <v>68</v>
      </c>
      <c r="U197" s="1"/>
      <c r="V197" s="1"/>
      <c r="W197" s="1"/>
      <c r="X197" s="1"/>
      <c r="Y197" s="1"/>
    </row>
    <row r="198" spans="2:25" x14ac:dyDescent="0.25">
      <c r="B198" s="4">
        <v>20012096</v>
      </c>
      <c r="C198" s="1" t="s">
        <v>194</v>
      </c>
      <c r="D198" s="4" t="s">
        <v>89</v>
      </c>
      <c r="E198" s="3" t="s">
        <v>1649</v>
      </c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25">
      <c r="B199" s="4">
        <v>20012114</v>
      </c>
      <c r="C199" s="1" t="s">
        <v>195</v>
      </c>
      <c r="D199" s="4" t="s">
        <v>89</v>
      </c>
      <c r="E199" s="3" t="s">
        <v>1649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2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218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/>
      <c r="V200" s="1"/>
      <c r="W200" s="1"/>
      <c r="X200" s="1"/>
      <c r="Y200" s="1"/>
    </row>
    <row r="201" spans="2:25" x14ac:dyDescent="0.25">
      <c r="B201" s="4">
        <v>20011937</v>
      </c>
      <c r="C201" s="1" t="s">
        <v>1410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4</v>
      </c>
      <c r="J201" s="4" t="s">
        <v>24</v>
      </c>
      <c r="K201" s="4" t="s">
        <v>9</v>
      </c>
      <c r="L201" s="11">
        <v>1002648064</v>
      </c>
      <c r="M201" s="3">
        <v>10</v>
      </c>
      <c r="N201"/>
      <c r="O201" s="4"/>
      <c r="P201" s="1"/>
      <c r="Q201" s="22"/>
      <c r="R201"/>
      <c r="S201" s="11"/>
      <c r="T201" s="4" t="s">
        <v>68</v>
      </c>
      <c r="U201" s="1"/>
      <c r="V201" s="1"/>
      <c r="W201" s="1"/>
      <c r="X201" s="1"/>
      <c r="Y201" s="1"/>
    </row>
    <row r="202" spans="2:25" x14ac:dyDescent="0.2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13</v>
      </c>
      <c r="J202" s="4" t="s">
        <v>8</v>
      </c>
      <c r="K202" s="4" t="s">
        <v>9</v>
      </c>
      <c r="L202" s="11" t="s">
        <v>1662</v>
      </c>
      <c r="M202" s="3">
        <v>25</v>
      </c>
      <c r="N202"/>
      <c r="O202" s="4"/>
      <c r="P202" s="1"/>
      <c r="Q202" s="22"/>
      <c r="R202" t="s">
        <v>95</v>
      </c>
      <c r="S202" s="11"/>
      <c r="T202" s="4" t="s">
        <v>71</v>
      </c>
      <c r="U202" s="1"/>
      <c r="V202" s="1"/>
      <c r="W202" s="1"/>
      <c r="X202" s="1"/>
      <c r="Y202" s="1"/>
    </row>
    <row r="203" spans="2:25" x14ac:dyDescent="0.25">
      <c r="B203" s="4">
        <v>20011953</v>
      </c>
      <c r="C203" s="1" t="s">
        <v>1528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/>
      <c r="V203" s="1"/>
      <c r="W203" s="1"/>
      <c r="X203" s="1"/>
      <c r="Y203" s="1"/>
    </row>
    <row r="204" spans="2:25" x14ac:dyDescent="0.25">
      <c r="B204" s="4">
        <v>20012262</v>
      </c>
      <c r="C204" s="1" t="s">
        <v>197</v>
      </c>
      <c r="D204" s="4" t="s">
        <v>89</v>
      </c>
      <c r="E204" s="3" t="s">
        <v>1649</v>
      </c>
      <c r="F204" s="3" t="s">
        <v>92</v>
      </c>
      <c r="G204" s="4">
        <v>20</v>
      </c>
      <c r="H204" s="4">
        <v>20</v>
      </c>
      <c r="I204" s="4">
        <v>34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/>
      <c r="V204" s="1"/>
      <c r="W204" s="1"/>
      <c r="X204" s="1"/>
      <c r="Y204" s="1"/>
    </row>
    <row r="205" spans="2:25" x14ac:dyDescent="0.25">
      <c r="B205" s="4">
        <v>20011956</v>
      </c>
      <c r="C205" s="1" t="s">
        <v>1434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>
        <v>1002648064</v>
      </c>
      <c r="M205" s="3">
        <v>4</v>
      </c>
      <c r="N205"/>
      <c r="O205" s="4"/>
      <c r="P205" s="1"/>
      <c r="Q205" s="22"/>
      <c r="R205"/>
      <c r="S205" s="11"/>
      <c r="T205" s="4" t="s">
        <v>68</v>
      </c>
      <c r="U205" s="1"/>
      <c r="V205" s="1"/>
      <c r="W205" s="1"/>
      <c r="X205" s="1"/>
      <c r="Y205" s="1"/>
    </row>
    <row r="206" spans="2:25" x14ac:dyDescent="0.25">
      <c r="B206" s="4">
        <v>20012263</v>
      </c>
      <c r="C206" s="1" t="s">
        <v>35</v>
      </c>
      <c r="D206" s="4" t="s">
        <v>89</v>
      </c>
      <c r="E206" s="3" t="s">
        <v>1649</v>
      </c>
      <c r="F206" s="3" t="s">
        <v>92</v>
      </c>
      <c r="G206" s="4">
        <v>30</v>
      </c>
      <c r="H206" s="4">
        <v>50</v>
      </c>
      <c r="I206" s="4">
        <v>38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/>
      <c r="V206" s="1"/>
      <c r="W206" s="1"/>
      <c r="X206" s="1"/>
      <c r="Y206" s="1"/>
    </row>
    <row r="207" spans="2:25" x14ac:dyDescent="0.25">
      <c r="B207" s="4">
        <v>20012284</v>
      </c>
      <c r="C207" s="1" t="s">
        <v>198</v>
      </c>
      <c r="D207" s="4" t="s">
        <v>89</v>
      </c>
      <c r="E207" s="3" t="s">
        <v>1649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x14ac:dyDescent="0.25">
      <c r="B208" s="4">
        <v>20011962</v>
      </c>
      <c r="C208" s="1" t="s">
        <v>792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4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1586</v>
      </c>
      <c r="Q208" s="22">
        <v>46161</v>
      </c>
      <c r="R208"/>
      <c r="S208" s="11"/>
      <c r="T208" s="4" t="s">
        <v>68</v>
      </c>
      <c r="U208" s="1"/>
      <c r="V208" s="1"/>
      <c r="W208" s="1"/>
      <c r="X208" s="1"/>
      <c r="Y208" s="1"/>
    </row>
    <row r="209" spans="2:25" x14ac:dyDescent="0.25">
      <c r="B209" s="4">
        <v>20012286</v>
      </c>
      <c r="C209" s="1" t="s">
        <v>199</v>
      </c>
      <c r="D209" s="4" t="s">
        <v>89</v>
      </c>
      <c r="E209" s="3" t="s">
        <v>1649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25">
      <c r="B210" s="4">
        <v>20012106</v>
      </c>
      <c r="C210" s="1" t="s">
        <v>1059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4502659834</v>
      </c>
      <c r="O210" s="4">
        <v>50</v>
      </c>
      <c r="P210" s="1" t="s">
        <v>1578</v>
      </c>
      <c r="Q210" s="22">
        <v>46132</v>
      </c>
      <c r="R210"/>
      <c r="S210" s="11"/>
      <c r="T210" s="4" t="s">
        <v>68</v>
      </c>
      <c r="U210" s="1"/>
      <c r="V210" s="1"/>
      <c r="W210" s="1"/>
      <c r="X210" s="1"/>
      <c r="Y210" s="1"/>
    </row>
    <row r="211" spans="2:25" x14ac:dyDescent="0.25">
      <c r="B211" s="4">
        <v>20012289</v>
      </c>
      <c r="C211" s="1" t="s">
        <v>36</v>
      </c>
      <c r="D211" s="4" t="s">
        <v>89</v>
      </c>
      <c r="E211" s="3" t="s">
        <v>1649</v>
      </c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25">
      <c r="B212" s="4">
        <v>20012298</v>
      </c>
      <c r="C212" s="1" t="s">
        <v>200</v>
      </c>
      <c r="D212" s="4" t="s">
        <v>89</v>
      </c>
      <c r="E212" s="3" t="s">
        <v>1649</v>
      </c>
      <c r="F212" s="3" t="s">
        <v>92</v>
      </c>
      <c r="G212" s="4">
        <v>20</v>
      </c>
      <c r="H212" s="4">
        <v>40</v>
      </c>
      <c r="I212" s="4">
        <v>27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116</v>
      </c>
      <c r="S212" s="11"/>
      <c r="T212" s="4" t="s">
        <v>66</v>
      </c>
      <c r="U212" s="1"/>
      <c r="V212" s="1"/>
      <c r="W212" s="1"/>
      <c r="X212" s="1"/>
      <c r="Y212" s="1"/>
    </row>
    <row r="213" spans="2:25" x14ac:dyDescent="0.25">
      <c r="B213" s="4">
        <v>20012166</v>
      </c>
      <c r="C213" s="1" t="s">
        <v>1111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/>
      <c r="V213" s="1"/>
      <c r="W213" s="1"/>
      <c r="X213" s="1"/>
      <c r="Y213" s="1"/>
    </row>
    <row r="214" spans="2:25" x14ac:dyDescent="0.25">
      <c r="B214" s="4">
        <v>20012310</v>
      </c>
      <c r="C214" s="1" t="s">
        <v>201</v>
      </c>
      <c r="D214" s="4" t="s">
        <v>89</v>
      </c>
      <c r="E214" s="3" t="s">
        <v>1649</v>
      </c>
      <c r="F214" s="3" t="s">
        <v>92</v>
      </c>
      <c r="G214" s="4">
        <v>16</v>
      </c>
      <c r="H214" s="4">
        <v>32</v>
      </c>
      <c r="I214" s="4">
        <v>26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/>
      <c r="V214" s="1"/>
      <c r="W214" s="1"/>
      <c r="X214" s="1"/>
      <c r="Y214" s="1"/>
    </row>
    <row r="215" spans="2:25" x14ac:dyDescent="0.25">
      <c r="B215" s="4">
        <v>20012175</v>
      </c>
      <c r="C215" s="1" t="s">
        <v>1411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/>
      <c r="V215" s="1"/>
      <c r="W215" s="1"/>
      <c r="X215" s="1"/>
      <c r="Y215" s="1"/>
    </row>
    <row r="216" spans="2:25" x14ac:dyDescent="0.25">
      <c r="B216" s="4">
        <v>20012311</v>
      </c>
      <c r="C216" s="1" t="s">
        <v>202</v>
      </c>
      <c r="D216" s="4" t="s">
        <v>89</v>
      </c>
      <c r="E216" s="3" t="s">
        <v>1649</v>
      </c>
      <c r="F216" s="3" t="s">
        <v>92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25">
      <c r="B217" s="4">
        <v>20012357</v>
      </c>
      <c r="C217" s="1" t="s">
        <v>203</v>
      </c>
      <c r="D217" s="4" t="s">
        <v>89</v>
      </c>
      <c r="E217" s="3" t="s">
        <v>1649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25">
      <c r="B218" s="4">
        <v>20012220</v>
      </c>
      <c r="C218" s="1" t="s">
        <v>1529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/>
      <c r="V218" s="1"/>
      <c r="W218" s="1"/>
      <c r="X218" s="1"/>
      <c r="Y218" s="1"/>
    </row>
    <row r="219" spans="2:25" x14ac:dyDescent="0.2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9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2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83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25">
      <c r="B221" s="4">
        <v>20012391</v>
      </c>
      <c r="C221" s="1" t="s">
        <v>1276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2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25">
      <c r="B223" s="4">
        <v>20012269</v>
      </c>
      <c r="C223" s="1" t="s">
        <v>1575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9</v>
      </c>
      <c r="L223" s="11"/>
      <c r="M223" s="3"/>
      <c r="N223">
        <v>4502683179</v>
      </c>
      <c r="O223" s="4">
        <v>600</v>
      </c>
      <c r="P223" s="1" t="s">
        <v>1657</v>
      </c>
      <c r="Q223" s="22">
        <v>46192</v>
      </c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2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2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25">
      <c r="B226" s="4">
        <v>20012285</v>
      </c>
      <c r="C226" s="1" t="s">
        <v>1386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/>
      <c r="V226" s="1"/>
      <c r="W226" s="1"/>
      <c r="X226" s="1"/>
      <c r="Y226" s="1"/>
    </row>
    <row r="227" spans="2:25" x14ac:dyDescent="0.2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2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2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16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2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/>
      <c r="V230" s="1"/>
      <c r="W230" s="1"/>
      <c r="X230" s="1"/>
      <c r="Y230" s="1"/>
    </row>
    <row r="231" spans="2:25" x14ac:dyDescent="0.2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25">
      <c r="B232" s="4">
        <v>20012350</v>
      </c>
      <c r="C232" s="1" t="s">
        <v>1502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/>
      <c r="V232" s="1"/>
      <c r="W232" s="1"/>
      <c r="X232" s="1"/>
      <c r="Y232" s="1"/>
    </row>
    <row r="233" spans="2:25" x14ac:dyDescent="0.2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113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/>
      <c r="V233" s="1"/>
      <c r="W233" s="1"/>
      <c r="X233" s="1"/>
      <c r="Y233" s="1"/>
    </row>
    <row r="234" spans="2:25" x14ac:dyDescent="0.2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/>
      <c r="V234" s="1"/>
      <c r="W234" s="1"/>
      <c r="X234" s="1"/>
      <c r="Y234" s="1"/>
    </row>
    <row r="235" spans="2:25" x14ac:dyDescent="0.25">
      <c r="B235" s="4">
        <v>20012364</v>
      </c>
      <c r="C235" s="1" t="s">
        <v>1475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290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/>
      <c r="V235" s="1"/>
      <c r="W235" s="1"/>
      <c r="X235" s="1"/>
      <c r="Y235" s="1"/>
    </row>
    <row r="236" spans="2:25" x14ac:dyDescent="0.25">
      <c r="B236" s="4">
        <v>20012365</v>
      </c>
      <c r="C236" s="1" t="s">
        <v>1503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/>
      <c r="V236" s="1"/>
      <c r="W236" s="1"/>
      <c r="X236" s="1"/>
      <c r="Y236" s="1"/>
    </row>
    <row r="237" spans="2:25" x14ac:dyDescent="0.2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91</v>
      </c>
      <c r="S237" s="11"/>
      <c r="T237" s="4" t="s">
        <v>66</v>
      </c>
      <c r="U237" s="1"/>
      <c r="V237" s="1"/>
      <c r="W237" s="1"/>
      <c r="X237" s="1"/>
      <c r="Y237" s="1"/>
    </row>
    <row r="238" spans="2:25" x14ac:dyDescent="0.25">
      <c r="B238" s="4">
        <v>20012367</v>
      </c>
      <c r="C238" s="1" t="s">
        <v>1504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67"/>
      <c r="N238"/>
      <c r="O238" s="4"/>
      <c r="P238" s="1"/>
      <c r="Q238" s="22"/>
      <c r="R238"/>
      <c r="S238" s="11"/>
      <c r="T238" s="4" t="s">
        <v>71</v>
      </c>
      <c r="U238" s="1"/>
      <c r="V238" s="1"/>
      <c r="W238" s="1"/>
      <c r="X238" s="1"/>
      <c r="Y238" s="1"/>
    </row>
    <row r="239" spans="2:25" x14ac:dyDescent="0.2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25">
      <c r="B240" s="4">
        <v>20012378</v>
      </c>
      <c r="C240" s="1" t="s">
        <v>1302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25">
      <c r="B241" s="4">
        <v>20012380</v>
      </c>
      <c r="C241" s="1" t="s">
        <v>1413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2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2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25">
      <c r="B244" s="4">
        <v>20012425</v>
      </c>
      <c r="C244" s="1" t="s">
        <v>1347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8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25">
      <c r="B245" s="4">
        <v>20013634</v>
      </c>
      <c r="C245" s="1" t="s">
        <v>1339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25">
      <c r="B246" s="4">
        <v>20012429</v>
      </c>
      <c r="C246" s="1" t="s">
        <v>1348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2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25">
      <c r="B248" s="4">
        <v>20012432</v>
      </c>
      <c r="C248" s="1" t="s">
        <v>1349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11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25">
      <c r="B249" s="4">
        <v>20012614</v>
      </c>
      <c r="C249" s="1" t="s">
        <v>1110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2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25">
      <c r="B251" s="4">
        <v>20013235</v>
      </c>
      <c r="C251" s="1" t="s">
        <v>1303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74" t="s">
        <v>1425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2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4</v>
      </c>
      <c r="J252" s="4" t="s">
        <v>8</v>
      </c>
      <c r="K252" s="4" t="s">
        <v>9</v>
      </c>
      <c r="L252" s="11"/>
      <c r="M252" s="3"/>
      <c r="N252">
        <v>4502671912</v>
      </c>
      <c r="O252" s="4">
        <v>20</v>
      </c>
      <c r="P252" s="1" t="s">
        <v>1587</v>
      </c>
      <c r="Q252" s="22">
        <v>46174</v>
      </c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2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25">
      <c r="B254" s="4">
        <v>20013237</v>
      </c>
      <c r="C254" s="1" t="s">
        <v>1329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58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2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17"/>
      <c r="P255" s="75"/>
      <c r="Q255" s="24"/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25">
      <c r="B256" s="4">
        <v>20013238</v>
      </c>
      <c r="C256" s="1" t="s">
        <v>1304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2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2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3</v>
      </c>
      <c r="J258" s="4" t="s">
        <v>8</v>
      </c>
      <c r="K258" s="4" t="s">
        <v>9</v>
      </c>
      <c r="L258" s="11">
        <v>1002644419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2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16"/>
      <c r="P259" s="74"/>
      <c r="Q259" s="23"/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2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2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2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2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5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25">
      <c r="B264" s="4">
        <v>20014687</v>
      </c>
      <c r="C264" s="1" t="s">
        <v>232</v>
      </c>
      <c r="D264" s="4" t="s">
        <v>89</v>
      </c>
      <c r="E264" s="3" t="s">
        <v>1649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2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2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2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1656</v>
      </c>
      <c r="M267" s="3"/>
      <c r="N267"/>
      <c r="O267" s="4"/>
      <c r="P267" s="1"/>
      <c r="Q267" s="22"/>
      <c r="R267" t="s">
        <v>193</v>
      </c>
      <c r="S267" s="11" t="s">
        <v>1596</v>
      </c>
      <c r="T267" s="4" t="s">
        <v>66</v>
      </c>
      <c r="U267" s="1"/>
      <c r="V267" s="1"/>
      <c r="W267" s="1"/>
      <c r="X267" s="1"/>
      <c r="Y267" s="1"/>
    </row>
    <row r="268" spans="2:25" x14ac:dyDescent="0.25">
      <c r="B268" s="4">
        <v>20013797</v>
      </c>
      <c r="C268" s="1" t="s">
        <v>1330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2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1</v>
      </c>
      <c r="J269" s="4" t="s">
        <v>8</v>
      </c>
      <c r="K269" s="4" t="s">
        <v>9</v>
      </c>
      <c r="L269" s="11"/>
      <c r="M269" s="3"/>
      <c r="N269">
        <v>4502671912</v>
      </c>
      <c r="O269" s="4">
        <v>24</v>
      </c>
      <c r="P269" s="1" t="s">
        <v>1587</v>
      </c>
      <c r="Q269" s="22">
        <v>46174</v>
      </c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25">
      <c r="B270" s="4">
        <v>20013799</v>
      </c>
      <c r="C270" s="1" t="s">
        <v>1331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2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25">
      <c r="B272" s="4">
        <v>20013800</v>
      </c>
      <c r="C272" s="1" t="s">
        <v>1284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2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2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128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2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2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25">
      <c r="B277" s="4">
        <v>20013978</v>
      </c>
      <c r="C277" s="1" t="s">
        <v>1250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2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 t="s">
        <v>1662</v>
      </c>
      <c r="M278" s="3">
        <v>2000</v>
      </c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2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2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15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2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2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2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2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2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2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2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2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25">
      <c r="B289" s="4">
        <v>20014821</v>
      </c>
      <c r="C289" s="1" t="s">
        <v>1332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25">
      <c r="B290" s="4">
        <v>20014822</v>
      </c>
      <c r="C290" s="1" t="s">
        <v>1333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25">
      <c r="B291" s="4">
        <v>20017680</v>
      </c>
      <c r="C291" s="1" t="s">
        <v>253</v>
      </c>
      <c r="D291" s="4" t="s">
        <v>89</v>
      </c>
      <c r="E291" s="3" t="s">
        <v>1649</v>
      </c>
      <c r="F291" s="3" t="s">
        <v>92</v>
      </c>
      <c r="G291" s="4">
        <v>22</v>
      </c>
      <c r="H291" s="4">
        <v>36</v>
      </c>
      <c r="I291" s="4">
        <v>36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25">
      <c r="B292" s="4">
        <v>20014827</v>
      </c>
      <c r="C292" s="1" t="s">
        <v>1285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2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1597</v>
      </c>
      <c r="T293" s="4" t="s">
        <v>70</v>
      </c>
      <c r="U293" s="1"/>
      <c r="V293" s="1"/>
      <c r="W293" s="1"/>
      <c r="X293" s="1"/>
      <c r="Y293" s="1"/>
    </row>
    <row r="294" spans="2:25" x14ac:dyDescent="0.25">
      <c r="B294" s="4">
        <v>20014829</v>
      </c>
      <c r="C294" s="1" t="s">
        <v>365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2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2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2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25">
      <c r="B298" s="4">
        <v>20015136</v>
      </c>
      <c r="C298" s="1" t="s">
        <v>1476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2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2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2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25">
      <c r="B302" s="4">
        <v>20019502</v>
      </c>
      <c r="C302" s="1" t="s">
        <v>1023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25">
      <c r="B303" s="4">
        <v>20015589</v>
      </c>
      <c r="C303" s="1" t="s">
        <v>1286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2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25">
      <c r="B305" s="4">
        <v>20015638</v>
      </c>
      <c r="C305" s="1" t="s">
        <v>1414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2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25">
      <c r="B307" s="4">
        <v>20015709</v>
      </c>
      <c r="C307" s="1" t="s">
        <v>1305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2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25">
      <c r="B309" s="4">
        <v>20016025</v>
      </c>
      <c r="C309" s="1" t="s">
        <v>1552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2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25">
      <c r="B311" s="4">
        <v>20019674</v>
      </c>
      <c r="C311" s="1" t="s">
        <v>265</v>
      </c>
      <c r="D311" s="4" t="s">
        <v>89</v>
      </c>
      <c r="E311" s="3" t="s">
        <v>1649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2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2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25">
      <c r="B314" s="4">
        <v>20019729</v>
      </c>
      <c r="C314" s="1" t="s">
        <v>268</v>
      </c>
      <c r="D314" s="4" t="s">
        <v>89</v>
      </c>
      <c r="E314" s="3" t="s">
        <v>1649</v>
      </c>
      <c r="F314" s="3" t="s">
        <v>92</v>
      </c>
      <c r="G314" s="4">
        <v>10</v>
      </c>
      <c r="H314" s="4">
        <v>20</v>
      </c>
      <c r="I314" s="4">
        <v>3</v>
      </c>
      <c r="J314" s="4" t="s">
        <v>8</v>
      </c>
      <c r="K314" s="4" t="s">
        <v>9</v>
      </c>
      <c r="L314" s="11"/>
      <c r="M314" s="3"/>
      <c r="N314">
        <v>4502671912</v>
      </c>
      <c r="O314" s="4">
        <v>25</v>
      </c>
      <c r="P314" s="1" t="s">
        <v>1587</v>
      </c>
      <c r="Q314" s="22">
        <v>46174</v>
      </c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25">
      <c r="B315" s="4">
        <v>20016983</v>
      </c>
      <c r="C315" s="1" t="s">
        <v>1530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2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2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2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25">
      <c r="B319" s="4">
        <v>20017830</v>
      </c>
      <c r="C319" s="1" t="s">
        <v>1415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2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25">
      <c r="B321" s="4">
        <v>20018239</v>
      </c>
      <c r="C321" s="1" t="s">
        <v>1535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2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25">
      <c r="B323" s="4">
        <v>20018240</v>
      </c>
      <c r="C323" s="1" t="s">
        <v>1536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25">
      <c r="B324" s="4">
        <v>20019788</v>
      </c>
      <c r="C324" s="1" t="s">
        <v>1377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1568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2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15</v>
      </c>
      <c r="J325" s="4" t="s">
        <v>8</v>
      </c>
      <c r="K325" s="4" t="s">
        <v>9</v>
      </c>
      <c r="L325" s="11"/>
      <c r="M325" s="3"/>
      <c r="N325">
        <v>4502674675</v>
      </c>
      <c r="O325" s="4">
        <v>30</v>
      </c>
      <c r="P325" s="1" t="s">
        <v>1513</v>
      </c>
      <c r="Q325" s="22">
        <v>46169</v>
      </c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2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25">
      <c r="B327" s="4">
        <v>20018777</v>
      </c>
      <c r="C327" s="1" t="s">
        <v>1387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22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2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25">
      <c r="B329" s="4">
        <v>20018778</v>
      </c>
      <c r="C329" s="1" t="s">
        <v>1537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25">
      <c r="B330" s="4">
        <v>20018779</v>
      </c>
      <c r="C330" s="1" t="s">
        <v>1538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2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25">
      <c r="B332" s="4">
        <v>20019411</v>
      </c>
      <c r="C332" s="1" t="s">
        <v>1334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2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2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4400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1558</v>
      </c>
      <c r="Q334" s="22">
        <v>46202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25">
      <c r="B335" s="4">
        <v>20019917</v>
      </c>
      <c r="C335" s="1" t="s">
        <v>280</v>
      </c>
      <c r="D335" s="4" t="s">
        <v>89</v>
      </c>
      <c r="E335" s="3" t="s">
        <v>1649</v>
      </c>
      <c r="F335" s="3" t="s">
        <v>92</v>
      </c>
      <c r="G335" s="4">
        <v>5</v>
      </c>
      <c r="H335" s="4">
        <v>10</v>
      </c>
      <c r="I335" s="4">
        <v>14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2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25">
      <c r="B337" s="4">
        <v>20019671</v>
      </c>
      <c r="C337" s="1" t="s">
        <v>1487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25">
      <c r="B338" s="4">
        <v>20019920</v>
      </c>
      <c r="C338" s="1" t="s">
        <v>282</v>
      </c>
      <c r="D338" s="4" t="s">
        <v>89</v>
      </c>
      <c r="E338" s="3" t="s">
        <v>1649</v>
      </c>
      <c r="F338" s="3" t="s">
        <v>92</v>
      </c>
      <c r="G338" s="4">
        <v>150</v>
      </c>
      <c r="H338" s="4">
        <v>300</v>
      </c>
      <c r="I338" s="4">
        <v>269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1513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25">
      <c r="B339" s="4">
        <v>20019945</v>
      </c>
      <c r="C339" s="1" t="s">
        <v>283</v>
      </c>
      <c r="D339" s="4" t="s">
        <v>89</v>
      </c>
      <c r="E339" s="3" t="s">
        <v>1649</v>
      </c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1598</v>
      </c>
      <c r="T339" s="4" t="s">
        <v>70</v>
      </c>
      <c r="U339" s="1"/>
      <c r="V339" s="1"/>
      <c r="W339" s="1"/>
      <c r="X339" s="1"/>
      <c r="Y339" s="1"/>
    </row>
    <row r="340" spans="2:25" x14ac:dyDescent="0.25">
      <c r="B340" s="4">
        <v>20019946</v>
      </c>
      <c r="C340" s="1" t="s">
        <v>284</v>
      </c>
      <c r="D340" s="4" t="s">
        <v>89</v>
      </c>
      <c r="E340" s="3" t="s">
        <v>1649</v>
      </c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1599</v>
      </c>
      <c r="T340" s="4" t="s">
        <v>70</v>
      </c>
      <c r="U340" s="1"/>
      <c r="V340" s="1"/>
      <c r="W340" s="1"/>
      <c r="X340" s="1"/>
      <c r="Y340" s="1"/>
    </row>
    <row r="341" spans="2:25" x14ac:dyDescent="0.25">
      <c r="B341" s="4">
        <v>20019948</v>
      </c>
      <c r="C341" s="1" t="s">
        <v>285</v>
      </c>
      <c r="D341" s="4" t="s">
        <v>89</v>
      </c>
      <c r="E341" s="3" t="s">
        <v>1649</v>
      </c>
      <c r="F341" s="3" t="s">
        <v>92</v>
      </c>
      <c r="G341" s="4">
        <v>4</v>
      </c>
      <c r="H341" s="4">
        <v>7</v>
      </c>
      <c r="I341" s="4">
        <v>9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1599</v>
      </c>
      <c r="T341" s="4" t="s">
        <v>70</v>
      </c>
      <c r="U341" s="1"/>
      <c r="V341" s="1"/>
      <c r="W341" s="1"/>
      <c r="X341" s="1"/>
      <c r="Y341" s="1"/>
    </row>
    <row r="342" spans="2:25" x14ac:dyDescent="0.2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70">
        <v>1002644389</v>
      </c>
      <c r="M342" s="3">
        <v>40</v>
      </c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2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160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2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25">
      <c r="B345" s="4">
        <v>20020007</v>
      </c>
      <c r="C345" s="1" t="s">
        <v>17</v>
      </c>
      <c r="D345" s="4" t="s">
        <v>89</v>
      </c>
      <c r="E345" s="3" t="s">
        <v>1649</v>
      </c>
      <c r="F345" s="3" t="s">
        <v>92</v>
      </c>
      <c r="G345" s="4">
        <v>30</v>
      </c>
      <c r="H345" s="4">
        <v>40</v>
      </c>
      <c r="I345" s="4">
        <v>31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25">
      <c r="B346" s="4">
        <v>20020070</v>
      </c>
      <c r="C346" s="1" t="s">
        <v>289</v>
      </c>
      <c r="D346" s="4" t="s">
        <v>89</v>
      </c>
      <c r="E346" s="3" t="s">
        <v>1649</v>
      </c>
      <c r="F346" s="3" t="s">
        <v>92</v>
      </c>
      <c r="G346" s="4">
        <v>5</v>
      </c>
      <c r="H346" s="4">
        <v>5</v>
      </c>
      <c r="I346" s="4">
        <v>5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25">
      <c r="B347" s="4">
        <v>20020071</v>
      </c>
      <c r="C347" s="1" t="s">
        <v>290</v>
      </c>
      <c r="D347" s="4" t="s">
        <v>89</v>
      </c>
      <c r="E347" s="3" t="s">
        <v>1649</v>
      </c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25">
      <c r="B348" s="4">
        <v>20019787</v>
      </c>
      <c r="C348" s="1" t="s">
        <v>1378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25">
      <c r="B349" s="4">
        <v>20020075</v>
      </c>
      <c r="C349" s="1" t="s">
        <v>75</v>
      </c>
      <c r="D349" s="4" t="s">
        <v>89</v>
      </c>
      <c r="E349" s="3" t="s">
        <v>1649</v>
      </c>
      <c r="F349" s="3" t="s">
        <v>92</v>
      </c>
      <c r="G349" s="4">
        <v>300</v>
      </c>
      <c r="H349" s="4">
        <v>400</v>
      </c>
      <c r="I349" s="4">
        <v>617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25">
      <c r="B350" s="4">
        <v>20020076</v>
      </c>
      <c r="C350" s="1" t="s">
        <v>291</v>
      </c>
      <c r="D350" s="4" t="s">
        <v>89</v>
      </c>
      <c r="E350" s="3" t="s">
        <v>1649</v>
      </c>
      <c r="F350" s="3" t="s">
        <v>92</v>
      </c>
      <c r="G350" s="4">
        <v>40</v>
      </c>
      <c r="H350" s="4">
        <v>100</v>
      </c>
      <c r="I350" s="4">
        <v>90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25">
      <c r="B351" s="4">
        <v>20020077</v>
      </c>
      <c r="C351" s="1" t="s">
        <v>292</v>
      </c>
      <c r="D351" s="4" t="s">
        <v>89</v>
      </c>
      <c r="E351" s="3" t="s">
        <v>1649</v>
      </c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25">
      <c r="B352" s="4">
        <v>20020078</v>
      </c>
      <c r="C352" s="1" t="s">
        <v>293</v>
      </c>
      <c r="D352" s="4" t="s">
        <v>89</v>
      </c>
      <c r="E352" s="3" t="s">
        <v>1649</v>
      </c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25">
      <c r="B353" s="4">
        <v>20020079</v>
      </c>
      <c r="C353" s="1" t="s">
        <v>294</v>
      </c>
      <c r="D353" s="4" t="s">
        <v>89</v>
      </c>
      <c r="E353" s="3" t="s">
        <v>1649</v>
      </c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25">
      <c r="B354" s="4">
        <v>20020080</v>
      </c>
      <c r="C354" s="1" t="s">
        <v>295</v>
      </c>
      <c r="D354" s="4" t="s">
        <v>89</v>
      </c>
      <c r="E354" s="3" t="s">
        <v>1649</v>
      </c>
      <c r="F354" s="3" t="s">
        <v>92</v>
      </c>
      <c r="G354" s="4">
        <v>60</v>
      </c>
      <c r="H354" s="4">
        <v>200</v>
      </c>
      <c r="I354" s="4">
        <v>184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2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25">
      <c r="B355" s="4">
        <v>20020081</v>
      </c>
      <c r="C355" s="1" t="s">
        <v>296</v>
      </c>
      <c r="D355" s="4" t="s">
        <v>89</v>
      </c>
      <c r="E355" s="3" t="s">
        <v>1649</v>
      </c>
      <c r="F355" s="3" t="s">
        <v>92</v>
      </c>
      <c r="G355" s="4">
        <v>100</v>
      </c>
      <c r="H355" s="4">
        <v>200</v>
      </c>
      <c r="I355" s="4">
        <v>218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2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2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25">
      <c r="B358" s="4">
        <v>20020122</v>
      </c>
      <c r="C358" s="1" t="s">
        <v>299</v>
      </c>
      <c r="D358" s="4" t="s">
        <v>89</v>
      </c>
      <c r="E358" s="3" t="s">
        <v>1649</v>
      </c>
      <c r="F358" s="3" t="s">
        <v>92</v>
      </c>
      <c r="G358" s="4">
        <v>10</v>
      </c>
      <c r="H358" s="4">
        <v>15</v>
      </c>
      <c r="I358" s="4">
        <v>10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25">
      <c r="B359" s="4">
        <v>20020123</v>
      </c>
      <c r="C359" s="1" t="s">
        <v>300</v>
      </c>
      <c r="D359" s="4" t="s">
        <v>89</v>
      </c>
      <c r="E359" s="3" t="s">
        <v>1649</v>
      </c>
      <c r="F359" s="3" t="s">
        <v>92</v>
      </c>
      <c r="G359" s="4">
        <v>15</v>
      </c>
      <c r="H359" s="4">
        <v>25</v>
      </c>
      <c r="I359" s="4">
        <v>33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25">
      <c r="B360" s="4">
        <v>20020124</v>
      </c>
      <c r="C360" s="1" t="s">
        <v>301</v>
      </c>
      <c r="D360" s="4" t="s">
        <v>89</v>
      </c>
      <c r="E360" s="3" t="s">
        <v>1649</v>
      </c>
      <c r="F360" s="3" t="s">
        <v>92</v>
      </c>
      <c r="G360" s="4">
        <v>10</v>
      </c>
      <c r="H360" s="4">
        <v>17</v>
      </c>
      <c r="I360" s="4">
        <v>24</v>
      </c>
      <c r="J360" s="4" t="s">
        <v>21</v>
      </c>
      <c r="K360" s="4" t="s">
        <v>7</v>
      </c>
      <c r="L360" s="11"/>
      <c r="M360" s="3"/>
      <c r="N360">
        <v>4502681928</v>
      </c>
      <c r="O360" s="4">
        <v>17</v>
      </c>
      <c r="P360" s="1" t="s">
        <v>22</v>
      </c>
      <c r="Q360" s="22">
        <v>46191</v>
      </c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25">
      <c r="B361" s="4">
        <v>20019922</v>
      </c>
      <c r="C361" s="1" t="s">
        <v>1344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25">
      <c r="B362" s="4">
        <v>20020125</v>
      </c>
      <c r="C362" s="1" t="s">
        <v>302</v>
      </c>
      <c r="D362" s="4" t="s">
        <v>89</v>
      </c>
      <c r="E362" s="3" t="s">
        <v>1649</v>
      </c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25">
      <c r="B363" s="4">
        <v>20019923</v>
      </c>
      <c r="C363" s="1" t="s">
        <v>1262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25">
      <c r="B364" s="4">
        <v>20020126</v>
      </c>
      <c r="C364" s="1" t="s">
        <v>303</v>
      </c>
      <c r="D364" s="4" t="s">
        <v>89</v>
      </c>
      <c r="E364" s="3" t="s">
        <v>1649</v>
      </c>
      <c r="F364" s="3" t="s">
        <v>92</v>
      </c>
      <c r="G364" s="4">
        <v>3</v>
      </c>
      <c r="H364" s="4">
        <v>4</v>
      </c>
      <c r="I364" s="4">
        <v>6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25">
      <c r="B365" s="4">
        <v>20020152</v>
      </c>
      <c r="C365" s="1" t="s">
        <v>18</v>
      </c>
      <c r="D365" s="4" t="s">
        <v>89</v>
      </c>
      <c r="E365" s="3" t="s">
        <v>1649</v>
      </c>
      <c r="F365" s="3" t="s">
        <v>92</v>
      </c>
      <c r="G365" s="4">
        <v>70</v>
      </c>
      <c r="H365" s="4">
        <v>125</v>
      </c>
      <c r="I365" s="4">
        <v>237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25">
      <c r="B366" s="4">
        <v>20020153</v>
      </c>
      <c r="C366" s="1" t="s">
        <v>39</v>
      </c>
      <c r="D366" s="4" t="s">
        <v>89</v>
      </c>
      <c r="E366" s="3" t="s">
        <v>1649</v>
      </c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25">
      <c r="B367" s="4">
        <v>20020154</v>
      </c>
      <c r="C367" s="1" t="s">
        <v>19</v>
      </c>
      <c r="D367" s="4" t="s">
        <v>89</v>
      </c>
      <c r="E367" s="3" t="s">
        <v>1649</v>
      </c>
      <c r="F367" s="3" t="s">
        <v>92</v>
      </c>
      <c r="G367" s="4">
        <v>50</v>
      </c>
      <c r="H367" s="4">
        <v>100</v>
      </c>
      <c r="I367" s="4">
        <v>162</v>
      </c>
      <c r="J367" s="4" t="s">
        <v>10</v>
      </c>
      <c r="K367" s="4" t="s">
        <v>14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2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2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25">
      <c r="B370" s="4">
        <v>20020191</v>
      </c>
      <c r="C370" s="1" t="s">
        <v>40</v>
      </c>
      <c r="D370" s="4" t="s">
        <v>89</v>
      </c>
      <c r="E370" s="3" t="s">
        <v>1649</v>
      </c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25">
      <c r="B371" s="4">
        <v>20020201</v>
      </c>
      <c r="C371" s="1" t="s">
        <v>41</v>
      </c>
      <c r="D371" s="4" t="s">
        <v>89</v>
      </c>
      <c r="E371" s="3" t="s">
        <v>1649</v>
      </c>
      <c r="F371" s="3" t="s">
        <v>92</v>
      </c>
      <c r="G371" s="4">
        <v>501</v>
      </c>
      <c r="H371" s="4">
        <v>600</v>
      </c>
      <c r="I371" s="4">
        <v>566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25">
      <c r="B372" s="4">
        <v>20020202</v>
      </c>
      <c r="C372" s="1" t="s">
        <v>42</v>
      </c>
      <c r="D372" s="4" t="s">
        <v>89</v>
      </c>
      <c r="E372" s="3" t="s">
        <v>1649</v>
      </c>
      <c r="F372" s="3" t="s">
        <v>92</v>
      </c>
      <c r="G372" s="4">
        <v>550</v>
      </c>
      <c r="H372" s="4">
        <v>900</v>
      </c>
      <c r="I372" s="4">
        <v>664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25">
      <c r="B373" s="4">
        <v>20020203</v>
      </c>
      <c r="C373" s="1" t="s">
        <v>43</v>
      </c>
      <c r="D373" s="4" t="s">
        <v>89</v>
      </c>
      <c r="E373" s="3" t="s">
        <v>1649</v>
      </c>
      <c r="F373" s="3" t="s">
        <v>92</v>
      </c>
      <c r="G373" s="4">
        <v>145</v>
      </c>
      <c r="H373" s="4">
        <v>288</v>
      </c>
      <c r="I373" s="4">
        <v>314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25">
      <c r="B374" s="4">
        <v>20020204</v>
      </c>
      <c r="C374" s="1" t="s">
        <v>306</v>
      </c>
      <c r="D374" s="4" t="s">
        <v>89</v>
      </c>
      <c r="E374" s="3" t="s">
        <v>1649</v>
      </c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2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25">
      <c r="B376" s="15">
        <v>20020326</v>
      </c>
      <c r="C376" s="1" t="s">
        <v>308</v>
      </c>
      <c r="D376" s="4" t="s">
        <v>89</v>
      </c>
      <c r="E376" s="3" t="s">
        <v>1649</v>
      </c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2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28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25">
      <c r="B378" s="4">
        <v>20020345</v>
      </c>
      <c r="C378" s="1" t="s">
        <v>310</v>
      </c>
      <c r="D378" s="4" t="s">
        <v>89</v>
      </c>
      <c r="E378" s="3" t="s">
        <v>1649</v>
      </c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2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25">
      <c r="B380" s="4">
        <v>20020351</v>
      </c>
      <c r="C380" s="1" t="s">
        <v>1533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10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25">
      <c r="B381" s="4">
        <v>20020355</v>
      </c>
      <c r="C381" s="1" t="s">
        <v>311</v>
      </c>
      <c r="D381" s="4" t="s">
        <v>89</v>
      </c>
      <c r="E381" s="3" t="s">
        <v>1649</v>
      </c>
      <c r="F381" s="3" t="s">
        <v>92</v>
      </c>
      <c r="G381" s="4">
        <v>8</v>
      </c>
      <c r="H381" s="4">
        <v>15</v>
      </c>
      <c r="I381" s="4">
        <v>2</v>
      </c>
      <c r="J381" s="4" t="s">
        <v>8</v>
      </c>
      <c r="K381" s="4" t="s">
        <v>9</v>
      </c>
      <c r="L381" s="11">
        <v>1002648065</v>
      </c>
      <c r="M381" s="3">
        <v>21</v>
      </c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25">
      <c r="B382" s="4">
        <v>20020417</v>
      </c>
      <c r="C382" s="1" t="s">
        <v>312</v>
      </c>
      <c r="D382" s="4" t="s">
        <v>89</v>
      </c>
      <c r="E382" s="3" t="s">
        <v>1649</v>
      </c>
      <c r="F382" s="3" t="s">
        <v>92</v>
      </c>
      <c r="G382" s="4">
        <v>60</v>
      </c>
      <c r="H382" s="4">
        <v>100</v>
      </c>
      <c r="I382" s="4">
        <v>110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25">
      <c r="B383" s="4">
        <v>20020503</v>
      </c>
      <c r="C383" s="1" t="s">
        <v>1388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25">
      <c r="B384" s="4">
        <v>20020532</v>
      </c>
      <c r="C384" s="1" t="s">
        <v>44</v>
      </c>
      <c r="D384" s="4" t="s">
        <v>89</v>
      </c>
      <c r="E384" s="3" t="s">
        <v>1649</v>
      </c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25">
      <c r="B385" s="4">
        <v>20020567</v>
      </c>
      <c r="C385" s="1" t="s">
        <v>313</v>
      </c>
      <c r="D385" s="4" t="s">
        <v>89</v>
      </c>
      <c r="E385" s="3" t="s">
        <v>1649</v>
      </c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25">
      <c r="B386" s="4">
        <v>20020170</v>
      </c>
      <c r="C386" s="1" t="s">
        <v>1226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81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25">
      <c r="B387" s="4">
        <v>20020663</v>
      </c>
      <c r="C387" s="1" t="s">
        <v>314</v>
      </c>
      <c r="D387" s="4" t="s">
        <v>89</v>
      </c>
      <c r="E387" s="3" t="s">
        <v>1649</v>
      </c>
      <c r="F387" s="3" t="s">
        <v>92</v>
      </c>
      <c r="G387" s="4">
        <v>15</v>
      </c>
      <c r="H387" s="4">
        <v>10</v>
      </c>
      <c r="I387" s="4">
        <v>11</v>
      </c>
      <c r="J387" s="4" t="s">
        <v>8</v>
      </c>
      <c r="K387" s="4" t="s">
        <v>9</v>
      </c>
      <c r="L387" s="11" t="s">
        <v>1664</v>
      </c>
      <c r="M387" s="3">
        <v>14</v>
      </c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25">
      <c r="B388" s="4">
        <v>20020664</v>
      </c>
      <c r="C388" s="1" t="s">
        <v>315</v>
      </c>
      <c r="D388" s="4" t="s">
        <v>89</v>
      </c>
      <c r="E388" s="3" t="s">
        <v>1649</v>
      </c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25">
      <c r="B389" s="4">
        <v>20020665</v>
      </c>
      <c r="C389" s="1" t="s">
        <v>316</v>
      </c>
      <c r="D389" s="4" t="s">
        <v>89</v>
      </c>
      <c r="E389" s="3" t="s">
        <v>1649</v>
      </c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25">
      <c r="B390" s="4">
        <v>20020666</v>
      </c>
      <c r="C390" s="1" t="s">
        <v>45</v>
      </c>
      <c r="D390" s="4" t="s">
        <v>89</v>
      </c>
      <c r="E390" s="3" t="s">
        <v>1649</v>
      </c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25">
      <c r="B391" s="4">
        <v>20020667</v>
      </c>
      <c r="C391" s="1" t="s">
        <v>317</v>
      </c>
      <c r="D391" s="4" t="s">
        <v>89</v>
      </c>
      <c r="E391" s="3" t="s">
        <v>1649</v>
      </c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2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2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2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2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1628</v>
      </c>
      <c r="Q395" s="22">
        <v>46160</v>
      </c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2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2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2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25">
      <c r="B399" s="4">
        <v>20020513</v>
      </c>
      <c r="C399" s="1" t="s">
        <v>1531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1425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2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9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25">
      <c r="B401" s="4">
        <v>20020867</v>
      </c>
      <c r="C401" s="1" t="s">
        <v>1223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180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2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10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25">
      <c r="B403" s="4">
        <v>20020618</v>
      </c>
      <c r="C403" s="1" t="s">
        <v>1389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2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2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2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2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25">
      <c r="B408" s="4">
        <v>20021134</v>
      </c>
      <c r="C408" s="1" t="s">
        <v>1390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2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25">
      <c r="B410" s="4">
        <v>20020686</v>
      </c>
      <c r="C410" s="1" t="s">
        <v>1306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2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12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2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2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25">
      <c r="B414" s="4">
        <v>20020781</v>
      </c>
      <c r="C414" s="1" t="s">
        <v>1287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2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2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2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2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2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2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2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1593</v>
      </c>
      <c r="T421" s="4" t="s">
        <v>71</v>
      </c>
      <c r="U421" s="1"/>
      <c r="V421" s="1"/>
      <c r="W421" s="1"/>
      <c r="X421" s="1"/>
      <c r="Y421" s="1"/>
    </row>
    <row r="422" spans="2:25" x14ac:dyDescent="0.25">
      <c r="B422" s="4">
        <v>20021153</v>
      </c>
      <c r="C422" s="1" t="s">
        <v>1224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30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25">
      <c r="B423" s="4">
        <v>20021816</v>
      </c>
      <c r="C423" s="1" t="s">
        <v>1431</v>
      </c>
      <c r="D423" s="4" t="s">
        <v>89</v>
      </c>
      <c r="E423" s="3" t="s">
        <v>1649</v>
      </c>
      <c r="F423" s="3" t="s">
        <v>92</v>
      </c>
      <c r="G423" s="4">
        <v>50</v>
      </c>
      <c r="H423" s="4">
        <v>80</v>
      </c>
      <c r="I423" s="4">
        <v>93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25">
      <c r="B424" s="4">
        <v>20021894</v>
      </c>
      <c r="C424" s="1" t="s">
        <v>342</v>
      </c>
      <c r="D424" s="4" t="s">
        <v>89</v>
      </c>
      <c r="E424" s="3" t="s">
        <v>1649</v>
      </c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2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25">
      <c r="B426" s="4">
        <v>20021920</v>
      </c>
      <c r="C426" s="1" t="s">
        <v>344</v>
      </c>
      <c r="D426" s="4" t="s">
        <v>89</v>
      </c>
      <c r="E426" s="3" t="s">
        <v>1649</v>
      </c>
      <c r="F426" s="3" t="s">
        <v>92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2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25">
      <c r="B428" s="4">
        <v>20022078</v>
      </c>
      <c r="C428" s="1" t="s">
        <v>346</v>
      </c>
      <c r="D428" s="4" t="s">
        <v>89</v>
      </c>
      <c r="E428" s="3" t="s">
        <v>1649</v>
      </c>
      <c r="F428" s="3" t="s">
        <v>92</v>
      </c>
      <c r="G428" s="4">
        <v>4</v>
      </c>
      <c r="H428" s="4">
        <v>8</v>
      </c>
      <c r="I428" s="4">
        <v>11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2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2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2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25">
      <c r="B432" s="4">
        <v>20021665</v>
      </c>
      <c r="C432" s="1" t="s">
        <v>1494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2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2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25">
      <c r="B435" s="4">
        <v>20022336</v>
      </c>
      <c r="C435" s="1" t="s">
        <v>352</v>
      </c>
      <c r="D435" s="4" t="s">
        <v>89</v>
      </c>
      <c r="E435" s="3" t="s">
        <v>1649</v>
      </c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2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25">
      <c r="B437" s="4">
        <v>20021907</v>
      </c>
      <c r="C437" s="1" t="s">
        <v>1369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2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25">
      <c r="B439" s="4">
        <v>20021909</v>
      </c>
      <c r="C439" s="1" t="s">
        <v>1350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2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25">
      <c r="B441" s="4">
        <v>20022011</v>
      </c>
      <c r="C441" s="1" t="s">
        <v>1391</v>
      </c>
      <c r="D441" s="4" t="s">
        <v>89</v>
      </c>
      <c r="E441" s="73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25">
      <c r="B442" s="4">
        <v>20022057</v>
      </c>
      <c r="C442" s="1" t="s">
        <v>1060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106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25">
      <c r="B443" s="4">
        <v>20022101</v>
      </c>
      <c r="C443" s="1" t="s">
        <v>1251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>
        <v>1002648051</v>
      </c>
      <c r="M443" s="3">
        <v>5</v>
      </c>
      <c r="N443"/>
      <c r="O443" s="4"/>
      <c r="P443" s="1"/>
      <c r="Q443" s="22"/>
      <c r="R443"/>
      <c r="S443" s="11"/>
      <c r="T443" s="4" t="s">
        <v>70</v>
      </c>
      <c r="U443" s="1"/>
      <c r="V443" s="1"/>
      <c r="W443" s="1"/>
      <c r="X443" s="1"/>
      <c r="Y443" s="1"/>
    </row>
    <row r="444" spans="2:25" x14ac:dyDescent="0.25">
      <c r="B444" s="4">
        <v>20022425</v>
      </c>
      <c r="C444" s="1" t="s">
        <v>874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25">
      <c r="B445" s="4">
        <v>20022605</v>
      </c>
      <c r="C445" s="1" t="s">
        <v>1307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25">
      <c r="B446" s="4">
        <v>20022683</v>
      </c>
      <c r="C446" s="1" t="s">
        <v>1392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25">
      <c r="B447" s="4">
        <v>20022697</v>
      </c>
      <c r="C447" s="1" t="s">
        <v>1252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25">
      <c r="B448" s="4">
        <v>20022698</v>
      </c>
      <c r="C448" s="1" t="s">
        <v>366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25">
      <c r="B449" s="4">
        <v>20022707</v>
      </c>
      <c r="C449" s="1" t="s">
        <v>367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28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25">
      <c r="B450" s="4">
        <v>20022711</v>
      </c>
      <c r="C450" s="1" t="s">
        <v>1253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25">
      <c r="B451" s="4">
        <v>20022877</v>
      </c>
      <c r="C451" s="1" t="s">
        <v>368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25">
      <c r="B452" s="4">
        <v>20022878</v>
      </c>
      <c r="C452" s="1" t="s">
        <v>369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25">
      <c r="B453" s="4">
        <v>20022888</v>
      </c>
      <c r="C453" s="1" t="s">
        <v>370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25">
      <c r="B454" s="4">
        <v>20022922</v>
      </c>
      <c r="C454" s="1" t="s">
        <v>371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25">
      <c r="B455" s="4">
        <v>20022924</v>
      </c>
      <c r="C455" s="1" t="s">
        <v>372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25">
      <c r="B456" s="4">
        <v>20022992</v>
      </c>
      <c r="C456" s="1" t="s">
        <v>373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4000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25">
      <c r="B457" s="4">
        <v>20023010</v>
      </c>
      <c r="C457" s="1" t="s">
        <v>374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25">
      <c r="B458" s="4">
        <v>20023022</v>
      </c>
      <c r="C458" s="1" t="s">
        <v>375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25">
      <c r="B459" s="4">
        <v>20023087</v>
      </c>
      <c r="C459" s="1" t="s">
        <v>376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25">
      <c r="B460" s="4">
        <v>20023178</v>
      </c>
      <c r="C460" s="1" t="s">
        <v>377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25">
      <c r="B461" s="4">
        <v>20023179</v>
      </c>
      <c r="C461" s="1" t="s">
        <v>378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25">
      <c r="B462" s="4">
        <v>20023241</v>
      </c>
      <c r="C462" s="1" t="s">
        <v>379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25">
      <c r="B463" s="4">
        <v>20023269</v>
      </c>
      <c r="C463" s="1" t="s">
        <v>380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13</v>
      </c>
      <c r="J463" s="4" t="s">
        <v>8</v>
      </c>
      <c r="K463" s="4" t="s">
        <v>9</v>
      </c>
      <c r="L463" s="11">
        <v>1002648063</v>
      </c>
      <c r="M463" s="3">
        <v>20</v>
      </c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25">
      <c r="B464" s="4">
        <v>20023350</v>
      </c>
      <c r="C464" s="1" t="s">
        <v>381</v>
      </c>
      <c r="D464" s="4" t="s">
        <v>89</v>
      </c>
      <c r="E464" s="3"/>
      <c r="F464" s="3" t="s">
        <v>69</v>
      </c>
      <c r="G464" s="4">
        <v>4</v>
      </c>
      <c r="H464" s="4">
        <v>4</v>
      </c>
      <c r="I464" s="4">
        <v>0</v>
      </c>
      <c r="J464" s="4" t="s">
        <v>8</v>
      </c>
      <c r="K464" s="4" t="s">
        <v>13</v>
      </c>
      <c r="L464" s="70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25">
      <c r="B465" s="4">
        <v>20023401</v>
      </c>
      <c r="C465" s="1" t="s">
        <v>382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25">
      <c r="B466" s="4">
        <v>20023429</v>
      </c>
      <c r="C466" s="1" t="s">
        <v>383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1593</v>
      </c>
      <c r="T466" s="4" t="s">
        <v>73</v>
      </c>
      <c r="U466" s="1"/>
      <c r="V466" s="1"/>
      <c r="W466" s="1"/>
      <c r="X466" s="1"/>
      <c r="Y466" s="1"/>
    </row>
    <row r="467" spans="2:25" x14ac:dyDescent="0.25">
      <c r="B467" s="4">
        <v>20023458</v>
      </c>
      <c r="C467" s="1" t="s">
        <v>1351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25">
      <c r="B468" s="4">
        <v>20023576</v>
      </c>
      <c r="C468" s="1" t="s">
        <v>384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/>
      <c r="M468" s="3"/>
      <c r="N468">
        <v>4502679862</v>
      </c>
      <c r="O468" s="4">
        <v>2000</v>
      </c>
      <c r="P468" s="1" t="s">
        <v>1572</v>
      </c>
      <c r="Q468" s="22">
        <v>46189</v>
      </c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25">
      <c r="B469" s="4">
        <v>20023655</v>
      </c>
      <c r="C469" s="1" t="s">
        <v>1288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25">
      <c r="B470" s="4">
        <v>20023659</v>
      </c>
      <c r="C470" s="1" t="s">
        <v>385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25">
      <c r="B471" s="4">
        <v>20023707</v>
      </c>
      <c r="C471" s="1" t="s">
        <v>386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25">
      <c r="B472" s="4">
        <v>20023885</v>
      </c>
      <c r="C472" s="1" t="s">
        <v>1447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25">
      <c r="B473" s="4">
        <v>20023886</v>
      </c>
      <c r="C473" s="1" t="s">
        <v>1534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25">
      <c r="B474" s="4">
        <v>20024029</v>
      </c>
      <c r="C474" s="1" t="s">
        <v>387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25">
      <c r="B475" s="4">
        <v>20024067</v>
      </c>
      <c r="C475" s="1" t="s">
        <v>388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25">
      <c r="B476" s="4">
        <v>20024068</v>
      </c>
      <c r="C476" s="1" t="s">
        <v>389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25">
      <c r="B477" s="4">
        <v>20024086</v>
      </c>
      <c r="C477" s="1" t="s">
        <v>390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25">
      <c r="B478" s="4">
        <v>20024123</v>
      </c>
      <c r="C478" s="1" t="s">
        <v>1370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/>
      <c r="M478" s="3"/>
      <c r="N478">
        <v>4502671912</v>
      </c>
      <c r="O478" s="4">
        <v>4</v>
      </c>
      <c r="P478" s="1" t="s">
        <v>1587</v>
      </c>
      <c r="Q478" s="22">
        <v>46174</v>
      </c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25">
      <c r="B479" s="4">
        <v>20024319</v>
      </c>
      <c r="C479" s="1" t="s">
        <v>391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118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25">
      <c r="B480" s="4">
        <v>20024336</v>
      </c>
      <c r="C480" s="1" t="s">
        <v>392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25">
      <c r="B481" s="4">
        <v>20024363</v>
      </c>
      <c r="C481" s="1" t="s">
        <v>393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25">
      <c r="B482" s="4">
        <v>20024371</v>
      </c>
      <c r="C482" s="1" t="s">
        <v>394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25">
      <c r="B483" s="4">
        <v>20024453</v>
      </c>
      <c r="C483" s="1" t="s">
        <v>395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25">
      <c r="B484" s="4">
        <v>20024458</v>
      </c>
      <c r="C484" s="1" t="s">
        <v>396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25">
      <c r="B485" s="4">
        <v>20024469</v>
      </c>
      <c r="C485" s="1" t="s">
        <v>397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25">
      <c r="B486" s="4">
        <v>20024538</v>
      </c>
      <c r="C486" s="1" t="s">
        <v>398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25">
      <c r="B487" s="4">
        <v>20024539</v>
      </c>
      <c r="C487" s="1" t="s">
        <v>399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25">
      <c r="B488" s="4">
        <v>20024542</v>
      </c>
      <c r="C488" s="1" t="s">
        <v>400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25">
      <c r="B489" s="4">
        <v>20024544</v>
      </c>
      <c r="C489" s="1" t="s">
        <v>401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25">
      <c r="B490" s="4">
        <v>20024595</v>
      </c>
      <c r="C490" s="1" t="s">
        <v>402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25">
      <c r="B491" s="4">
        <v>20024596</v>
      </c>
      <c r="C491" s="1" t="s">
        <v>403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2</v>
      </c>
      <c r="J491" s="4" t="s">
        <v>8</v>
      </c>
      <c r="K491" s="4" t="s">
        <v>9</v>
      </c>
      <c r="L491" s="11"/>
      <c r="M491" s="3"/>
      <c r="N491">
        <v>4502679028</v>
      </c>
      <c r="O491" s="4">
        <v>10</v>
      </c>
      <c r="P491" s="1" t="s">
        <v>1650</v>
      </c>
      <c r="Q491" s="22">
        <v>46181</v>
      </c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2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2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25">
      <c r="B494" s="4">
        <v>20024742</v>
      </c>
      <c r="C494" s="1" t="s">
        <v>404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25">
      <c r="B495" s="4">
        <v>20024748</v>
      </c>
      <c r="C495" s="1" t="s">
        <v>405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25">
      <c r="B496" s="4">
        <v>20024813</v>
      </c>
      <c r="C496" s="1" t="s">
        <v>406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25">
      <c r="B497" s="4">
        <v>20024829</v>
      </c>
      <c r="C497" s="1" t="s">
        <v>407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25">
      <c r="B498" s="4">
        <v>20024831</v>
      </c>
      <c r="C498" s="1" t="s">
        <v>408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35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25">
      <c r="B499" s="4">
        <v>20024832</v>
      </c>
      <c r="C499" s="1" t="s">
        <v>409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25">
      <c r="B500" s="4">
        <v>20024838</v>
      </c>
      <c r="C500" s="1" t="s">
        <v>410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5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25">
      <c r="B501" s="4">
        <v>20024847</v>
      </c>
      <c r="C501" s="1" t="s">
        <v>411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25">
      <c r="B502" s="4">
        <v>20024848</v>
      </c>
      <c r="C502" s="1" t="s">
        <v>412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25">
      <c r="B503" s="4">
        <v>20024849</v>
      </c>
      <c r="C503" s="1" t="s">
        <v>413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3</v>
      </c>
      <c r="J503" s="4" t="s">
        <v>21</v>
      </c>
      <c r="K503" s="4" t="s">
        <v>9</v>
      </c>
      <c r="L503" s="11"/>
      <c r="M503" s="3"/>
      <c r="N503">
        <v>4502671103</v>
      </c>
      <c r="O503" s="4">
        <v>12</v>
      </c>
      <c r="P503" s="1" t="s">
        <v>1570</v>
      </c>
      <c r="Q503" s="22">
        <v>46164</v>
      </c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25">
      <c r="B504" s="4">
        <v>20024850</v>
      </c>
      <c r="C504" s="1" t="s">
        <v>414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10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1570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25">
      <c r="B505" s="4">
        <v>20024851</v>
      </c>
      <c r="C505" s="1" t="s">
        <v>415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25">
      <c r="B506" s="4">
        <v>20024852</v>
      </c>
      <c r="C506" s="1" t="s">
        <v>416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/>
      <c r="M506" s="3"/>
      <c r="N506">
        <v>4502671103</v>
      </c>
      <c r="O506" s="4">
        <v>6</v>
      </c>
      <c r="P506" s="1" t="s">
        <v>1570</v>
      </c>
      <c r="Q506" s="22">
        <v>46164</v>
      </c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25">
      <c r="B507" s="4">
        <v>20024955</v>
      </c>
      <c r="C507" s="1" t="s">
        <v>417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25">
      <c r="B508" s="4">
        <v>20024957</v>
      </c>
      <c r="C508" s="1" t="s">
        <v>418</v>
      </c>
      <c r="D508" s="4" t="s">
        <v>89</v>
      </c>
      <c r="E508" s="73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25">
      <c r="B509" s="4">
        <v>20024960</v>
      </c>
      <c r="C509" s="1" t="s">
        <v>419</v>
      </c>
      <c r="D509" s="4" t="s">
        <v>89</v>
      </c>
      <c r="E509" s="73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1599</v>
      </c>
      <c r="T509" s="4" t="s">
        <v>70</v>
      </c>
      <c r="U509" s="1"/>
      <c r="V509" s="1"/>
      <c r="W509" s="1"/>
      <c r="X509" s="1"/>
      <c r="Y509" s="1"/>
    </row>
    <row r="510" spans="2:25" x14ac:dyDescent="0.25">
      <c r="B510" s="4">
        <v>20024961</v>
      </c>
      <c r="C510" s="1" t="s">
        <v>420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1656</v>
      </c>
      <c r="M510" s="3"/>
      <c r="N510"/>
      <c r="O510" s="4"/>
      <c r="P510" s="1"/>
      <c r="Q510" s="22"/>
      <c r="R510"/>
      <c r="S510" s="11" t="s">
        <v>1600</v>
      </c>
      <c r="T510" s="4" t="s">
        <v>70</v>
      </c>
      <c r="U510" s="1"/>
      <c r="V510" s="1"/>
      <c r="W510" s="1"/>
      <c r="X510" s="1"/>
      <c r="Y510" s="1"/>
    </row>
    <row r="511" spans="2:25" x14ac:dyDescent="0.25">
      <c r="B511" s="4">
        <v>20024962</v>
      </c>
      <c r="C511" s="1" t="s">
        <v>421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1656</v>
      </c>
      <c r="M511" s="3"/>
      <c r="N511"/>
      <c r="O511" s="4"/>
      <c r="P511" s="1"/>
      <c r="Q511" s="22"/>
      <c r="R511"/>
      <c r="S511" s="11" t="s">
        <v>1601</v>
      </c>
      <c r="T511" s="4" t="s">
        <v>70</v>
      </c>
      <c r="U511" s="1"/>
      <c r="V511" s="1"/>
      <c r="W511" s="1"/>
      <c r="X511" s="1"/>
      <c r="Y511" s="1"/>
    </row>
    <row r="512" spans="2:25" x14ac:dyDescent="0.25">
      <c r="B512" s="4">
        <v>20025047</v>
      </c>
      <c r="C512" s="1" t="s">
        <v>1500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25">
      <c r="B513" s="4">
        <v>20025112</v>
      </c>
      <c r="C513" s="1" t="s">
        <v>422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25">
      <c r="B514" s="4">
        <v>20025184</v>
      </c>
      <c r="C514" s="1" t="s">
        <v>423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25">
      <c r="B515" s="4">
        <v>20025287</v>
      </c>
      <c r="C515" s="1" t="s">
        <v>1495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25">
      <c r="B516" s="4">
        <v>20025289</v>
      </c>
      <c r="C516" s="1" t="s">
        <v>424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25">
      <c r="B517" s="4">
        <v>20025290</v>
      </c>
      <c r="C517" s="1" t="s">
        <v>425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25">
      <c r="B518" s="4">
        <v>20025291</v>
      </c>
      <c r="C518" s="1" t="s">
        <v>426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25">
      <c r="B519" s="4">
        <v>20025461</v>
      </c>
      <c r="C519" s="1" t="s">
        <v>1402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>
        <v>4700161827</v>
      </c>
      <c r="O519" s="4">
        <v>3</v>
      </c>
      <c r="P519" s="1" t="s">
        <v>1652</v>
      </c>
      <c r="Q519" s="22">
        <v>46225</v>
      </c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25">
      <c r="B520" s="4">
        <v>20025463</v>
      </c>
      <c r="C520" s="1" t="s">
        <v>427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25">
      <c r="B521" s="4">
        <v>20025466</v>
      </c>
      <c r="C521" s="1" t="s">
        <v>1488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25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14</v>
      </c>
      <c r="P521" s="1" t="s">
        <v>1580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25">
      <c r="B522" s="4">
        <v>20025553</v>
      </c>
      <c r="C522" s="1" t="s">
        <v>1484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24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25">
      <c r="B523" s="4">
        <v>20025554</v>
      </c>
      <c r="C523" s="1" t="s">
        <v>428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25">
      <c r="B524" s="4">
        <v>20025559</v>
      </c>
      <c r="C524" s="1" t="s">
        <v>429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25">
      <c r="B525" s="4">
        <v>20025560</v>
      </c>
      <c r="C525" s="1" t="s">
        <v>1345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/>
      <c r="M525" s="3"/>
      <c r="N525">
        <v>4502671912</v>
      </c>
      <c r="O525" s="4">
        <v>10</v>
      </c>
      <c r="P525" s="1" t="s">
        <v>1587</v>
      </c>
      <c r="Q525" s="22">
        <v>46174</v>
      </c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25">
      <c r="B526" s="4">
        <v>20025561</v>
      </c>
      <c r="C526" s="1" t="s">
        <v>430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25">
      <c r="B527" s="4">
        <v>20025566</v>
      </c>
      <c r="C527" s="1" t="s">
        <v>431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232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25">
      <c r="B528" s="4">
        <v>20025587</v>
      </c>
      <c r="C528" s="1" t="s">
        <v>432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25">
      <c r="B529" s="4">
        <v>20025677</v>
      </c>
      <c r="C529" s="1" t="s">
        <v>433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1</v>
      </c>
      <c r="J529" s="4" t="s">
        <v>8</v>
      </c>
      <c r="K529" s="4" t="s">
        <v>9</v>
      </c>
      <c r="L529" s="11">
        <v>1002648051</v>
      </c>
      <c r="M529" s="3">
        <v>4</v>
      </c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25">
      <c r="B530" s="4">
        <v>20025678</v>
      </c>
      <c r="C530" s="1" t="s">
        <v>434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25">
      <c r="B531" s="4">
        <v>20025729</v>
      </c>
      <c r="C531" s="1" t="s">
        <v>435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/>
      <c r="M531" s="3"/>
      <c r="N531">
        <v>4502679862</v>
      </c>
      <c r="O531" s="4">
        <v>10</v>
      </c>
      <c r="P531" s="1" t="s">
        <v>1572</v>
      </c>
      <c r="Q531" s="22">
        <v>46175</v>
      </c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25">
      <c r="B532" s="4">
        <v>20025731</v>
      </c>
      <c r="C532" s="1" t="s">
        <v>436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25">
      <c r="B533" s="4">
        <v>20025732</v>
      </c>
      <c r="C533" s="1" t="s">
        <v>437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25">
      <c r="B534" s="4">
        <v>20025733</v>
      </c>
      <c r="C534" s="1" t="s">
        <v>438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25">
      <c r="B535" s="4">
        <v>20025734</v>
      </c>
      <c r="C535" s="1" t="s">
        <v>439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25">
      <c r="B536" s="4">
        <v>20025736</v>
      </c>
      <c r="C536" s="1" t="s">
        <v>440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25">
      <c r="B537" s="4">
        <v>20025747</v>
      </c>
      <c r="C537" s="1" t="s">
        <v>441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25">
      <c r="B538" s="4">
        <v>20025795</v>
      </c>
      <c r="C538" s="1" t="s">
        <v>442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25">
      <c r="B539" s="4">
        <v>20025796</v>
      </c>
      <c r="C539" s="1" t="s">
        <v>1063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25">
      <c r="B540" s="4">
        <v>20025799</v>
      </c>
      <c r="C540" s="1" t="s">
        <v>443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</v>
      </c>
      <c r="J540" s="4" t="s">
        <v>8</v>
      </c>
      <c r="K540" s="4" t="s">
        <v>9</v>
      </c>
      <c r="L540" s="11"/>
      <c r="M540" s="3"/>
      <c r="N540">
        <v>4502671912</v>
      </c>
      <c r="O540" s="4">
        <v>40</v>
      </c>
      <c r="P540" s="1" t="s">
        <v>1587</v>
      </c>
      <c r="Q540" s="22">
        <v>46174</v>
      </c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25">
      <c r="B541" s="4">
        <v>20025815</v>
      </c>
      <c r="C541" s="1" t="s">
        <v>444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1602</v>
      </c>
      <c r="T541" s="4" t="s">
        <v>70</v>
      </c>
      <c r="U541" s="1"/>
      <c r="V541" s="1"/>
      <c r="W541" s="1"/>
      <c r="X541" s="1"/>
      <c r="Y541" s="1"/>
    </row>
    <row r="542" spans="2:25" x14ac:dyDescent="0.25">
      <c r="B542" s="4">
        <v>20025842</v>
      </c>
      <c r="C542" s="1" t="s">
        <v>1277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25">
      <c r="B543" s="4">
        <v>20025867</v>
      </c>
      <c r="C543" s="1" t="s">
        <v>445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90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25">
      <c r="B544" s="4">
        <v>20025912</v>
      </c>
      <c r="C544" s="1" t="s">
        <v>446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25">
      <c r="B545" s="4">
        <v>20025916</v>
      </c>
      <c r="C545" s="1" t="s">
        <v>447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1656</v>
      </c>
      <c r="M545" s="3"/>
      <c r="N545"/>
      <c r="O545" s="4"/>
      <c r="P545" s="1"/>
      <c r="Q545" s="22"/>
      <c r="R545"/>
      <c r="S545" s="11" t="s">
        <v>1603</v>
      </c>
      <c r="T545" s="4" t="s">
        <v>71</v>
      </c>
      <c r="U545" s="1"/>
      <c r="V545" s="1"/>
      <c r="W545" s="1"/>
      <c r="X545" s="1"/>
      <c r="Y545" s="1"/>
    </row>
    <row r="546" spans="2:25" x14ac:dyDescent="0.25">
      <c r="B546" s="4">
        <v>20025973</v>
      </c>
      <c r="C546" s="1" t="s">
        <v>448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99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25">
      <c r="B547" s="4">
        <v>20025975</v>
      </c>
      <c r="C547" s="1" t="s">
        <v>449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25">
      <c r="B548" s="4">
        <v>20026017</v>
      </c>
      <c r="C548" s="1" t="s">
        <v>1254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25">
      <c r="B549" s="4">
        <v>20026030</v>
      </c>
      <c r="C549" s="1" t="s">
        <v>1554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25">
      <c r="B550" s="4">
        <v>20026037</v>
      </c>
      <c r="C550" s="1" t="s">
        <v>450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25">
      <c r="B551" s="4">
        <v>20026038</v>
      </c>
      <c r="C551" s="1" t="s">
        <v>451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25">
      <c r="B552" s="4">
        <v>20026040</v>
      </c>
      <c r="C552" s="1" t="s">
        <v>452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25">
      <c r="B553" s="4">
        <v>20026046</v>
      </c>
      <c r="C553" s="1" t="s">
        <v>453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25">
      <c r="B554" s="4">
        <v>20026108</v>
      </c>
      <c r="C554" s="1" t="s">
        <v>454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25">
      <c r="B555" s="4">
        <v>20026114</v>
      </c>
      <c r="C555" s="1" t="s">
        <v>455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25">
      <c r="B556" s="4">
        <v>20026187</v>
      </c>
      <c r="C556" s="1" t="s">
        <v>456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25">
      <c r="B557" s="4">
        <v>20026188</v>
      </c>
      <c r="C557" s="1" t="s">
        <v>457</v>
      </c>
      <c r="D557" s="4" t="s">
        <v>89</v>
      </c>
      <c r="E557" s="73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25">
      <c r="B558" s="4">
        <v>20026192</v>
      </c>
      <c r="C558" s="1" t="s">
        <v>458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1400</v>
      </c>
      <c r="J558" s="4" t="s">
        <v>8</v>
      </c>
      <c r="K558" s="4" t="s">
        <v>7</v>
      </c>
      <c r="L558" s="11"/>
      <c r="M558" s="68"/>
      <c r="N558"/>
      <c r="O558" s="4"/>
      <c r="P558" s="1"/>
      <c r="Q558" s="22"/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25">
      <c r="B559" s="4">
        <v>20026193</v>
      </c>
      <c r="C559" s="1" t="s">
        <v>459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1200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25">
      <c r="B560" s="4">
        <v>20026194</v>
      </c>
      <c r="C560" s="1" t="s">
        <v>460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2000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25">
      <c r="B561" s="4">
        <v>20026200</v>
      </c>
      <c r="C561" s="1" t="s">
        <v>461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25">
      <c r="B562" s="4">
        <v>20026202</v>
      </c>
      <c r="C562" s="1" t="s">
        <v>1216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6000</v>
      </c>
      <c r="J562" s="4" t="s">
        <v>10</v>
      </c>
      <c r="K562" s="4" t="s">
        <v>9</v>
      </c>
      <c r="L562" s="11"/>
      <c r="M562" s="3"/>
      <c r="N562">
        <v>4502676272</v>
      </c>
      <c r="O562" s="4">
        <v>30000</v>
      </c>
      <c r="P562" s="1" t="s">
        <v>1643</v>
      </c>
      <c r="Q562" s="22">
        <v>46174</v>
      </c>
      <c r="R562"/>
      <c r="S562" s="11" t="s">
        <v>1637</v>
      </c>
      <c r="T562" s="4" t="s">
        <v>71</v>
      </c>
      <c r="U562" s="1"/>
      <c r="V562" s="1"/>
      <c r="W562" s="1"/>
      <c r="X562" s="1"/>
      <c r="Y562" s="1"/>
    </row>
    <row r="563" spans="2:25" x14ac:dyDescent="0.25">
      <c r="B563" s="4">
        <v>20026346</v>
      </c>
      <c r="C563" s="1" t="s">
        <v>462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4</v>
      </c>
      <c r="J563" s="4" t="s">
        <v>8</v>
      </c>
      <c r="K563" s="4" t="s">
        <v>9</v>
      </c>
      <c r="L563" s="11"/>
      <c r="M563" s="3"/>
      <c r="N563">
        <v>4502679143</v>
      </c>
      <c r="O563" s="4">
        <v>6</v>
      </c>
      <c r="P563" s="1" t="s">
        <v>1586</v>
      </c>
      <c r="Q563" s="22">
        <v>46195</v>
      </c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25">
      <c r="B564" s="4">
        <v>20026364</v>
      </c>
      <c r="C564" s="1" t="s">
        <v>463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/>
      <c r="M564" s="3"/>
      <c r="N564">
        <v>4502681822</v>
      </c>
      <c r="O564" s="4">
        <v>2</v>
      </c>
      <c r="P564" s="1" t="s">
        <v>1586</v>
      </c>
      <c r="Q564" s="22">
        <v>46241</v>
      </c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25">
      <c r="B565" s="4">
        <v>20026390</v>
      </c>
      <c r="C565" s="1" t="s">
        <v>1555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25">
      <c r="B566" s="4">
        <v>20026392</v>
      </c>
      <c r="C566" s="1" t="s">
        <v>464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2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25">
      <c r="B568" s="4">
        <v>20026432</v>
      </c>
      <c r="C568" s="1" t="s">
        <v>465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25">
      <c r="B569" s="4">
        <v>20026433</v>
      </c>
      <c r="C569" s="1" t="s">
        <v>466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1644</v>
      </c>
      <c r="Q569" s="22">
        <v>46183</v>
      </c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25">
      <c r="B570" s="4">
        <v>20026501</v>
      </c>
      <c r="C570" s="1" t="s">
        <v>467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25">
      <c r="B571" s="4">
        <v>20026502</v>
      </c>
      <c r="C571" s="1" t="s">
        <v>1393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25">
      <c r="B572" s="4">
        <v>20026503</v>
      </c>
      <c r="C572" s="1" t="s">
        <v>468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25">
      <c r="B573" s="4">
        <v>20026504</v>
      </c>
      <c r="C573" s="1" t="s">
        <v>1394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25">
      <c r="B574" s="4">
        <v>20026506</v>
      </c>
      <c r="C574" s="1" t="s">
        <v>1395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25">
      <c r="B575" s="4">
        <v>20026517</v>
      </c>
      <c r="C575" s="1" t="s">
        <v>1396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25">
      <c r="B576" s="4">
        <v>20026518</v>
      </c>
      <c r="C576" s="1" t="s">
        <v>1397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25">
      <c r="B577" s="4">
        <v>20026520</v>
      </c>
      <c r="C577" s="1" t="s">
        <v>469</v>
      </c>
      <c r="D577" s="4" t="s">
        <v>89</v>
      </c>
      <c r="E577" s="73"/>
      <c r="F577" s="3" t="s">
        <v>69</v>
      </c>
      <c r="G577" s="4">
        <v>12</v>
      </c>
      <c r="H577" s="4">
        <v>12</v>
      </c>
      <c r="I577" s="4">
        <v>31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25">
      <c r="B578" s="4">
        <v>20026525</v>
      </c>
      <c r="C578" s="1" t="s">
        <v>470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25">
      <c r="B579" s="4">
        <v>20026590</v>
      </c>
      <c r="C579" s="1" t="s">
        <v>472</v>
      </c>
      <c r="D579" s="4" t="s">
        <v>89</v>
      </c>
      <c r="E579" s="3"/>
      <c r="F579" s="3" t="s">
        <v>69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66</v>
      </c>
      <c r="U579" s="1"/>
      <c r="V579" s="1"/>
      <c r="W579" s="1"/>
      <c r="X579" s="1"/>
      <c r="Y579" s="1"/>
    </row>
    <row r="580" spans="2:25" x14ac:dyDescent="0.25">
      <c r="B580" s="4">
        <v>20026591</v>
      </c>
      <c r="C580" s="1" t="s">
        <v>473</v>
      </c>
      <c r="D580" s="4" t="s">
        <v>89</v>
      </c>
      <c r="E580" s="3"/>
      <c r="F580" s="3" t="s">
        <v>69</v>
      </c>
      <c r="G580" s="4">
        <v>4</v>
      </c>
      <c r="H580" s="4">
        <v>7</v>
      </c>
      <c r="I580" s="4">
        <v>0</v>
      </c>
      <c r="J580" s="4" t="s">
        <v>8</v>
      </c>
      <c r="K580" s="4" t="s">
        <v>13</v>
      </c>
      <c r="L580" s="11"/>
      <c r="M580" s="3"/>
      <c r="N580">
        <v>4502671912</v>
      </c>
      <c r="O580" s="4">
        <v>10</v>
      </c>
      <c r="P580" s="1" t="s">
        <v>1587</v>
      </c>
      <c r="Q580" s="22">
        <v>46174</v>
      </c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25">
      <c r="B581" s="4">
        <v>20026663</v>
      </c>
      <c r="C581" s="1" t="s">
        <v>474</v>
      </c>
      <c r="D581" s="4" t="s">
        <v>89</v>
      </c>
      <c r="E581" s="3"/>
      <c r="F581" s="3" t="s">
        <v>69</v>
      </c>
      <c r="G581" s="4">
        <v>141</v>
      </c>
      <c r="H581" s="4">
        <v>250</v>
      </c>
      <c r="I581" s="4">
        <v>300</v>
      </c>
      <c r="J581" s="4" t="s">
        <v>24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x14ac:dyDescent="0.25">
      <c r="B582" s="4">
        <v>20026691</v>
      </c>
      <c r="C582" s="1" t="s">
        <v>475</v>
      </c>
      <c r="D582" s="4" t="s">
        <v>89</v>
      </c>
      <c r="E582" s="3"/>
      <c r="F582" s="3" t="s">
        <v>69</v>
      </c>
      <c r="G582" s="4">
        <v>2</v>
      </c>
      <c r="H582" s="4">
        <v>2</v>
      </c>
      <c r="I582" s="4">
        <v>2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73</v>
      </c>
      <c r="U582" s="1"/>
      <c r="V582" s="1"/>
      <c r="W582" s="1"/>
      <c r="X582" s="1"/>
      <c r="Y582" s="1"/>
    </row>
    <row r="583" spans="2:25" x14ac:dyDescent="0.25">
      <c r="B583" s="4">
        <v>20026699</v>
      </c>
      <c r="C583" s="1" t="s">
        <v>476</v>
      </c>
      <c r="D583" s="4" t="s">
        <v>89</v>
      </c>
      <c r="E583" s="3"/>
      <c r="F583" s="3" t="s">
        <v>69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/>
      <c r="M583" s="3"/>
      <c r="N583">
        <v>4502668886</v>
      </c>
      <c r="O583" s="4">
        <v>4</v>
      </c>
      <c r="P583" s="1" t="s">
        <v>1590</v>
      </c>
      <c r="Q583" s="22">
        <v>45719</v>
      </c>
      <c r="R583"/>
      <c r="S583" s="11" t="s">
        <v>1604</v>
      </c>
      <c r="T583" s="4" t="s">
        <v>73</v>
      </c>
      <c r="U583" s="1"/>
      <c r="V583" s="1"/>
      <c r="W583" s="1"/>
      <c r="X583" s="1"/>
      <c r="Y583" s="1"/>
    </row>
    <row r="584" spans="2:25" x14ac:dyDescent="0.25">
      <c r="B584" s="4">
        <v>20026700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73</v>
      </c>
      <c r="U584" s="1"/>
      <c r="V584" s="1"/>
      <c r="W584" s="1"/>
      <c r="X584" s="1"/>
      <c r="Y584" s="1"/>
    </row>
    <row r="585" spans="2:25" x14ac:dyDescent="0.25">
      <c r="B585" s="4">
        <v>20026815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25">
      <c r="B586" s="4">
        <v>20026818</v>
      </c>
      <c r="C586" s="1" t="s">
        <v>479</v>
      </c>
      <c r="D586" s="4" t="s">
        <v>89</v>
      </c>
      <c r="E586" s="3"/>
      <c r="F586" s="3" t="s">
        <v>69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25">
      <c r="B587" s="4">
        <v>20026847</v>
      </c>
      <c r="C587" s="1" t="s">
        <v>480</v>
      </c>
      <c r="D587" s="4" t="s">
        <v>89</v>
      </c>
      <c r="E587" s="3"/>
      <c r="F587" s="3" t="s">
        <v>69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67</v>
      </c>
      <c r="U587" s="1"/>
      <c r="V587" s="1"/>
      <c r="W587" s="1"/>
      <c r="X587" s="1"/>
      <c r="Y587" s="1"/>
    </row>
    <row r="588" spans="2:25" x14ac:dyDescent="0.25">
      <c r="B588" s="4">
        <v>20026892</v>
      </c>
      <c r="C588" s="1" t="s">
        <v>1532</v>
      </c>
      <c r="D588" s="4" t="s">
        <v>89</v>
      </c>
      <c r="E588" s="3"/>
      <c r="F588" s="3" t="s">
        <v>69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73</v>
      </c>
      <c r="U588" s="1"/>
      <c r="V588" s="1"/>
      <c r="W588" s="1"/>
      <c r="X588" s="1"/>
      <c r="Y588" s="1"/>
    </row>
    <row r="589" spans="2:25" x14ac:dyDescent="0.25">
      <c r="B589" s="4">
        <v>20026910</v>
      </c>
      <c r="C589" s="1" t="s">
        <v>481</v>
      </c>
      <c r="D589" s="4" t="s">
        <v>89</v>
      </c>
      <c r="E589" s="3"/>
      <c r="F589" s="3" t="s">
        <v>69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25">
      <c r="B590" s="4">
        <v>20026914</v>
      </c>
      <c r="C590" s="1" t="s">
        <v>482</v>
      </c>
      <c r="D590" s="4" t="s">
        <v>89</v>
      </c>
      <c r="E590" s="3"/>
      <c r="F590" s="3" t="s">
        <v>69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25">
      <c r="B591" s="4">
        <v>20026977</v>
      </c>
      <c r="C591" s="1" t="s">
        <v>483</v>
      </c>
      <c r="D591" s="4" t="s">
        <v>89</v>
      </c>
      <c r="E591" s="3"/>
      <c r="F591" s="3" t="s">
        <v>69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66</v>
      </c>
      <c r="U591" s="1"/>
      <c r="V591" s="1"/>
      <c r="W591" s="1"/>
      <c r="X591" s="1"/>
      <c r="Y591" s="1"/>
    </row>
    <row r="592" spans="2:25" x14ac:dyDescent="0.25">
      <c r="B592" s="4">
        <v>20026980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73</v>
      </c>
      <c r="U592" s="1"/>
      <c r="V592" s="1"/>
      <c r="W592" s="1"/>
      <c r="X592" s="1"/>
      <c r="Y592" s="1"/>
    </row>
    <row r="593" spans="2:25" x14ac:dyDescent="0.25">
      <c r="B593" s="4">
        <v>20026981</v>
      </c>
      <c r="C593" s="1" t="s">
        <v>485</v>
      </c>
      <c r="D593" s="4" t="s">
        <v>89</v>
      </c>
      <c r="E593" s="3"/>
      <c r="F593" s="3" t="s">
        <v>69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25">
      <c r="B594" s="4">
        <v>20026982</v>
      </c>
      <c r="C594" s="1" t="s">
        <v>486</v>
      </c>
      <c r="D594" s="4" t="s">
        <v>89</v>
      </c>
      <c r="E594" s="3"/>
      <c r="F594" s="3" t="s">
        <v>69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25">
      <c r="B595" s="4">
        <v>20027011</v>
      </c>
      <c r="C595" s="1" t="s">
        <v>1485</v>
      </c>
      <c r="D595" s="4" t="s">
        <v>89</v>
      </c>
      <c r="E595" s="3"/>
      <c r="F595" s="3" t="s">
        <v>69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25">
      <c r="B596" s="4">
        <v>20027254</v>
      </c>
      <c r="C596" s="1" t="s">
        <v>487</v>
      </c>
      <c r="D596" s="4" t="s">
        <v>89</v>
      </c>
      <c r="E596" s="3"/>
      <c r="F596" s="3" t="s">
        <v>69</v>
      </c>
      <c r="G596" s="4">
        <v>20</v>
      </c>
      <c r="H596" s="4">
        <v>20</v>
      </c>
      <c r="I596" s="4">
        <v>19</v>
      </c>
      <c r="J596" s="4" t="s">
        <v>8</v>
      </c>
      <c r="K596" s="4" t="s">
        <v>9</v>
      </c>
      <c r="L596" s="11"/>
      <c r="M596" s="3"/>
      <c r="N596">
        <v>4502674663</v>
      </c>
      <c r="O596" s="4">
        <v>20</v>
      </c>
      <c r="P596" s="1" t="s">
        <v>1513</v>
      </c>
      <c r="Q596" s="22">
        <v>46169</v>
      </c>
      <c r="R596"/>
      <c r="S596" s="11"/>
      <c r="T596" s="4" t="s">
        <v>71</v>
      </c>
      <c r="U596" s="1"/>
      <c r="V596" s="1"/>
      <c r="W596" s="1"/>
      <c r="X596" s="1"/>
      <c r="Y596" s="1"/>
    </row>
    <row r="597" spans="2:25" x14ac:dyDescent="0.25">
      <c r="B597" s="4">
        <v>20027267</v>
      </c>
      <c r="C597" s="1" t="s">
        <v>488</v>
      </c>
      <c r="D597" s="4" t="s">
        <v>89</v>
      </c>
      <c r="E597" s="3"/>
      <c r="F597" s="3" t="s">
        <v>69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x14ac:dyDescent="0.25">
      <c r="B598" s="4">
        <v>20027268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25">
      <c r="B599" s="4">
        <v>20027269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25">
      <c r="B600" s="4">
        <v>20027270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25">
      <c r="B601" s="4">
        <v>20027271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25">
      <c r="B602" s="4">
        <v>20027272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25">
      <c r="B603" s="4">
        <v>20027286</v>
      </c>
      <c r="C603" s="1" t="s">
        <v>1477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70</v>
      </c>
      <c r="U603" s="1"/>
      <c r="V603" s="1"/>
      <c r="W603" s="1"/>
      <c r="X603" s="1"/>
      <c r="Y603" s="1"/>
    </row>
    <row r="604" spans="2:25" x14ac:dyDescent="0.25">
      <c r="B604" s="4">
        <v>20027297</v>
      </c>
      <c r="C604" s="1" t="s">
        <v>1429</v>
      </c>
      <c r="D604" s="4" t="s">
        <v>89</v>
      </c>
      <c r="E604" s="3"/>
      <c r="F604" s="3" t="s">
        <v>69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25">
      <c r="B605" s="4">
        <v>20027355</v>
      </c>
      <c r="C605" s="1" t="s">
        <v>494</v>
      </c>
      <c r="D605" s="4" t="s">
        <v>89</v>
      </c>
      <c r="E605" s="3"/>
      <c r="F605" s="3" t="s">
        <v>69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73</v>
      </c>
      <c r="U605" s="1"/>
      <c r="V605" s="1"/>
      <c r="W605" s="1"/>
      <c r="X605" s="1"/>
      <c r="Y605" s="1"/>
    </row>
    <row r="606" spans="2:25" x14ac:dyDescent="0.25">
      <c r="B606" s="4">
        <v>20027356</v>
      </c>
      <c r="C606" s="1" t="s">
        <v>1454</v>
      </c>
      <c r="D606" s="4" t="s">
        <v>89</v>
      </c>
      <c r="E606" s="3"/>
      <c r="F606" s="3" t="s">
        <v>69</v>
      </c>
      <c r="G606" s="4">
        <v>2</v>
      </c>
      <c r="H606" s="4">
        <v>2</v>
      </c>
      <c r="I606" s="4">
        <v>3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25">
      <c r="B607" s="4">
        <v>20027357</v>
      </c>
      <c r="C607" s="1" t="s">
        <v>495</v>
      </c>
      <c r="D607" s="4" t="s">
        <v>89</v>
      </c>
      <c r="E607" s="3"/>
      <c r="F607" s="3" t="s">
        <v>69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25">
      <c r="B608" s="4">
        <v>20027378</v>
      </c>
      <c r="C608" s="1" t="s">
        <v>496</v>
      </c>
      <c r="D608" s="4" t="s">
        <v>89</v>
      </c>
      <c r="E608" s="3"/>
      <c r="F608" s="3" t="s">
        <v>69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25">
      <c r="B609" s="4">
        <v>20027456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25">
      <c r="B610" s="4">
        <v>20027476</v>
      </c>
      <c r="C610" s="1" t="s">
        <v>498</v>
      </c>
      <c r="D610" s="4" t="s">
        <v>89</v>
      </c>
      <c r="E610" s="3"/>
      <c r="F610" s="3" t="s">
        <v>69</v>
      </c>
      <c r="G610" s="4">
        <v>10</v>
      </c>
      <c r="H610" s="4">
        <v>20</v>
      </c>
      <c r="I610" s="4">
        <v>10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66</v>
      </c>
      <c r="U610" s="1"/>
      <c r="V610" s="1"/>
      <c r="W610" s="1"/>
      <c r="X610" s="1"/>
      <c r="Y610" s="1"/>
    </row>
    <row r="611" spans="2:25" x14ac:dyDescent="0.25">
      <c r="B611" s="4">
        <v>20027483</v>
      </c>
      <c r="C611" s="1" t="s">
        <v>499</v>
      </c>
      <c r="D611" s="4" t="s">
        <v>89</v>
      </c>
      <c r="E611" s="3"/>
      <c r="F611" s="3" t="s">
        <v>69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25">
      <c r="B612" s="4">
        <v>20027524</v>
      </c>
      <c r="C612" s="1" t="s">
        <v>500</v>
      </c>
      <c r="D612" s="4" t="s">
        <v>89</v>
      </c>
      <c r="E612" s="3"/>
      <c r="F612" s="3" t="s">
        <v>69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73</v>
      </c>
      <c r="U612" s="1"/>
      <c r="V612" s="1"/>
      <c r="W612" s="1"/>
      <c r="X612" s="1"/>
      <c r="Y612" s="1"/>
    </row>
    <row r="613" spans="2:25" x14ac:dyDescent="0.25">
      <c r="B613" s="4">
        <v>20027532</v>
      </c>
      <c r="C613" s="1" t="s">
        <v>501</v>
      </c>
      <c r="D613" s="4" t="s">
        <v>89</v>
      </c>
      <c r="E613" s="3"/>
      <c r="F613" s="3" t="s">
        <v>69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71</v>
      </c>
      <c r="U613" s="1"/>
      <c r="V613" s="1"/>
      <c r="W613" s="1"/>
      <c r="X613" s="1"/>
      <c r="Y613" s="1"/>
    </row>
    <row r="614" spans="2:25" x14ac:dyDescent="0.25">
      <c r="B614" s="4">
        <v>20027534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25">
      <c r="B615" s="4">
        <v>20027541</v>
      </c>
      <c r="C615" s="1" t="s">
        <v>503</v>
      </c>
      <c r="D615" s="4" t="s">
        <v>89</v>
      </c>
      <c r="E615" s="3"/>
      <c r="F615" s="3" t="s">
        <v>69</v>
      </c>
      <c r="G615" s="4">
        <v>8</v>
      </c>
      <c r="H615" s="4">
        <v>6</v>
      </c>
      <c r="I615" s="4">
        <v>12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25">
      <c r="B616" s="4">
        <v>20027542</v>
      </c>
      <c r="C616" s="1" t="s">
        <v>504</v>
      </c>
      <c r="D616" s="4" t="s">
        <v>89</v>
      </c>
      <c r="E616" s="3"/>
      <c r="F616" s="3" t="s">
        <v>69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x14ac:dyDescent="0.25">
      <c r="B617" s="4">
        <v>20027543</v>
      </c>
      <c r="C617" s="1" t="s">
        <v>505</v>
      </c>
      <c r="D617" s="4" t="s">
        <v>89</v>
      </c>
      <c r="E617" s="3"/>
      <c r="F617" s="3" t="s">
        <v>69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25">
      <c r="B618" s="4">
        <v>20027634</v>
      </c>
      <c r="C618" s="1" t="s">
        <v>1478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70</v>
      </c>
      <c r="U618" s="1"/>
      <c r="V618" s="1"/>
      <c r="W618" s="1"/>
      <c r="X618" s="1"/>
      <c r="Y618" s="1"/>
    </row>
    <row r="619" spans="2:25" x14ac:dyDescent="0.25">
      <c r="B619" s="4">
        <v>20027851</v>
      </c>
      <c r="C619" s="1" t="s">
        <v>506</v>
      </c>
      <c r="D619" s="4" t="s">
        <v>89</v>
      </c>
      <c r="E619" s="3"/>
      <c r="F619" s="3" t="s">
        <v>69</v>
      </c>
      <c r="G619" s="4">
        <v>17</v>
      </c>
      <c r="H619" s="4">
        <v>30</v>
      </c>
      <c r="I619" s="4">
        <v>39</v>
      </c>
      <c r="J619" s="4" t="s">
        <v>23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68</v>
      </c>
      <c r="U619" s="1"/>
      <c r="V619" s="1"/>
      <c r="W619" s="1"/>
      <c r="X619" s="1"/>
      <c r="Y619" s="1"/>
    </row>
    <row r="620" spans="2:25" x14ac:dyDescent="0.25">
      <c r="B620" s="4">
        <v>20027853</v>
      </c>
      <c r="C620" s="1" t="s">
        <v>507</v>
      </c>
      <c r="D620" s="4" t="s">
        <v>89</v>
      </c>
      <c r="E620" s="3"/>
      <c r="F620" s="3" t="s">
        <v>69</v>
      </c>
      <c r="G620" s="4">
        <v>230</v>
      </c>
      <c r="H620" s="4">
        <v>400</v>
      </c>
      <c r="I620" s="4">
        <v>208</v>
      </c>
      <c r="J620" s="4" t="s">
        <v>23</v>
      </c>
      <c r="K620" s="4" t="s">
        <v>9</v>
      </c>
      <c r="L620" s="11">
        <v>1002648064</v>
      </c>
      <c r="M620" s="3">
        <v>400</v>
      </c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25">
      <c r="B621" s="4">
        <v>20027854</v>
      </c>
      <c r="C621" s="1" t="s">
        <v>508</v>
      </c>
      <c r="D621" s="4" t="s">
        <v>89</v>
      </c>
      <c r="E621" s="3"/>
      <c r="F621" s="3" t="s">
        <v>69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73</v>
      </c>
      <c r="U621" s="1"/>
      <c r="V621" s="1"/>
      <c r="W621" s="1"/>
      <c r="X621" s="1"/>
      <c r="Y621" s="1"/>
    </row>
    <row r="622" spans="2:25" x14ac:dyDescent="0.25">
      <c r="B622" s="4">
        <v>20028146</v>
      </c>
      <c r="C622" s="1" t="s">
        <v>509</v>
      </c>
      <c r="D622" s="4" t="s">
        <v>89</v>
      </c>
      <c r="E622" s="3"/>
      <c r="F622" s="3" t="s">
        <v>69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25">
      <c r="B623" s="4">
        <v>20028189</v>
      </c>
      <c r="C623" s="1" t="s">
        <v>510</v>
      </c>
      <c r="D623" s="4" t="s">
        <v>89</v>
      </c>
      <c r="E623" s="3"/>
      <c r="F623" s="3" t="s">
        <v>69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66</v>
      </c>
      <c r="U623" s="1"/>
      <c r="V623" s="1"/>
      <c r="W623" s="1"/>
      <c r="X623" s="1"/>
      <c r="Y623" s="1"/>
    </row>
    <row r="624" spans="2:25" x14ac:dyDescent="0.25">
      <c r="B624" s="4">
        <v>20028190</v>
      </c>
      <c r="C624" s="1" t="s">
        <v>511</v>
      </c>
      <c r="D624" s="4" t="s">
        <v>89</v>
      </c>
      <c r="E624" s="3"/>
      <c r="F624" s="3" t="s">
        <v>69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70</v>
      </c>
      <c r="U624" s="1"/>
      <c r="V624" s="1"/>
      <c r="W624" s="1"/>
      <c r="X624" s="1"/>
      <c r="Y624" s="1"/>
    </row>
    <row r="625" spans="2:25" x14ac:dyDescent="0.25">
      <c r="B625" s="4">
        <v>20028193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73</v>
      </c>
      <c r="U625" s="1"/>
      <c r="V625" s="1"/>
      <c r="W625" s="1"/>
      <c r="X625" s="1"/>
      <c r="Y625" s="1"/>
    </row>
    <row r="626" spans="2:25" x14ac:dyDescent="0.25">
      <c r="B626" s="4">
        <v>20028226</v>
      </c>
      <c r="C626" s="1" t="s">
        <v>513</v>
      </c>
      <c r="D626" s="4" t="s">
        <v>89</v>
      </c>
      <c r="E626" s="3"/>
      <c r="F626" s="3" t="s">
        <v>69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68</v>
      </c>
      <c r="U626" s="1"/>
      <c r="V626" s="1"/>
      <c r="W626" s="1"/>
      <c r="X626" s="1"/>
      <c r="Y626" s="1"/>
    </row>
    <row r="627" spans="2:25" x14ac:dyDescent="0.25">
      <c r="B627" s="4">
        <v>20028734</v>
      </c>
      <c r="C627" s="1" t="s">
        <v>1479</v>
      </c>
      <c r="D627" s="4" t="s">
        <v>89</v>
      </c>
      <c r="E627" s="3"/>
      <c r="F627" s="3" t="s">
        <v>69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x14ac:dyDescent="0.25">
      <c r="B628" s="4">
        <v>20028767</v>
      </c>
      <c r="C628" s="1" t="s">
        <v>514</v>
      </c>
      <c r="D628" s="4" t="s">
        <v>89</v>
      </c>
      <c r="E628" s="3"/>
      <c r="F628" s="3" t="s">
        <v>69</v>
      </c>
      <c r="G628" s="4">
        <v>4</v>
      </c>
      <c r="H628" s="4">
        <v>8</v>
      </c>
      <c r="I628" s="4">
        <v>7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74</v>
      </c>
      <c r="U628" s="1"/>
      <c r="V628" s="1"/>
      <c r="W628" s="1"/>
      <c r="X628" s="1"/>
      <c r="Y628" s="1"/>
    </row>
    <row r="629" spans="2:25" x14ac:dyDescent="0.25">
      <c r="B629" s="4">
        <v>20028768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25">
      <c r="B630" s="4">
        <v>20040973</v>
      </c>
      <c r="C630" s="1" t="s">
        <v>516</v>
      </c>
      <c r="D630" s="4" t="s">
        <v>89</v>
      </c>
      <c r="E630" s="3"/>
      <c r="F630" s="3" t="s">
        <v>69</v>
      </c>
      <c r="G630" s="4">
        <v>24</v>
      </c>
      <c r="H630" s="4">
        <v>24</v>
      </c>
      <c r="I630" s="4">
        <v>23</v>
      </c>
      <c r="J630" s="4" t="s">
        <v>8</v>
      </c>
      <c r="K630" s="4" t="s">
        <v>9</v>
      </c>
      <c r="L630" s="11" t="s">
        <v>1665</v>
      </c>
      <c r="M630" s="3">
        <v>24</v>
      </c>
      <c r="N630"/>
      <c r="O630" s="4"/>
      <c r="P630" s="1"/>
      <c r="Q630" s="22"/>
      <c r="R630"/>
      <c r="S630" s="11"/>
      <c r="T630" s="4" t="s">
        <v>68</v>
      </c>
      <c r="U630" s="1"/>
      <c r="V630" s="1"/>
      <c r="W630" s="1"/>
      <c r="X630" s="1"/>
      <c r="Y630" s="1"/>
    </row>
    <row r="631" spans="2:25" x14ac:dyDescent="0.25">
      <c r="B631" s="4">
        <v>20041001</v>
      </c>
      <c r="C631" s="1" t="s">
        <v>517</v>
      </c>
      <c r="D631" s="4" t="s">
        <v>89</v>
      </c>
      <c r="E631" s="3"/>
      <c r="F631" s="3" t="s">
        <v>69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x14ac:dyDescent="0.25">
      <c r="B632" s="4">
        <v>20041002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36</v>
      </c>
      <c r="I632" s="4">
        <v>17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25">
      <c r="B633" s="4">
        <v>20041003</v>
      </c>
      <c r="C633" s="1" t="s">
        <v>519</v>
      </c>
      <c r="D633" s="4" t="s">
        <v>89</v>
      </c>
      <c r="E633" s="3"/>
      <c r="F633" s="3" t="s">
        <v>69</v>
      </c>
      <c r="G633" s="4">
        <v>11</v>
      </c>
      <c r="H633" s="4">
        <v>12</v>
      </c>
      <c r="I633" s="4">
        <v>150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25">
      <c r="B634" s="4">
        <v>20041014</v>
      </c>
      <c r="C634" s="1" t="s">
        <v>76</v>
      </c>
      <c r="D634" s="4" t="s">
        <v>89</v>
      </c>
      <c r="E634" s="3"/>
      <c r="F634" s="3" t="s">
        <v>69</v>
      </c>
      <c r="G634" s="4">
        <v>600</v>
      </c>
      <c r="H634" s="4">
        <v>400</v>
      </c>
      <c r="I634" s="4">
        <v>796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25">
      <c r="B635" s="4">
        <v>20041015</v>
      </c>
      <c r="C635" s="1" t="s">
        <v>520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967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25">
      <c r="B636" s="4">
        <v>20046227</v>
      </c>
      <c r="C636" s="1" t="s">
        <v>1209</v>
      </c>
      <c r="D636" s="4" t="s">
        <v>89</v>
      </c>
      <c r="E636" s="3"/>
      <c r="F636" s="3" t="s">
        <v>69</v>
      </c>
      <c r="G636" s="4">
        <v>100</v>
      </c>
      <c r="H636" s="4">
        <v>150</v>
      </c>
      <c r="I636" s="4">
        <v>143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71</v>
      </c>
      <c r="U636" s="1"/>
      <c r="V636" s="1"/>
      <c r="W636" s="1"/>
      <c r="X636" s="1"/>
      <c r="Y636" s="1"/>
    </row>
    <row r="637" spans="2:25" x14ac:dyDescent="0.25">
      <c r="B637" s="4">
        <v>20046228</v>
      </c>
      <c r="C637" s="1" t="s">
        <v>1210</v>
      </c>
      <c r="D637" s="4" t="s">
        <v>89</v>
      </c>
      <c r="E637" s="3"/>
      <c r="F637" s="3" t="s">
        <v>69</v>
      </c>
      <c r="G637" s="4">
        <v>70</v>
      </c>
      <c r="H637" s="4">
        <v>200</v>
      </c>
      <c r="I637" s="4">
        <v>241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25">
      <c r="B638" s="4">
        <v>20046229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100</v>
      </c>
      <c r="I638" s="4">
        <v>106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25">
      <c r="B639" s="4">
        <v>20046230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133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25">
      <c r="B640" s="4">
        <v>20047000</v>
      </c>
      <c r="C640" s="1" t="s">
        <v>521</v>
      </c>
      <c r="D640" s="4" t="s">
        <v>89</v>
      </c>
      <c r="E640" s="3"/>
      <c r="F640" s="3" t="s">
        <v>69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25">
      <c r="B641" s="4">
        <v>20048691</v>
      </c>
      <c r="C641" s="1" t="s">
        <v>522</v>
      </c>
      <c r="D641" s="4" t="s">
        <v>89</v>
      </c>
      <c r="E641" s="3"/>
      <c r="F641" s="3" t="s">
        <v>69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25">
      <c r="B642" s="4">
        <v>20050351</v>
      </c>
      <c r="C642" s="1" t="s">
        <v>1112</v>
      </c>
      <c r="D642" s="4" t="s">
        <v>89</v>
      </c>
      <c r="E642" s="3"/>
      <c r="F642" s="3" t="s">
        <v>69</v>
      </c>
      <c r="G642" s="4">
        <v>35</v>
      </c>
      <c r="H642" s="4">
        <v>100</v>
      </c>
      <c r="I642" s="4">
        <v>0</v>
      </c>
      <c r="J642" s="4" t="s">
        <v>8</v>
      </c>
      <c r="K642" s="4" t="s">
        <v>13</v>
      </c>
      <c r="L642" s="11">
        <v>1002644389</v>
      </c>
      <c r="M642" s="3">
        <v>100</v>
      </c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25">
      <c r="B643" s="4">
        <v>20050353</v>
      </c>
      <c r="C643" s="1" t="s">
        <v>1406</v>
      </c>
      <c r="D643" s="4" t="s">
        <v>89</v>
      </c>
      <c r="E643" s="3"/>
      <c r="F643" s="3" t="s">
        <v>69</v>
      </c>
      <c r="G643" s="4">
        <v>6</v>
      </c>
      <c r="H643" s="4">
        <v>10</v>
      </c>
      <c r="I643" s="4">
        <v>8</v>
      </c>
      <c r="J643" s="4" t="s">
        <v>784</v>
      </c>
      <c r="K643" s="4" t="s">
        <v>7</v>
      </c>
      <c r="L643" s="70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25">
      <c r="B644" s="4">
        <v>20050354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7</v>
      </c>
      <c r="J644" s="4" t="s">
        <v>784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25">
      <c r="B645" s="4">
        <v>20050387</v>
      </c>
      <c r="C645" s="1" t="s">
        <v>795</v>
      </c>
      <c r="D645" s="4" t="s">
        <v>89</v>
      </c>
      <c r="E645" s="3"/>
      <c r="F645" s="3" t="s">
        <v>69</v>
      </c>
      <c r="G645" s="4">
        <v>15</v>
      </c>
      <c r="H645" s="4">
        <v>32</v>
      </c>
      <c r="I645" s="4">
        <v>20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67</v>
      </c>
      <c r="U645" s="1"/>
      <c r="V645" s="1"/>
      <c r="W645" s="1"/>
      <c r="X645" s="1"/>
      <c r="Y645" s="1"/>
    </row>
    <row r="646" spans="2:25" x14ac:dyDescent="0.25">
      <c r="B646" s="4">
        <v>20050460</v>
      </c>
      <c r="C646" s="1" t="s">
        <v>1441</v>
      </c>
      <c r="D646" s="4" t="s">
        <v>89</v>
      </c>
      <c r="E646" s="3"/>
      <c r="F646" s="3" t="s">
        <v>69</v>
      </c>
      <c r="G646" s="4">
        <v>6</v>
      </c>
      <c r="H646" s="4">
        <v>10</v>
      </c>
      <c r="I646" s="4">
        <v>10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73</v>
      </c>
      <c r="U646" s="1"/>
      <c r="V646" s="1"/>
      <c r="W646" s="1"/>
      <c r="X646" s="1"/>
      <c r="Y646" s="1"/>
    </row>
    <row r="647" spans="2:25" x14ac:dyDescent="0.25">
      <c r="B647" s="4">
        <v>20058961</v>
      </c>
      <c r="C647" s="1" t="s">
        <v>1227</v>
      </c>
      <c r="D647" s="4" t="s">
        <v>89</v>
      </c>
      <c r="E647" s="3"/>
      <c r="F647" s="3" t="s">
        <v>69</v>
      </c>
      <c r="G647" s="4">
        <v>100</v>
      </c>
      <c r="H647" s="4">
        <v>200</v>
      </c>
      <c r="I647" s="4">
        <v>161</v>
      </c>
      <c r="J647" s="4" t="s">
        <v>21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70</v>
      </c>
      <c r="U647" s="1"/>
      <c r="V647" s="1"/>
      <c r="W647" s="1"/>
      <c r="X647" s="1"/>
      <c r="Y647" s="1"/>
    </row>
    <row r="648" spans="2:25" x14ac:dyDescent="0.25">
      <c r="B648" s="4">
        <v>20059165</v>
      </c>
      <c r="C648" s="1" t="s">
        <v>1268</v>
      </c>
      <c r="D648" s="4" t="s">
        <v>89</v>
      </c>
      <c r="E648" s="3"/>
      <c r="F648" s="3" t="s">
        <v>69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68</v>
      </c>
      <c r="U648" s="1"/>
      <c r="V648" s="1"/>
      <c r="W648" s="1"/>
      <c r="X648" s="1"/>
      <c r="Y648" s="1"/>
    </row>
    <row r="649" spans="2:25" x14ac:dyDescent="0.25">
      <c r="B649" s="4">
        <v>20059166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25">
      <c r="B650" s="4">
        <v>20060483</v>
      </c>
      <c r="C650" s="1" t="s">
        <v>1480</v>
      </c>
      <c r="D650" s="4" t="s">
        <v>89</v>
      </c>
      <c r="E650" s="3"/>
      <c r="F650" s="3" t="s">
        <v>69</v>
      </c>
      <c r="G650" s="4">
        <v>2</v>
      </c>
      <c r="H650" s="4">
        <v>2</v>
      </c>
      <c r="I650" s="4">
        <v>2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25">
      <c r="B651" s="4">
        <v>20062125</v>
      </c>
      <c r="C651" s="1" t="s">
        <v>1335</v>
      </c>
      <c r="D651" s="4" t="s">
        <v>89</v>
      </c>
      <c r="E651" s="3"/>
      <c r="F651" s="3" t="s">
        <v>69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1593</v>
      </c>
      <c r="T651" s="4" t="s">
        <v>71</v>
      </c>
      <c r="U651" s="1"/>
      <c r="V651" s="1"/>
      <c r="W651" s="1"/>
      <c r="X651" s="1"/>
      <c r="Y651" s="1"/>
    </row>
    <row r="652" spans="2:25" x14ac:dyDescent="0.25">
      <c r="B652" s="4">
        <v>20062126</v>
      </c>
      <c r="C652" s="1" t="s">
        <v>1289</v>
      </c>
      <c r="D652" s="4" t="s">
        <v>89</v>
      </c>
      <c r="E652" s="3"/>
      <c r="F652" s="3" t="s">
        <v>69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73</v>
      </c>
      <c r="U652" s="1"/>
      <c r="V652" s="1"/>
      <c r="W652" s="1"/>
      <c r="X652" s="1"/>
      <c r="Y652" s="1"/>
    </row>
    <row r="653" spans="2:25" x14ac:dyDescent="0.25">
      <c r="B653" s="4">
        <v>20064476</v>
      </c>
      <c r="C653" s="1" t="s">
        <v>1481</v>
      </c>
      <c r="D653" s="4" t="s">
        <v>89</v>
      </c>
      <c r="E653" s="3"/>
      <c r="F653" s="3" t="s">
        <v>69</v>
      </c>
      <c r="G653" s="4">
        <v>20</v>
      </c>
      <c r="H653" s="4">
        <v>20</v>
      </c>
      <c r="I653" s="4">
        <v>0</v>
      </c>
      <c r="J653" s="4" t="s">
        <v>8</v>
      </c>
      <c r="K653" s="4" t="s">
        <v>13</v>
      </c>
      <c r="L653" s="11"/>
      <c r="M653" s="3"/>
      <c r="N653">
        <v>4502679862</v>
      </c>
      <c r="O653" s="4">
        <v>40</v>
      </c>
      <c r="P653" s="1" t="s">
        <v>1572</v>
      </c>
      <c r="Q653" s="22">
        <v>46175</v>
      </c>
      <c r="R653"/>
      <c r="S653" s="11"/>
      <c r="T653" s="4" t="s">
        <v>71</v>
      </c>
      <c r="U653" s="1"/>
      <c r="V653" s="1"/>
      <c r="W653" s="1"/>
      <c r="X653" s="1"/>
      <c r="Y653" s="1"/>
    </row>
    <row r="654" spans="2:25" x14ac:dyDescent="0.25">
      <c r="B654" s="4">
        <v>20069666</v>
      </c>
      <c r="C654" s="1" t="s">
        <v>1505</v>
      </c>
      <c r="D654" s="4" t="s">
        <v>89</v>
      </c>
      <c r="E654" s="3"/>
      <c r="F654" s="3" t="s">
        <v>69</v>
      </c>
      <c r="G654" s="4">
        <v>4</v>
      </c>
      <c r="H654" s="4">
        <v>4</v>
      </c>
      <c r="I654" s="4">
        <v>7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66</v>
      </c>
      <c r="U654" s="1"/>
      <c r="V654" s="1"/>
      <c r="W654" s="1"/>
      <c r="X654" s="1"/>
      <c r="Y654" s="1"/>
    </row>
    <row r="655" spans="2:25" x14ac:dyDescent="0.25">
      <c r="B655" s="4">
        <v>20069977</v>
      </c>
      <c r="C655" s="1" t="s">
        <v>1432</v>
      </c>
      <c r="D655" s="4" t="s">
        <v>89</v>
      </c>
      <c r="E655" s="3"/>
      <c r="F655" s="3" t="s">
        <v>69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71</v>
      </c>
      <c r="U655" s="1"/>
      <c r="V655" s="1"/>
      <c r="W655" s="1"/>
      <c r="X655" s="1"/>
      <c r="Y655" s="1"/>
    </row>
    <row r="656" spans="2:25" x14ac:dyDescent="0.25">
      <c r="B656" s="4">
        <v>20070039</v>
      </c>
      <c r="C656" s="1" t="s">
        <v>1582</v>
      </c>
      <c r="D656" s="4" t="s">
        <v>89</v>
      </c>
      <c r="E656" s="3"/>
      <c r="F656" s="3" t="s">
        <v>69</v>
      </c>
      <c r="G656" s="4">
        <v>100</v>
      </c>
      <c r="H656" s="4">
        <v>100</v>
      </c>
      <c r="I656" s="4">
        <v>0</v>
      </c>
      <c r="J656" s="4" t="s">
        <v>8</v>
      </c>
      <c r="K656" s="4" t="s">
        <v>13</v>
      </c>
      <c r="L656" s="11"/>
      <c r="M656" s="3"/>
      <c r="N656">
        <v>4502666323</v>
      </c>
      <c r="O656" s="4">
        <v>300</v>
      </c>
      <c r="P656" s="1" t="s">
        <v>1588</v>
      </c>
      <c r="Q656" s="22">
        <v>46146</v>
      </c>
      <c r="R656"/>
      <c r="S656" s="11"/>
      <c r="T656" s="4" t="s">
        <v>66</v>
      </c>
      <c r="U656" s="1"/>
      <c r="V656" s="1"/>
      <c r="W656" s="1"/>
      <c r="X656" s="1"/>
      <c r="Y656" s="1"/>
    </row>
    <row r="657" spans="2:25" x14ac:dyDescent="0.25">
      <c r="B657" s="4">
        <v>20070347</v>
      </c>
      <c r="C657" s="1" t="s">
        <v>1446</v>
      </c>
      <c r="D657" s="4" t="s">
        <v>89</v>
      </c>
      <c r="E657" s="3"/>
      <c r="F657" s="3" t="s">
        <v>69</v>
      </c>
      <c r="G657" s="4">
        <v>250</v>
      </c>
      <c r="H657" s="4">
        <v>400</v>
      </c>
      <c r="I657" s="4">
        <v>327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67</v>
      </c>
      <c r="U657" s="1"/>
      <c r="V657" s="1"/>
      <c r="W657" s="1"/>
      <c r="X657" s="1"/>
      <c r="Y657" s="1"/>
    </row>
    <row r="658" spans="2:25" x14ac:dyDescent="0.25">
      <c r="B658" s="4">
        <v>20070759</v>
      </c>
      <c r="C658" s="1" t="s">
        <v>1401</v>
      </c>
      <c r="D658" s="4" t="s">
        <v>89</v>
      </c>
      <c r="E658" s="3"/>
      <c r="F658" s="3" t="s">
        <v>69</v>
      </c>
      <c r="G658" s="4">
        <v>10</v>
      </c>
      <c r="H658" s="4">
        <v>20</v>
      </c>
      <c r="I658" s="4">
        <v>19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70</v>
      </c>
      <c r="U658" s="1"/>
      <c r="V658" s="1"/>
      <c r="W658" s="1"/>
      <c r="X658" s="1"/>
      <c r="Y658" s="1"/>
    </row>
    <row r="659" spans="2:25" x14ac:dyDescent="0.25">
      <c r="B659" s="4">
        <v>20070881</v>
      </c>
      <c r="C659" s="1" t="s">
        <v>1400</v>
      </c>
      <c r="D659" s="4" t="s">
        <v>89</v>
      </c>
      <c r="E659" s="3"/>
      <c r="F659" s="3" t="s">
        <v>69</v>
      </c>
      <c r="G659" s="4">
        <v>4</v>
      </c>
      <c r="H659" s="4">
        <v>2</v>
      </c>
      <c r="I659" s="4">
        <v>6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68</v>
      </c>
      <c r="U659" s="1"/>
      <c r="V659" s="1"/>
      <c r="W659" s="1"/>
      <c r="X659" s="1"/>
      <c r="Y659" s="1"/>
    </row>
    <row r="660" spans="2:25" x14ac:dyDescent="0.25">
      <c r="B660" s="4">
        <v>20070888</v>
      </c>
      <c r="C660" s="1" t="s">
        <v>1427</v>
      </c>
      <c r="D660" s="4" t="s">
        <v>89</v>
      </c>
      <c r="E660" s="3"/>
      <c r="F660" s="3" t="s">
        <v>69</v>
      </c>
      <c r="G660" s="4">
        <v>10</v>
      </c>
      <c r="H660" s="4">
        <v>10</v>
      </c>
      <c r="I660" s="4">
        <v>10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67</v>
      </c>
      <c r="U660" s="1"/>
      <c r="V660" s="1"/>
      <c r="W660" s="1"/>
      <c r="X660" s="1"/>
      <c r="Y660" s="1"/>
    </row>
    <row r="661" spans="2:25" x14ac:dyDescent="0.25">
      <c r="B661" s="4">
        <v>20073205</v>
      </c>
      <c r="C661" s="1" t="s">
        <v>1482</v>
      </c>
      <c r="D661" s="4" t="s">
        <v>89</v>
      </c>
      <c r="E661" s="3"/>
      <c r="F661" s="3" t="s">
        <v>69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70</v>
      </c>
      <c r="U661" s="1"/>
      <c r="V661" s="1"/>
      <c r="W661" s="1"/>
      <c r="X661" s="1"/>
      <c r="Y661" s="1"/>
    </row>
    <row r="662" spans="2:25" x14ac:dyDescent="0.25">
      <c r="B662" s="4">
        <v>20076418</v>
      </c>
      <c r="C662" s="1" t="s">
        <v>1514</v>
      </c>
      <c r="D662" s="4" t="s">
        <v>89</v>
      </c>
      <c r="E662" s="3"/>
      <c r="F662" s="3" t="s">
        <v>69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25">
      <c r="B663" s="4">
        <v>20078273</v>
      </c>
      <c r="C663" s="1" t="s">
        <v>1559</v>
      </c>
      <c r="D663" s="4" t="s">
        <v>89</v>
      </c>
      <c r="E663" s="3"/>
      <c r="F663" s="3" t="s">
        <v>69</v>
      </c>
      <c r="G663" s="4">
        <v>30</v>
      </c>
      <c r="H663" s="4">
        <v>50</v>
      </c>
      <c r="I663" s="4">
        <v>52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68</v>
      </c>
      <c r="U663" s="1"/>
      <c r="V663" s="1"/>
      <c r="W663" s="1"/>
      <c r="X663" s="1"/>
      <c r="Y663" s="1"/>
    </row>
    <row r="664" spans="2:25" x14ac:dyDescent="0.25">
      <c r="B664" s="4">
        <v>30005406</v>
      </c>
      <c r="C664" s="1" t="s">
        <v>796</v>
      </c>
      <c r="D664" s="4" t="s">
        <v>89</v>
      </c>
      <c r="E664" s="3"/>
      <c r="F664" s="3" t="s">
        <v>105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66</v>
      </c>
      <c r="U664" s="1"/>
      <c r="V664" s="1"/>
      <c r="W664" s="1"/>
      <c r="X664" s="1"/>
      <c r="Y664" s="1"/>
    </row>
    <row r="665" spans="2:25" x14ac:dyDescent="0.25">
      <c r="B665" s="4">
        <v>30005783</v>
      </c>
      <c r="C665" s="1" t="s">
        <v>523</v>
      </c>
      <c r="D665" s="4" t="s">
        <v>89</v>
      </c>
      <c r="E665" s="3"/>
      <c r="F665" s="3" t="s">
        <v>69</v>
      </c>
      <c r="G665" s="4">
        <v>60</v>
      </c>
      <c r="H665" s="4">
        <v>40</v>
      </c>
      <c r="I665" s="4">
        <v>77</v>
      </c>
      <c r="J665" s="4" t="s">
        <v>8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73</v>
      </c>
      <c r="U665" s="1"/>
      <c r="V665" s="1"/>
      <c r="W665" s="1"/>
      <c r="X665" s="1"/>
      <c r="Y665" s="1"/>
    </row>
    <row r="666" spans="2:25" x14ac:dyDescent="0.25">
      <c r="B666" s="4">
        <v>30006055</v>
      </c>
      <c r="C666" s="1" t="s">
        <v>1113</v>
      </c>
      <c r="D666" s="4" t="s">
        <v>89</v>
      </c>
      <c r="E666" s="3"/>
      <c r="F666" s="3" t="s">
        <v>69</v>
      </c>
      <c r="G666" s="4">
        <v>72</v>
      </c>
      <c r="H666" s="4">
        <v>72</v>
      </c>
      <c r="I666" s="4">
        <v>100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/>
      <c r="V666" s="1"/>
      <c r="W666" s="1"/>
      <c r="X666" s="1"/>
      <c r="Y666" s="1"/>
    </row>
    <row r="667" spans="2:25" x14ac:dyDescent="0.25">
      <c r="B667" s="4">
        <v>30006066</v>
      </c>
      <c r="C667" s="1" t="s">
        <v>1442</v>
      </c>
      <c r="D667" s="4" t="s">
        <v>89</v>
      </c>
      <c r="E667" s="3"/>
      <c r="F667" s="3" t="s">
        <v>69</v>
      </c>
      <c r="G667" s="4">
        <v>100</v>
      </c>
      <c r="H667" s="4">
        <v>200</v>
      </c>
      <c r="I667" s="4">
        <v>220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25">
      <c r="B668" s="4">
        <v>30006079</v>
      </c>
      <c r="C668" s="1" t="s">
        <v>1498</v>
      </c>
      <c r="D668" s="4" t="s">
        <v>89</v>
      </c>
      <c r="E668" s="3"/>
      <c r="F668" s="3" t="s">
        <v>69</v>
      </c>
      <c r="G668" s="4">
        <v>4</v>
      </c>
      <c r="H668" s="4">
        <v>2</v>
      </c>
      <c r="I668" s="4">
        <v>6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73</v>
      </c>
      <c r="U668" s="1"/>
      <c r="V668" s="1"/>
      <c r="W668" s="1"/>
      <c r="X668" s="1"/>
      <c r="Y668" s="1"/>
    </row>
    <row r="669" spans="2:25" x14ac:dyDescent="0.25">
      <c r="B669" s="4">
        <v>30006476</v>
      </c>
      <c r="C669" s="1" t="s">
        <v>524</v>
      </c>
      <c r="D669" s="4" t="s">
        <v>89</v>
      </c>
      <c r="E669" s="3"/>
      <c r="F669" s="3" t="s">
        <v>69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25">
      <c r="B670" s="4">
        <v>30006477</v>
      </c>
      <c r="C670" s="1" t="s">
        <v>525</v>
      </c>
      <c r="D670" s="4" t="s">
        <v>89</v>
      </c>
      <c r="E670" s="3"/>
      <c r="F670" s="3" t="s">
        <v>69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25">
      <c r="B671" s="4">
        <v>30006494</v>
      </c>
      <c r="C671" s="1" t="s">
        <v>526</v>
      </c>
      <c r="D671" s="4" t="s">
        <v>89</v>
      </c>
      <c r="E671" s="3"/>
      <c r="F671" s="3" t="s">
        <v>69</v>
      </c>
      <c r="G671" s="4">
        <v>12</v>
      </c>
      <c r="H671" s="4">
        <v>10</v>
      </c>
      <c r="I671" s="4">
        <v>16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66</v>
      </c>
      <c r="U671" s="1"/>
      <c r="V671" s="1"/>
      <c r="W671" s="1"/>
      <c r="X671" s="1"/>
      <c r="Y671" s="1"/>
    </row>
    <row r="672" spans="2:25" x14ac:dyDescent="0.25">
      <c r="B672" s="4">
        <v>30006495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12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25">
      <c r="B673" s="4">
        <v>30006496</v>
      </c>
      <c r="C673" s="1" t="s">
        <v>1405</v>
      </c>
      <c r="D673" s="4" t="s">
        <v>89</v>
      </c>
      <c r="E673" s="3"/>
      <c r="F673" s="3" t="s">
        <v>105</v>
      </c>
      <c r="G673" s="4">
        <v>3</v>
      </c>
      <c r="H673" s="4">
        <v>6</v>
      </c>
      <c r="I673" s="4">
        <v>0</v>
      </c>
      <c r="J673" s="4" t="s">
        <v>8</v>
      </c>
      <c r="K673" s="4" t="s">
        <v>13</v>
      </c>
      <c r="L673" s="11"/>
      <c r="M673" s="3"/>
      <c r="N673">
        <v>4700161517</v>
      </c>
      <c r="O673" s="4">
        <v>1</v>
      </c>
      <c r="P673" s="1" t="s">
        <v>1645</v>
      </c>
      <c r="Q673" s="22">
        <v>46192</v>
      </c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25">
      <c r="B674" s="4">
        <v>30006497</v>
      </c>
      <c r="C674" s="1" t="s">
        <v>528</v>
      </c>
      <c r="D674" s="4" t="s">
        <v>89</v>
      </c>
      <c r="E674" s="3"/>
      <c r="F674" s="3" t="s">
        <v>69</v>
      </c>
      <c r="G674" s="4">
        <v>12</v>
      </c>
      <c r="H674" s="4">
        <v>10</v>
      </c>
      <c r="I674" s="4">
        <v>12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25">
      <c r="B675" s="4">
        <v>30006537</v>
      </c>
      <c r="C675" s="1" t="s">
        <v>1308</v>
      </c>
      <c r="D675" s="4" t="s">
        <v>89</v>
      </c>
      <c r="E675" s="3"/>
      <c r="F675" s="3" t="s">
        <v>69</v>
      </c>
      <c r="G675" s="4">
        <v>4</v>
      </c>
      <c r="H675" s="4">
        <v>8</v>
      </c>
      <c r="I675" s="4">
        <v>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73</v>
      </c>
      <c r="U675" s="1"/>
      <c r="V675" s="1"/>
      <c r="W675" s="1"/>
      <c r="X675" s="1"/>
      <c r="Y675" s="1"/>
    </row>
    <row r="676" spans="2:25" x14ac:dyDescent="0.25">
      <c r="B676" s="4">
        <v>30006538</v>
      </c>
      <c r="C676" s="1" t="s">
        <v>529</v>
      </c>
      <c r="D676" s="4" t="s">
        <v>89</v>
      </c>
      <c r="E676" s="3"/>
      <c r="F676" s="3" t="s">
        <v>69</v>
      </c>
      <c r="G676" s="4">
        <v>6</v>
      </c>
      <c r="H676" s="4">
        <v>6</v>
      </c>
      <c r="I676" s="4">
        <v>13</v>
      </c>
      <c r="J676" s="4" t="s">
        <v>8</v>
      </c>
      <c r="K676" s="4" t="s">
        <v>14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25">
      <c r="B677" s="4">
        <v>30006583</v>
      </c>
      <c r="C677" s="1" t="s">
        <v>1264</v>
      </c>
      <c r="D677" s="4" t="s">
        <v>89</v>
      </c>
      <c r="E677" s="3"/>
      <c r="F677" s="3" t="s">
        <v>69</v>
      </c>
      <c r="G677" s="4">
        <v>21</v>
      </c>
      <c r="H677" s="4">
        <v>40</v>
      </c>
      <c r="I677" s="4">
        <v>29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66</v>
      </c>
      <c r="U677" s="1"/>
      <c r="V677" s="1"/>
      <c r="W677" s="1"/>
      <c r="X677" s="1"/>
      <c r="Y677" s="1"/>
    </row>
    <row r="678" spans="2:25" x14ac:dyDescent="0.25">
      <c r="B678" s="4">
        <v>30006604</v>
      </c>
      <c r="C678" s="1" t="s">
        <v>1117</v>
      </c>
      <c r="D678" s="4" t="s">
        <v>89</v>
      </c>
      <c r="E678" s="3" t="s">
        <v>1228</v>
      </c>
      <c r="F678" s="3" t="s">
        <v>105</v>
      </c>
      <c r="G678" s="4">
        <v>150</v>
      </c>
      <c r="H678" s="4">
        <v>150</v>
      </c>
      <c r="I678" s="4">
        <v>47</v>
      </c>
      <c r="J678" s="4" t="s">
        <v>8</v>
      </c>
      <c r="K678" s="4" t="s">
        <v>9</v>
      </c>
      <c r="L678" s="11"/>
      <c r="M678" s="3"/>
      <c r="N678">
        <v>4502681276</v>
      </c>
      <c r="O678" s="4">
        <v>200</v>
      </c>
      <c r="P678" s="1" t="s">
        <v>1567</v>
      </c>
      <c r="Q678" s="22">
        <v>46178</v>
      </c>
      <c r="R678"/>
      <c r="S678" s="11" t="s">
        <v>1635</v>
      </c>
      <c r="T678" s="4" t="s">
        <v>74</v>
      </c>
      <c r="U678" s="1"/>
      <c r="V678" s="1"/>
      <c r="W678" s="1"/>
      <c r="X678" s="1"/>
      <c r="Y678" s="1"/>
    </row>
    <row r="679" spans="2:25" x14ac:dyDescent="0.25">
      <c r="B679" s="4">
        <v>30006605</v>
      </c>
      <c r="C679" s="1" t="s">
        <v>1118</v>
      </c>
      <c r="D679" s="4" t="s">
        <v>89</v>
      </c>
      <c r="E679" s="3"/>
      <c r="F679" s="3" t="s">
        <v>105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/>
      <c r="V679" s="1"/>
      <c r="W679" s="1"/>
      <c r="X679" s="1"/>
      <c r="Y679" s="1"/>
    </row>
    <row r="680" spans="2:25" x14ac:dyDescent="0.25">
      <c r="B680" s="4">
        <v>30006607</v>
      </c>
      <c r="C680" s="1" t="s">
        <v>1119</v>
      </c>
      <c r="D680" s="4" t="s">
        <v>89</v>
      </c>
      <c r="E680" s="3" t="s">
        <v>1228</v>
      </c>
      <c r="F680" s="3" t="s">
        <v>105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25">
      <c r="B681" s="4">
        <v>30006608</v>
      </c>
      <c r="C681" s="1" t="s">
        <v>1521</v>
      </c>
      <c r="D681" s="4" t="s">
        <v>89</v>
      </c>
      <c r="E681" s="3"/>
      <c r="F681" s="3" t="s">
        <v>69</v>
      </c>
      <c r="G681" s="4">
        <v>5</v>
      </c>
      <c r="H681" s="4">
        <v>3</v>
      </c>
      <c r="I681" s="4">
        <v>13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67</v>
      </c>
      <c r="U681" s="1"/>
      <c r="V681" s="1"/>
      <c r="W681" s="1"/>
      <c r="X681" s="1"/>
      <c r="Y681" s="1"/>
    </row>
    <row r="682" spans="2:25" x14ac:dyDescent="0.25">
      <c r="B682" s="4">
        <v>30006610</v>
      </c>
      <c r="C682" s="1" t="s">
        <v>1120</v>
      </c>
      <c r="D682" s="4" t="s">
        <v>89</v>
      </c>
      <c r="E682" s="3"/>
      <c r="F682" s="3" t="s">
        <v>105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74</v>
      </c>
      <c r="U682" s="1"/>
      <c r="V682" s="1"/>
      <c r="W682" s="1"/>
      <c r="X682" s="1"/>
      <c r="Y682" s="1"/>
    </row>
    <row r="683" spans="2:25" x14ac:dyDescent="0.25">
      <c r="B683" s="4">
        <v>30006612</v>
      </c>
      <c r="C683" s="1" t="s">
        <v>1121</v>
      </c>
      <c r="D683" s="4" t="s">
        <v>89</v>
      </c>
      <c r="E683" s="3"/>
      <c r="F683" s="3" t="s">
        <v>105</v>
      </c>
      <c r="G683" s="4">
        <v>3</v>
      </c>
      <c r="H683" s="4">
        <v>2</v>
      </c>
      <c r="I683" s="4">
        <v>2</v>
      </c>
      <c r="J683" s="4" t="s">
        <v>8</v>
      </c>
      <c r="K683" s="4" t="s">
        <v>9</v>
      </c>
      <c r="L683" s="11"/>
      <c r="M683" s="3"/>
      <c r="N683">
        <v>4502681044</v>
      </c>
      <c r="O683" s="4">
        <v>2</v>
      </c>
      <c r="P683" s="1" t="s">
        <v>1567</v>
      </c>
      <c r="Q683" s="22">
        <v>46200</v>
      </c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25">
      <c r="B684" s="4">
        <v>30006616</v>
      </c>
      <c r="C684" s="1" t="s">
        <v>1122</v>
      </c>
      <c r="D684" s="4" t="s">
        <v>89</v>
      </c>
      <c r="E684" s="3"/>
      <c r="F684" s="3" t="s">
        <v>105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70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25">
      <c r="B685" s="4">
        <v>30006617</v>
      </c>
      <c r="C685" s="1" t="s">
        <v>1123</v>
      </c>
      <c r="D685" s="4" t="s">
        <v>89</v>
      </c>
      <c r="E685" s="3" t="s">
        <v>1228</v>
      </c>
      <c r="F685" s="3" t="s">
        <v>105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1605</v>
      </c>
      <c r="T685" s="4" t="s">
        <v>74</v>
      </c>
      <c r="U685" s="1"/>
      <c r="V685" s="1"/>
      <c r="W685" s="1"/>
      <c r="X685" s="1"/>
      <c r="Y685" s="1"/>
    </row>
    <row r="686" spans="2:25" x14ac:dyDescent="0.25">
      <c r="B686" s="4">
        <v>30006619</v>
      </c>
      <c r="C686" s="1" t="s">
        <v>1124</v>
      </c>
      <c r="D686" s="4" t="s">
        <v>89</v>
      </c>
      <c r="E686" s="3"/>
      <c r="F686" s="3" t="s">
        <v>105</v>
      </c>
      <c r="G686" s="4">
        <v>61</v>
      </c>
      <c r="H686" s="4">
        <v>60</v>
      </c>
      <c r="I686" s="4">
        <v>274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74</v>
      </c>
      <c r="U686" s="1"/>
      <c r="V686" s="1"/>
      <c r="W686" s="1"/>
      <c r="X686" s="1"/>
      <c r="Y686" s="1"/>
    </row>
    <row r="687" spans="2:25" x14ac:dyDescent="0.25">
      <c r="B687" s="4">
        <v>30006621</v>
      </c>
      <c r="C687" s="1" t="s">
        <v>1125</v>
      </c>
      <c r="D687" s="4" t="s">
        <v>89</v>
      </c>
      <c r="E687" s="3" t="s">
        <v>1228</v>
      </c>
      <c r="F687" s="3" t="s">
        <v>105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25">
      <c r="B688" s="4">
        <v>30006623</v>
      </c>
      <c r="C688" s="1" t="s">
        <v>530</v>
      </c>
      <c r="D688" s="4" t="s">
        <v>89</v>
      </c>
      <c r="E688" s="3" t="s">
        <v>1228</v>
      </c>
      <c r="F688" s="3" t="s">
        <v>105</v>
      </c>
      <c r="G688" s="4">
        <v>120</v>
      </c>
      <c r="H688" s="4">
        <v>300</v>
      </c>
      <c r="I688" s="4">
        <v>299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25">
      <c r="B689" s="4">
        <v>30006630</v>
      </c>
      <c r="C689" s="1" t="s">
        <v>1126</v>
      </c>
      <c r="D689" s="4" t="s">
        <v>89</v>
      </c>
      <c r="E689" s="3"/>
      <c r="F689" s="3" t="s">
        <v>105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25">
      <c r="B690" s="4">
        <v>30006632</v>
      </c>
      <c r="C690" s="1" t="s">
        <v>1127</v>
      </c>
      <c r="D690" s="4" t="s">
        <v>89</v>
      </c>
      <c r="E690" s="3" t="s">
        <v>1228</v>
      </c>
      <c r="F690" s="3" t="s">
        <v>105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25">
      <c r="B691" s="4">
        <v>30006634</v>
      </c>
      <c r="C691" s="1" t="s">
        <v>1128</v>
      </c>
      <c r="D691" s="4" t="s">
        <v>89</v>
      </c>
      <c r="E691" s="3"/>
      <c r="F691" s="3" t="s">
        <v>105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25">
      <c r="B692" s="4">
        <v>30006637</v>
      </c>
      <c r="C692" s="1" t="s">
        <v>1129</v>
      </c>
      <c r="D692" s="4" t="s">
        <v>89</v>
      </c>
      <c r="E692" s="3"/>
      <c r="F692" s="3" t="s">
        <v>105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25">
      <c r="B693" s="4">
        <v>30006710</v>
      </c>
      <c r="C693" s="1" t="s">
        <v>1130</v>
      </c>
      <c r="D693" s="4" t="s">
        <v>89</v>
      </c>
      <c r="E693" s="3"/>
      <c r="F693" s="3" t="s">
        <v>105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66</v>
      </c>
      <c r="U693" s="1"/>
      <c r="V693" s="1"/>
      <c r="W693" s="1"/>
      <c r="X693" s="1"/>
      <c r="Y693" s="1"/>
    </row>
    <row r="694" spans="2:25" x14ac:dyDescent="0.25">
      <c r="B694" s="4">
        <v>30006711</v>
      </c>
      <c r="C694" s="1" t="s">
        <v>1131</v>
      </c>
      <c r="D694" s="4" t="s">
        <v>89</v>
      </c>
      <c r="E694" s="3"/>
      <c r="F694" s="3" t="s">
        <v>105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25">
      <c r="B695" s="4">
        <v>30006712</v>
      </c>
      <c r="C695" s="1" t="s">
        <v>1132</v>
      </c>
      <c r="D695" s="4" t="s">
        <v>89</v>
      </c>
      <c r="E695" s="3"/>
      <c r="F695" s="3" t="s">
        <v>105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25">
      <c r="B696" s="4">
        <v>30006713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25">
      <c r="B697" s="4">
        <v>30006715</v>
      </c>
      <c r="C697" s="1" t="s">
        <v>1435</v>
      </c>
      <c r="D697" s="4" t="s">
        <v>89</v>
      </c>
      <c r="E697" s="3" t="s">
        <v>1228</v>
      </c>
      <c r="F697" s="3" t="s">
        <v>105</v>
      </c>
      <c r="G697" s="4">
        <v>21</v>
      </c>
      <c r="H697" s="4">
        <v>20</v>
      </c>
      <c r="I697" s="4">
        <v>25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25">
      <c r="B698" s="4">
        <v>30006716</v>
      </c>
      <c r="C698" s="1" t="s">
        <v>1135</v>
      </c>
      <c r="D698" s="4" t="s">
        <v>89</v>
      </c>
      <c r="E698" s="3"/>
      <c r="F698" s="3" t="s">
        <v>105</v>
      </c>
      <c r="G698" s="4">
        <v>17</v>
      </c>
      <c r="H698" s="4">
        <v>16</v>
      </c>
      <c r="I698" s="4">
        <v>17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25">
      <c r="B699" s="4">
        <v>30006717</v>
      </c>
      <c r="C699" s="1" t="s">
        <v>1136</v>
      </c>
      <c r="D699" s="4" t="s">
        <v>89</v>
      </c>
      <c r="E699" s="3" t="s">
        <v>1228</v>
      </c>
      <c r="F699" s="3" t="s">
        <v>105</v>
      </c>
      <c r="G699" s="4">
        <v>21</v>
      </c>
      <c r="H699" s="4">
        <v>20</v>
      </c>
      <c r="I699" s="4">
        <v>21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25">
      <c r="B700" s="4">
        <v>30006723</v>
      </c>
      <c r="C700" s="1" t="s">
        <v>1137</v>
      </c>
      <c r="D700" s="4" t="s">
        <v>89</v>
      </c>
      <c r="E700" s="3" t="s">
        <v>1228</v>
      </c>
      <c r="F700" s="3" t="s">
        <v>105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25">
      <c r="B701" s="4">
        <v>30006724</v>
      </c>
      <c r="C701" s="1" t="s">
        <v>531</v>
      </c>
      <c r="D701" s="4" t="s">
        <v>89</v>
      </c>
      <c r="E701" s="3" t="s">
        <v>1228</v>
      </c>
      <c r="F701" s="3" t="s">
        <v>105</v>
      </c>
      <c r="G701" s="4">
        <v>21</v>
      </c>
      <c r="H701" s="4">
        <v>20</v>
      </c>
      <c r="I701" s="4">
        <v>20</v>
      </c>
      <c r="J701" s="4" t="s">
        <v>8</v>
      </c>
      <c r="K701" s="4" t="s">
        <v>9</v>
      </c>
      <c r="L701" s="11"/>
      <c r="M701" s="3"/>
      <c r="N701">
        <v>4502682122</v>
      </c>
      <c r="O701" s="4">
        <v>20</v>
      </c>
      <c r="P701" s="1" t="s">
        <v>1658</v>
      </c>
      <c r="Q701" s="22">
        <v>46195</v>
      </c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25">
      <c r="B702" s="4">
        <v>30006725</v>
      </c>
      <c r="C702" s="1" t="s">
        <v>1138</v>
      </c>
      <c r="D702" s="4" t="s">
        <v>89</v>
      </c>
      <c r="E702" s="3"/>
      <c r="F702" s="3" t="s">
        <v>105</v>
      </c>
      <c r="G702" s="4">
        <v>21</v>
      </c>
      <c r="H702" s="4">
        <v>20</v>
      </c>
      <c r="I702" s="4">
        <v>39</v>
      </c>
      <c r="J702" s="4" t="s">
        <v>8</v>
      </c>
      <c r="K702" s="4" t="s">
        <v>7</v>
      </c>
      <c r="L702" s="70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25">
      <c r="B703" s="4">
        <v>30006726</v>
      </c>
      <c r="C703" s="1" t="s">
        <v>1139</v>
      </c>
      <c r="D703" s="4" t="s">
        <v>89</v>
      </c>
      <c r="E703" s="3"/>
      <c r="F703" s="3" t="s">
        <v>105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25">
      <c r="B704" s="4">
        <v>30006727</v>
      </c>
      <c r="C704" s="1" t="s">
        <v>1140</v>
      </c>
      <c r="D704" s="4" t="s">
        <v>89</v>
      </c>
      <c r="E704" s="3"/>
      <c r="F704" s="3" t="s">
        <v>105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25">
      <c r="B705" s="4">
        <v>30006735</v>
      </c>
      <c r="C705" s="1" t="s">
        <v>1141</v>
      </c>
      <c r="D705" s="4" t="s">
        <v>89</v>
      </c>
      <c r="E705" s="3"/>
      <c r="F705" s="3" t="s">
        <v>105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/>
      <c r="V705" s="1"/>
      <c r="W705" s="1"/>
      <c r="X705" s="1"/>
      <c r="Y705" s="1"/>
    </row>
    <row r="706" spans="2:25" x14ac:dyDescent="0.25">
      <c r="B706" s="4">
        <v>30006736</v>
      </c>
      <c r="C706" s="1" t="s">
        <v>1142</v>
      </c>
      <c r="D706" s="4" t="s">
        <v>89</v>
      </c>
      <c r="E706" s="3" t="s">
        <v>1228</v>
      </c>
      <c r="F706" s="3" t="s">
        <v>105</v>
      </c>
      <c r="G706" s="4">
        <v>7</v>
      </c>
      <c r="H706" s="4">
        <v>6</v>
      </c>
      <c r="I706" s="4">
        <v>7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66</v>
      </c>
      <c r="U706" s="1"/>
      <c r="V706" s="1"/>
      <c r="W706" s="1"/>
      <c r="X706" s="1"/>
      <c r="Y706" s="1"/>
    </row>
    <row r="707" spans="2:25" x14ac:dyDescent="0.25">
      <c r="B707" s="4">
        <v>30006739</v>
      </c>
      <c r="C707" s="1" t="s">
        <v>1069</v>
      </c>
      <c r="D707" s="4" t="s">
        <v>89</v>
      </c>
      <c r="E707" s="3" t="s">
        <v>1228</v>
      </c>
      <c r="F707" s="3" t="s">
        <v>105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25">
      <c r="B708" s="4">
        <v>30007130</v>
      </c>
      <c r="C708" s="1" t="s">
        <v>1061</v>
      </c>
      <c r="D708" s="4" t="s">
        <v>89</v>
      </c>
      <c r="E708" s="3"/>
      <c r="F708" s="3" t="s">
        <v>69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25">
      <c r="B709" s="4">
        <v>30007152</v>
      </c>
      <c r="C709" s="1" t="s">
        <v>1144</v>
      </c>
      <c r="D709" s="4" t="s">
        <v>89</v>
      </c>
      <c r="E709" s="3" t="s">
        <v>1228</v>
      </c>
      <c r="F709" s="3" t="s">
        <v>105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74</v>
      </c>
      <c r="U709" s="1"/>
      <c r="V709" s="1"/>
      <c r="W709" s="1"/>
      <c r="X709" s="1"/>
      <c r="Y709" s="1"/>
    </row>
    <row r="710" spans="2:25" x14ac:dyDescent="0.25">
      <c r="B710" s="4">
        <v>30007327</v>
      </c>
      <c r="C710" s="1" t="s">
        <v>797</v>
      </c>
      <c r="D710" s="4" t="s">
        <v>89</v>
      </c>
      <c r="E710" s="3" t="s">
        <v>1228</v>
      </c>
      <c r="F710" s="3" t="s">
        <v>105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67</v>
      </c>
      <c r="U710" s="1"/>
      <c r="V710" s="1"/>
      <c r="W710" s="1"/>
      <c r="X710" s="1"/>
      <c r="Y710" s="1"/>
    </row>
    <row r="711" spans="2:25" x14ac:dyDescent="0.25">
      <c r="B711" s="4">
        <v>30007328</v>
      </c>
      <c r="C711" s="1" t="s">
        <v>798</v>
      </c>
      <c r="D711" s="4" t="s">
        <v>89</v>
      </c>
      <c r="E711" s="3" t="s">
        <v>1228</v>
      </c>
      <c r="F711" s="3" t="s">
        <v>105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25">
      <c r="B712" s="4">
        <v>30007329</v>
      </c>
      <c r="C712" s="1" t="s">
        <v>799</v>
      </c>
      <c r="D712" s="4" t="s">
        <v>89</v>
      </c>
      <c r="E712" s="3"/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25">
      <c r="B713" s="4">
        <v>30007330</v>
      </c>
      <c r="C713" s="1" t="s">
        <v>800</v>
      </c>
      <c r="D713" s="4" t="s">
        <v>89</v>
      </c>
      <c r="E713" s="3" t="s">
        <v>1228</v>
      </c>
      <c r="F713" s="3" t="s">
        <v>105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25">
      <c r="B714" s="4">
        <v>30007331</v>
      </c>
      <c r="C714" s="1" t="s">
        <v>801</v>
      </c>
      <c r="D714" s="4" t="s">
        <v>89</v>
      </c>
      <c r="E714" s="3" t="s">
        <v>1228</v>
      </c>
      <c r="F714" s="3" t="s">
        <v>105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25">
      <c r="B715" s="4">
        <v>30007332</v>
      </c>
      <c r="C715" s="1" t="s">
        <v>802</v>
      </c>
      <c r="D715" s="4" t="s">
        <v>89</v>
      </c>
      <c r="E715" s="3" t="s">
        <v>1228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25">
      <c r="B716" s="4">
        <v>30007362</v>
      </c>
      <c r="C716" s="1" t="s">
        <v>803</v>
      </c>
      <c r="D716" s="4" t="s">
        <v>89</v>
      </c>
      <c r="E716" s="3"/>
      <c r="F716" s="3" t="s">
        <v>105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74</v>
      </c>
      <c r="U716" s="1"/>
      <c r="V716" s="1"/>
      <c r="W716" s="1"/>
      <c r="X716" s="1"/>
      <c r="Y716" s="1"/>
    </row>
    <row r="717" spans="2:25" x14ac:dyDescent="0.25">
      <c r="B717" s="4">
        <v>30007363</v>
      </c>
      <c r="C717" s="1" t="s">
        <v>804</v>
      </c>
      <c r="D717" s="4" t="s">
        <v>89</v>
      </c>
      <c r="E717" s="3" t="s">
        <v>1228</v>
      </c>
      <c r="F717" s="3" t="s">
        <v>105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66</v>
      </c>
      <c r="U717" s="1"/>
      <c r="V717" s="1"/>
      <c r="W717" s="1"/>
      <c r="X717" s="1"/>
      <c r="Y717" s="1"/>
    </row>
    <row r="718" spans="2:25" x14ac:dyDescent="0.25">
      <c r="B718" s="4">
        <v>30007365</v>
      </c>
      <c r="C718" s="1" t="s">
        <v>805</v>
      </c>
      <c r="D718" s="4" t="s">
        <v>89</v>
      </c>
      <c r="E718" s="3"/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25">
      <c r="B719" s="4">
        <v>30007367</v>
      </c>
      <c r="C719" s="1" t="s">
        <v>806</v>
      </c>
      <c r="D719" s="4" t="s">
        <v>89</v>
      </c>
      <c r="E719" s="3" t="s">
        <v>1228</v>
      </c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/>
      <c r="V719" s="1"/>
      <c r="W719" s="1"/>
      <c r="X719" s="1"/>
      <c r="Y719" s="1"/>
    </row>
    <row r="720" spans="2:25" x14ac:dyDescent="0.25">
      <c r="B720" s="4">
        <v>30007368</v>
      </c>
      <c r="C720" s="1" t="s">
        <v>807</v>
      </c>
      <c r="D720" s="4" t="s">
        <v>89</v>
      </c>
      <c r="E720" s="3" t="s">
        <v>1228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25">
      <c r="B721" s="4">
        <v>30007369</v>
      </c>
      <c r="C721" s="1" t="s">
        <v>875</v>
      </c>
      <c r="D721" s="4" t="s">
        <v>89</v>
      </c>
      <c r="E721" s="3" t="s">
        <v>1228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66</v>
      </c>
      <c r="U721" s="1"/>
      <c r="V721" s="1"/>
      <c r="W721" s="1"/>
      <c r="X721" s="1"/>
      <c r="Y721" s="1"/>
    </row>
    <row r="722" spans="2:25" x14ac:dyDescent="0.25">
      <c r="B722" s="4">
        <v>30007370</v>
      </c>
      <c r="C722" s="1" t="s">
        <v>808</v>
      </c>
      <c r="D722" s="4" t="s">
        <v>89</v>
      </c>
      <c r="E722" s="3"/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/>
      <c r="V722" s="1"/>
      <c r="W722" s="1"/>
      <c r="X722" s="1"/>
      <c r="Y722" s="1"/>
    </row>
    <row r="723" spans="2:25" x14ac:dyDescent="0.25">
      <c r="B723" s="4">
        <v>30007372</v>
      </c>
      <c r="C723" s="1" t="s">
        <v>809</v>
      </c>
      <c r="D723" s="4" t="s">
        <v>89</v>
      </c>
      <c r="E723" s="3" t="s">
        <v>1228</v>
      </c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25">
      <c r="B724" s="4">
        <v>30007374</v>
      </c>
      <c r="C724" s="1" t="s">
        <v>810</v>
      </c>
      <c r="D724" s="4" t="s">
        <v>89</v>
      </c>
      <c r="E724" s="3" t="s">
        <v>1228</v>
      </c>
      <c r="F724" s="3" t="s">
        <v>105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1606</v>
      </c>
      <c r="T724" s="4" t="s">
        <v>74</v>
      </c>
      <c r="U724" s="1"/>
      <c r="V724" s="1"/>
      <c r="W724" s="1"/>
      <c r="X724" s="1"/>
      <c r="Y724" s="1"/>
    </row>
    <row r="725" spans="2:25" x14ac:dyDescent="0.25">
      <c r="B725" s="4">
        <v>30007375</v>
      </c>
      <c r="C725" s="1" t="s">
        <v>811</v>
      </c>
      <c r="D725" s="4" t="s">
        <v>89</v>
      </c>
      <c r="E725" s="3" t="s">
        <v>1228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1606</v>
      </c>
      <c r="T725" s="4" t="s">
        <v>74</v>
      </c>
      <c r="U725" s="1"/>
      <c r="V725" s="1"/>
      <c r="W725" s="1"/>
      <c r="X725" s="1"/>
      <c r="Y725" s="1"/>
    </row>
    <row r="726" spans="2:25" x14ac:dyDescent="0.25">
      <c r="B726" s="4">
        <v>30007378</v>
      </c>
      <c r="C726" s="1" t="s">
        <v>812</v>
      </c>
      <c r="D726" s="4" t="s">
        <v>89</v>
      </c>
      <c r="E726" s="3" t="s">
        <v>1228</v>
      </c>
      <c r="F726" s="3" t="s">
        <v>105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67</v>
      </c>
      <c r="U726" s="1"/>
      <c r="V726" s="1"/>
      <c r="W726" s="1"/>
      <c r="X726" s="1"/>
      <c r="Y726" s="1"/>
    </row>
    <row r="727" spans="2:25" x14ac:dyDescent="0.25">
      <c r="B727" s="4">
        <v>30007381</v>
      </c>
      <c r="C727" s="1" t="s">
        <v>814</v>
      </c>
      <c r="D727" s="4" t="s">
        <v>89</v>
      </c>
      <c r="E727" s="3"/>
      <c r="F727" s="3" t="s">
        <v>105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74</v>
      </c>
      <c r="U727" s="1"/>
      <c r="V727" s="1"/>
      <c r="W727" s="1"/>
      <c r="X727" s="1"/>
      <c r="Y727" s="1"/>
    </row>
    <row r="728" spans="2:25" x14ac:dyDescent="0.25">
      <c r="B728" s="4">
        <v>30007382</v>
      </c>
      <c r="C728" s="1" t="s">
        <v>1070</v>
      </c>
      <c r="D728" s="4" t="s">
        <v>89</v>
      </c>
      <c r="E728" s="3"/>
      <c r="F728" s="3" t="s">
        <v>105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66</v>
      </c>
      <c r="U728" s="1"/>
      <c r="V728" s="1"/>
      <c r="W728" s="1"/>
      <c r="X728" s="1"/>
      <c r="Y728" s="1"/>
    </row>
    <row r="729" spans="2:25" x14ac:dyDescent="0.25">
      <c r="B729" s="4">
        <v>30007383</v>
      </c>
      <c r="C729" s="1" t="s">
        <v>815</v>
      </c>
      <c r="D729" s="4" t="s">
        <v>89</v>
      </c>
      <c r="E729" s="3" t="s">
        <v>1228</v>
      </c>
      <c r="F729" s="3" t="s">
        <v>105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25">
      <c r="B730" s="4">
        <v>30007385</v>
      </c>
      <c r="C730" s="1" t="s">
        <v>816</v>
      </c>
      <c r="D730" s="4" t="s">
        <v>89</v>
      </c>
      <c r="E730" s="3"/>
      <c r="F730" s="3" t="s">
        <v>105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25">
      <c r="B731" s="4">
        <v>30007387</v>
      </c>
      <c r="C731" s="1" t="s">
        <v>818</v>
      </c>
      <c r="D731" s="4" t="s">
        <v>89</v>
      </c>
      <c r="E731" s="3"/>
      <c r="F731" s="3" t="s">
        <v>105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 t="s">
        <v>1633</v>
      </c>
      <c r="M731" s="3"/>
      <c r="N731"/>
      <c r="O731" s="4"/>
      <c r="P731" s="1"/>
      <c r="Q731" s="22"/>
      <c r="R731"/>
      <c r="S731" s="11" t="s">
        <v>1634</v>
      </c>
      <c r="T731" s="4" t="s">
        <v>66</v>
      </c>
      <c r="U731" s="1"/>
      <c r="V731" s="1"/>
      <c r="W731" s="1"/>
      <c r="X731" s="1"/>
      <c r="Y731" s="1"/>
    </row>
    <row r="732" spans="2:25" x14ac:dyDescent="0.25">
      <c r="B732" s="4">
        <v>30007388</v>
      </c>
      <c r="C732" s="1" t="s">
        <v>819</v>
      </c>
      <c r="D732" s="4" t="s">
        <v>89</v>
      </c>
      <c r="E732" s="3" t="s">
        <v>1228</v>
      </c>
      <c r="F732" s="3" t="s">
        <v>105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66</v>
      </c>
      <c r="U732" s="1"/>
      <c r="V732" s="1"/>
      <c r="W732" s="1"/>
      <c r="X732" s="1"/>
      <c r="Y732" s="1"/>
    </row>
    <row r="733" spans="2:25" x14ac:dyDescent="0.25">
      <c r="B733" s="4">
        <v>30007389</v>
      </c>
      <c r="C733" s="1" t="s">
        <v>820</v>
      </c>
      <c r="D733" s="4" t="s">
        <v>89</v>
      </c>
      <c r="E733" s="3" t="s">
        <v>1228</v>
      </c>
      <c r="F733" s="3" t="s">
        <v>105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74</v>
      </c>
      <c r="U733" s="1"/>
      <c r="V733" s="1"/>
      <c r="W733" s="1"/>
      <c r="X733" s="1"/>
      <c r="Y733" s="1"/>
    </row>
    <row r="734" spans="2:25" x14ac:dyDescent="0.25">
      <c r="B734" s="4">
        <v>30007390</v>
      </c>
      <c r="C734" s="1" t="s">
        <v>821</v>
      </c>
      <c r="D734" s="4" t="s">
        <v>89</v>
      </c>
      <c r="E734" s="3" t="s">
        <v>1228</v>
      </c>
      <c r="F734" s="3" t="s">
        <v>105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1633</v>
      </c>
      <c r="M734" s="3"/>
      <c r="N734"/>
      <c r="O734" s="4"/>
      <c r="P734" s="1"/>
      <c r="Q734" s="22"/>
      <c r="R734"/>
      <c r="S734" s="11" t="s">
        <v>1606</v>
      </c>
      <c r="T734" s="4" t="s">
        <v>67</v>
      </c>
      <c r="U734" s="1"/>
      <c r="V734" s="1"/>
      <c r="W734" s="1"/>
      <c r="X734" s="1"/>
      <c r="Y734" s="1"/>
    </row>
    <row r="735" spans="2:25" x14ac:dyDescent="0.25">
      <c r="B735" s="4">
        <v>30007391</v>
      </c>
      <c r="C735" s="1" t="s">
        <v>822</v>
      </c>
      <c r="D735" s="4" t="s">
        <v>89</v>
      </c>
      <c r="E735" s="3" t="s">
        <v>1228</v>
      </c>
      <c r="F735" s="3" t="s">
        <v>105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1633</v>
      </c>
      <c r="M735" s="3"/>
      <c r="N735"/>
      <c r="O735" s="4"/>
      <c r="P735" s="1"/>
      <c r="Q735" s="22"/>
      <c r="R735"/>
      <c r="S735" s="11" t="s">
        <v>1606</v>
      </c>
      <c r="T735" s="4" t="s">
        <v>67</v>
      </c>
      <c r="U735" s="1"/>
      <c r="V735" s="1"/>
      <c r="W735" s="1"/>
      <c r="X735" s="1"/>
      <c r="Y735" s="1"/>
    </row>
    <row r="736" spans="2:25" x14ac:dyDescent="0.25">
      <c r="B736" s="4">
        <v>30007394</v>
      </c>
      <c r="C736" s="1" t="s">
        <v>823</v>
      </c>
      <c r="D736" s="4" t="s">
        <v>89</v>
      </c>
      <c r="E736" s="3"/>
      <c r="F736" s="3" t="s">
        <v>105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67</v>
      </c>
      <c r="U736" s="1"/>
      <c r="V736" s="1"/>
      <c r="W736" s="1"/>
      <c r="X736" s="1"/>
      <c r="Y736" s="1"/>
    </row>
    <row r="737" spans="2:25" x14ac:dyDescent="0.25">
      <c r="B737" s="4">
        <v>30007396</v>
      </c>
      <c r="C737" s="1" t="s">
        <v>876</v>
      </c>
      <c r="D737" s="4" t="s">
        <v>89</v>
      </c>
      <c r="E737" s="3" t="s">
        <v>1228</v>
      </c>
      <c r="F737" s="3" t="s">
        <v>105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1633</v>
      </c>
      <c r="M737" s="3"/>
      <c r="N737"/>
      <c r="O737" s="4"/>
      <c r="P737" s="1"/>
      <c r="Q737" s="22"/>
      <c r="R737"/>
      <c r="S737" s="11" t="s">
        <v>1607</v>
      </c>
      <c r="T737" s="4" t="s">
        <v>74</v>
      </c>
      <c r="U737" s="1"/>
      <c r="V737" s="1"/>
      <c r="W737" s="1"/>
      <c r="X737" s="1"/>
      <c r="Y737" s="1"/>
    </row>
    <row r="738" spans="2:25" x14ac:dyDescent="0.25">
      <c r="B738" s="4">
        <v>30007398</v>
      </c>
      <c r="C738" s="1" t="s">
        <v>1071</v>
      </c>
      <c r="D738" s="4" t="s">
        <v>89</v>
      </c>
      <c r="E738" s="3"/>
      <c r="F738" s="3" t="s">
        <v>105</v>
      </c>
      <c r="G738" s="4">
        <v>5</v>
      </c>
      <c r="H738" s="4">
        <v>4</v>
      </c>
      <c r="I738" s="4">
        <v>18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66</v>
      </c>
      <c r="U738" s="1"/>
      <c r="V738" s="1"/>
      <c r="W738" s="1"/>
      <c r="X738" s="1"/>
      <c r="Y738" s="1"/>
    </row>
    <row r="739" spans="2:25" x14ac:dyDescent="0.25">
      <c r="B739" s="4">
        <v>30007401</v>
      </c>
      <c r="C739" s="1" t="s">
        <v>1073</v>
      </c>
      <c r="D739" s="4" t="s">
        <v>89</v>
      </c>
      <c r="E739" s="3"/>
      <c r="F739" s="3" t="s">
        <v>105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25">
      <c r="B740" s="4">
        <v>30007402</v>
      </c>
      <c r="C740" s="1" t="s">
        <v>877</v>
      </c>
      <c r="D740" s="4" t="s">
        <v>89</v>
      </c>
      <c r="E740" s="3"/>
      <c r="F740" s="3" t="s">
        <v>105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s="4" t="s">
        <v>66</v>
      </c>
      <c r="U740" s="1"/>
      <c r="V740" s="1"/>
      <c r="W740" s="1"/>
      <c r="X740" s="1"/>
      <c r="Y740" s="1"/>
    </row>
    <row r="741" spans="2:25" x14ac:dyDescent="0.25">
      <c r="B741" s="4">
        <v>30007403</v>
      </c>
      <c r="C741" s="1" t="s">
        <v>1420</v>
      </c>
      <c r="D741" s="4" t="s">
        <v>89</v>
      </c>
      <c r="E741" s="3" t="s">
        <v>1228</v>
      </c>
      <c r="F741" s="3" t="s">
        <v>105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25">
      <c r="B742" s="4">
        <v>30007404</v>
      </c>
      <c r="C742" s="1" t="s">
        <v>824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67</v>
      </c>
      <c r="U742" s="1"/>
      <c r="V742" s="1"/>
      <c r="W742" s="1"/>
      <c r="X742" s="1"/>
      <c r="Y742" s="1"/>
    </row>
    <row r="743" spans="2:25" x14ac:dyDescent="0.25">
      <c r="B743" s="4">
        <v>30007405</v>
      </c>
      <c r="C743" s="1" t="s">
        <v>1473</v>
      </c>
      <c r="D743" s="4" t="s">
        <v>89</v>
      </c>
      <c r="E743" s="3" t="s">
        <v>1228</v>
      </c>
      <c r="F743" s="3" t="s">
        <v>105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x14ac:dyDescent="0.25">
      <c r="B744" s="4">
        <v>30007406</v>
      </c>
      <c r="C744" s="1" t="s">
        <v>826</v>
      </c>
      <c r="D744" s="4" t="s">
        <v>89</v>
      </c>
      <c r="E744" s="3" t="s">
        <v>1228</v>
      </c>
      <c r="F744" s="3" t="s">
        <v>105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1633</v>
      </c>
      <c r="M744" s="3"/>
      <c r="N744"/>
      <c r="O744" s="4"/>
      <c r="P744" s="1"/>
      <c r="Q744" s="22"/>
      <c r="R744"/>
      <c r="S744" s="11" t="s">
        <v>1606</v>
      </c>
      <c r="T744" s="4" t="s">
        <v>67</v>
      </c>
      <c r="U744" s="1"/>
      <c r="V744" s="1"/>
      <c r="W744" s="1"/>
      <c r="X744" s="1"/>
      <c r="Y744" s="1"/>
    </row>
    <row r="745" spans="2:25" x14ac:dyDescent="0.25">
      <c r="B745" s="4">
        <v>30007407</v>
      </c>
      <c r="C745" s="1" t="s">
        <v>827</v>
      </c>
      <c r="D745" s="4" t="s">
        <v>89</v>
      </c>
      <c r="E745" s="3" t="s">
        <v>1228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1633</v>
      </c>
      <c r="M745" s="3"/>
      <c r="N745"/>
      <c r="O745" s="4"/>
      <c r="P745" s="1"/>
      <c r="Q745" s="22"/>
      <c r="R745"/>
      <c r="S745" s="11" t="s">
        <v>1606</v>
      </c>
      <c r="T745" s="4" t="s">
        <v>67</v>
      </c>
      <c r="U745" s="1"/>
      <c r="V745" s="1"/>
      <c r="W745" s="1"/>
      <c r="X745" s="1"/>
      <c r="Y745" s="1"/>
    </row>
    <row r="746" spans="2:25" x14ac:dyDescent="0.25">
      <c r="B746" s="4">
        <v>30007411</v>
      </c>
      <c r="C746" s="1" t="s">
        <v>1107</v>
      </c>
      <c r="D746" s="4" t="s">
        <v>89</v>
      </c>
      <c r="E746" s="3"/>
      <c r="F746" s="3" t="s">
        <v>105</v>
      </c>
      <c r="G746" s="4">
        <v>49</v>
      </c>
      <c r="H746" s="4">
        <v>24</v>
      </c>
      <c r="I746" s="4">
        <v>62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s="4" t="s">
        <v>74</v>
      </c>
      <c r="U746" s="1"/>
      <c r="V746" s="1"/>
      <c r="W746" s="1"/>
      <c r="X746" s="1"/>
      <c r="Y746" s="1"/>
    </row>
    <row r="747" spans="2:25" x14ac:dyDescent="0.25">
      <c r="B747" s="4">
        <v>30007413</v>
      </c>
      <c r="C747" s="1" t="s">
        <v>1145</v>
      </c>
      <c r="D747" s="4" t="s">
        <v>89</v>
      </c>
      <c r="E747" s="3" t="s">
        <v>1228</v>
      </c>
      <c r="F747" s="3" t="s">
        <v>105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66</v>
      </c>
      <c r="U747" s="1"/>
      <c r="V747" s="1"/>
      <c r="W747" s="1"/>
      <c r="X747" s="1"/>
      <c r="Y747" s="1"/>
    </row>
    <row r="748" spans="2:25" x14ac:dyDescent="0.25">
      <c r="B748" s="4">
        <v>30007415</v>
      </c>
      <c r="C748" s="1" t="s">
        <v>1486</v>
      </c>
      <c r="D748" s="4" t="s">
        <v>89</v>
      </c>
      <c r="E748" s="3"/>
      <c r="F748" s="3" t="s">
        <v>105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s="4" t="s">
        <v>66</v>
      </c>
      <c r="U748" s="1"/>
      <c r="V748" s="1"/>
      <c r="W748" s="1"/>
      <c r="X748" s="1"/>
      <c r="Y748" s="1"/>
    </row>
    <row r="749" spans="2:25" x14ac:dyDescent="0.25">
      <c r="B749" s="4">
        <v>30007419</v>
      </c>
      <c r="C749" s="1" t="s">
        <v>829</v>
      </c>
      <c r="D749" s="4" t="s">
        <v>89</v>
      </c>
      <c r="E749" s="3"/>
      <c r="F749" s="3" t="s">
        <v>105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74</v>
      </c>
      <c r="U749" s="1"/>
      <c r="V749" s="1"/>
      <c r="W749" s="1"/>
      <c r="X749" s="1"/>
      <c r="Y749" s="1"/>
    </row>
    <row r="750" spans="2:25" x14ac:dyDescent="0.25">
      <c r="B750" s="4">
        <v>30007421</v>
      </c>
      <c r="C750" s="1" t="s">
        <v>830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74</v>
      </c>
      <c r="U750" s="1"/>
      <c r="V750" s="1"/>
      <c r="W750" s="1"/>
      <c r="X750" s="1"/>
      <c r="Y750" s="1"/>
    </row>
    <row r="751" spans="2:25" x14ac:dyDescent="0.25">
      <c r="B751" s="4">
        <v>30007424</v>
      </c>
      <c r="C751" s="1" t="s">
        <v>831</v>
      </c>
      <c r="D751" s="4" t="s">
        <v>89</v>
      </c>
      <c r="E751" s="3" t="s">
        <v>1228</v>
      </c>
      <c r="F751" s="3" t="s">
        <v>105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1633</v>
      </c>
      <c r="M751" s="3"/>
      <c r="N751"/>
      <c r="O751" s="4"/>
      <c r="P751" s="1"/>
      <c r="Q751" s="22"/>
      <c r="R751"/>
      <c r="S751" s="11" t="s">
        <v>1606</v>
      </c>
      <c r="T751" s="4" t="s">
        <v>67</v>
      </c>
      <c r="U751" s="1"/>
      <c r="V751" s="1"/>
      <c r="W751" s="1"/>
      <c r="X751" s="1"/>
      <c r="Y751" s="1"/>
    </row>
    <row r="752" spans="2:25" x14ac:dyDescent="0.25">
      <c r="B752" s="4">
        <v>30007426</v>
      </c>
      <c r="C752" s="1" t="s">
        <v>1108</v>
      </c>
      <c r="D752" s="4" t="s">
        <v>89</v>
      </c>
      <c r="E752" s="3"/>
      <c r="F752" s="3" t="s">
        <v>105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25">
      <c r="B753" s="4">
        <v>30007431</v>
      </c>
      <c r="C753" s="1" t="s">
        <v>834</v>
      </c>
      <c r="D753" s="4" t="s">
        <v>89</v>
      </c>
      <c r="E753" s="3" t="s">
        <v>1228</v>
      </c>
      <c r="F753" s="3" t="s">
        <v>105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66</v>
      </c>
      <c r="U753" s="1"/>
      <c r="V753" s="1"/>
      <c r="W753" s="1"/>
      <c r="X753" s="1"/>
      <c r="Y753" s="1"/>
    </row>
    <row r="754" spans="2:25" x14ac:dyDescent="0.25">
      <c r="B754" s="4">
        <v>30007432</v>
      </c>
      <c r="C754" s="1" t="s">
        <v>835</v>
      </c>
      <c r="D754" s="4" t="s">
        <v>89</v>
      </c>
      <c r="E754" s="3" t="s">
        <v>1228</v>
      </c>
      <c r="F754" s="3" t="s">
        <v>105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67</v>
      </c>
      <c r="U754" s="1"/>
      <c r="V754" s="1"/>
      <c r="W754" s="1"/>
      <c r="X754" s="1"/>
      <c r="Y754" s="1"/>
    </row>
    <row r="755" spans="2:25" x14ac:dyDescent="0.25">
      <c r="B755" s="4">
        <v>30007433</v>
      </c>
      <c r="C755" s="1" t="s">
        <v>836</v>
      </c>
      <c r="D755" s="4" t="s">
        <v>89</v>
      </c>
      <c r="E755" s="3"/>
      <c r="F755" s="3" t="s">
        <v>105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x14ac:dyDescent="0.25">
      <c r="B756" s="4">
        <v>30007434</v>
      </c>
      <c r="C756" s="1" t="s">
        <v>837</v>
      </c>
      <c r="D756" s="4" t="s">
        <v>89</v>
      </c>
      <c r="E756" s="3"/>
      <c r="F756" s="3" t="s">
        <v>105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/>
      <c r="V756" s="1"/>
      <c r="W756" s="1"/>
      <c r="X756" s="1"/>
      <c r="Y756" s="1"/>
    </row>
    <row r="757" spans="2:25" x14ac:dyDescent="0.25">
      <c r="B757" s="4">
        <v>30007435</v>
      </c>
      <c r="C757" s="1" t="s">
        <v>838</v>
      </c>
      <c r="D757" s="4" t="s">
        <v>89</v>
      </c>
      <c r="E757" s="3" t="s">
        <v>1228</v>
      </c>
      <c r="F757" s="3" t="s">
        <v>105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25">
      <c r="B758" s="4">
        <v>30007436</v>
      </c>
      <c r="C758" s="1" t="s">
        <v>839</v>
      </c>
      <c r="D758" s="4" t="s">
        <v>89</v>
      </c>
      <c r="E758" s="3" t="s">
        <v>1228</v>
      </c>
      <c r="F758" s="3" t="s">
        <v>105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25">
      <c r="B759" s="4">
        <v>30007438</v>
      </c>
      <c r="C759" s="1" t="s">
        <v>840</v>
      </c>
      <c r="D759" s="4" t="s">
        <v>89</v>
      </c>
      <c r="E759" s="3"/>
      <c r="F759" s="3" t="s">
        <v>105</v>
      </c>
      <c r="G759" s="4">
        <v>7</v>
      </c>
      <c r="H759" s="4">
        <v>6</v>
      </c>
      <c r="I759" s="4">
        <v>8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67</v>
      </c>
      <c r="U759" s="1"/>
      <c r="V759" s="1"/>
      <c r="W759" s="1"/>
      <c r="X759" s="1"/>
      <c r="Y759" s="1"/>
    </row>
    <row r="760" spans="2:25" x14ac:dyDescent="0.25">
      <c r="B760" s="4">
        <v>30007440</v>
      </c>
      <c r="C760" s="1" t="s">
        <v>841</v>
      </c>
      <c r="D760" s="4" t="s">
        <v>89</v>
      </c>
      <c r="E760" s="3" t="s">
        <v>1228</v>
      </c>
      <c r="F760" s="3" t="s">
        <v>105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1633</v>
      </c>
      <c r="M760" s="3"/>
      <c r="N760"/>
      <c r="O760" s="4"/>
      <c r="P760" s="1"/>
      <c r="Q760" s="22"/>
      <c r="R760"/>
      <c r="S760" s="11" t="s">
        <v>1606</v>
      </c>
      <c r="T760" s="4" t="s">
        <v>67</v>
      </c>
      <c r="U760" s="1"/>
      <c r="V760" s="1"/>
      <c r="W760" s="1"/>
      <c r="X760" s="1"/>
      <c r="Y760" s="1"/>
    </row>
    <row r="761" spans="2:25" x14ac:dyDescent="0.25">
      <c r="B761" s="4">
        <v>30007441</v>
      </c>
      <c r="C761" s="1" t="s">
        <v>842</v>
      </c>
      <c r="D761" s="4" t="s">
        <v>89</v>
      </c>
      <c r="E761" s="3" t="s">
        <v>1228</v>
      </c>
      <c r="F761" s="3" t="s">
        <v>105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1633</v>
      </c>
      <c r="M761" s="3"/>
      <c r="N761"/>
      <c r="O761" s="4"/>
      <c r="P761" s="1"/>
      <c r="Q761" s="22"/>
      <c r="R761"/>
      <c r="S761" s="11" t="s">
        <v>1606</v>
      </c>
      <c r="T761" s="4" t="s">
        <v>67</v>
      </c>
      <c r="U761" s="1"/>
      <c r="V761" s="1"/>
      <c r="W761" s="1"/>
      <c r="X761" s="1"/>
      <c r="Y761" s="1"/>
    </row>
    <row r="762" spans="2:25" x14ac:dyDescent="0.25">
      <c r="B762" s="4">
        <v>30007443</v>
      </c>
      <c r="C762" s="1" t="s">
        <v>843</v>
      </c>
      <c r="D762" s="4" t="s">
        <v>89</v>
      </c>
      <c r="E762" s="3"/>
      <c r="F762" s="3" t="s">
        <v>105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67</v>
      </c>
      <c r="U762" s="1"/>
      <c r="V762" s="1"/>
      <c r="W762" s="1"/>
      <c r="X762" s="1"/>
      <c r="Y762" s="1"/>
    </row>
    <row r="763" spans="2:25" x14ac:dyDescent="0.25">
      <c r="B763" s="4">
        <v>30007444</v>
      </c>
      <c r="C763" s="1" t="s">
        <v>844</v>
      </c>
      <c r="D763" s="4" t="s">
        <v>89</v>
      </c>
      <c r="E763" s="3" t="s">
        <v>1228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1633</v>
      </c>
      <c r="M763" s="3"/>
      <c r="N763"/>
      <c r="O763" s="4"/>
      <c r="P763" s="1"/>
      <c r="Q763" s="22"/>
      <c r="R763"/>
      <c r="S763" s="11" t="s">
        <v>1606</v>
      </c>
      <c r="T763" s="4" t="s">
        <v>67</v>
      </c>
      <c r="U763" s="1"/>
      <c r="V763" s="1"/>
      <c r="W763" s="1"/>
      <c r="X763" s="1"/>
      <c r="Y763" s="1"/>
    </row>
    <row r="764" spans="2:25" x14ac:dyDescent="0.25">
      <c r="B764" s="4">
        <v>30008076</v>
      </c>
      <c r="C764" s="1" t="s">
        <v>1290</v>
      </c>
      <c r="D764" s="4" t="s">
        <v>89</v>
      </c>
      <c r="E764" s="3"/>
      <c r="F764" s="3" t="s">
        <v>69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74</v>
      </c>
      <c r="U764" s="1"/>
      <c r="V764" s="1"/>
      <c r="W764" s="1"/>
      <c r="X764" s="1"/>
      <c r="Y764" s="1"/>
    </row>
    <row r="765" spans="2:25" x14ac:dyDescent="0.25">
      <c r="B765" s="4">
        <v>30008142</v>
      </c>
      <c r="C765" s="1" t="s">
        <v>532</v>
      </c>
      <c r="D765" s="4" t="s">
        <v>89</v>
      </c>
      <c r="E765" s="3"/>
      <c r="F765" s="3" t="s">
        <v>69</v>
      </c>
      <c r="G765" s="4">
        <v>1</v>
      </c>
      <c r="H765" s="4">
        <v>1</v>
      </c>
      <c r="I765" s="4">
        <v>1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/>
      <c r="V765" s="1"/>
      <c r="W765" s="1"/>
      <c r="X765" s="1"/>
      <c r="Y765" s="1"/>
    </row>
    <row r="766" spans="2:25" x14ac:dyDescent="0.25">
      <c r="B766" s="4">
        <v>30008160</v>
      </c>
      <c r="C766" s="1" t="s">
        <v>1309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/>
      <c r="V766" s="1"/>
      <c r="W766" s="1"/>
      <c r="X766" s="1"/>
      <c r="Y766" s="1"/>
    </row>
    <row r="767" spans="2:25" x14ac:dyDescent="0.25">
      <c r="B767" s="4">
        <v>30008313</v>
      </c>
      <c r="C767" s="1" t="s">
        <v>1024</v>
      </c>
      <c r="D767" s="4" t="s">
        <v>89</v>
      </c>
      <c r="E767" s="3"/>
      <c r="F767" s="3" t="s">
        <v>69</v>
      </c>
      <c r="G767" s="4">
        <v>200</v>
      </c>
      <c r="H767" s="4">
        <v>100</v>
      </c>
      <c r="I767" s="4">
        <v>202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/>
      <c r="V767" s="1"/>
      <c r="W767" s="1"/>
      <c r="X767" s="1"/>
      <c r="Y767" s="1"/>
    </row>
    <row r="768" spans="2:25" x14ac:dyDescent="0.25">
      <c r="B768" s="4">
        <v>30008329</v>
      </c>
      <c r="C768" s="1" t="s">
        <v>533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1</v>
      </c>
      <c r="J768" s="4" t="s">
        <v>8</v>
      </c>
      <c r="K768" s="4" t="s">
        <v>9</v>
      </c>
      <c r="L768" s="11">
        <v>1002648063</v>
      </c>
      <c r="M768" s="3">
        <v>4</v>
      </c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25">
      <c r="B769" s="4">
        <v>30008485</v>
      </c>
      <c r="C769" s="1" t="s">
        <v>534</v>
      </c>
      <c r="D769" s="4" t="s">
        <v>89</v>
      </c>
      <c r="E769" s="3"/>
      <c r="F769" s="3" t="s">
        <v>69</v>
      </c>
      <c r="G769" s="4">
        <v>6</v>
      </c>
      <c r="H769" s="4">
        <v>4</v>
      </c>
      <c r="I769" s="4">
        <v>5</v>
      </c>
      <c r="J769" s="4" t="s">
        <v>8</v>
      </c>
      <c r="K769" s="4" t="s">
        <v>9</v>
      </c>
      <c r="L769" s="11" t="s">
        <v>1661</v>
      </c>
      <c r="M769" s="3">
        <v>4</v>
      </c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25">
      <c r="B770" s="4">
        <v>30008505</v>
      </c>
      <c r="C770" s="1" t="s">
        <v>878</v>
      </c>
      <c r="D770" s="4" t="s">
        <v>89</v>
      </c>
      <c r="E770" s="3"/>
      <c r="F770" s="3" t="s">
        <v>105</v>
      </c>
      <c r="G770" s="4">
        <v>2</v>
      </c>
      <c r="H770" s="4">
        <v>2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 t="s">
        <v>1608</v>
      </c>
      <c r="T770" s="4" t="s">
        <v>67</v>
      </c>
      <c r="U770" s="1"/>
      <c r="V770" s="1"/>
      <c r="W770" s="1"/>
      <c r="X770" s="1"/>
      <c r="Y770" s="1"/>
    </row>
    <row r="771" spans="2:25" x14ac:dyDescent="0.25">
      <c r="B771" s="4">
        <v>30008549</v>
      </c>
      <c r="C771" s="1" t="s">
        <v>1459</v>
      </c>
      <c r="D771" s="4" t="s">
        <v>89</v>
      </c>
      <c r="E771" s="3"/>
      <c r="F771" s="3" t="s">
        <v>69</v>
      </c>
      <c r="G771" s="4">
        <v>4</v>
      </c>
      <c r="H771" s="4">
        <v>2</v>
      </c>
      <c r="I771" s="4">
        <v>7</v>
      </c>
      <c r="J771" s="4" t="s">
        <v>8</v>
      </c>
      <c r="K771" s="4" t="s">
        <v>14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x14ac:dyDescent="0.25">
      <c r="B772" s="4">
        <v>30008604</v>
      </c>
      <c r="C772" s="1" t="s">
        <v>1366</v>
      </c>
      <c r="D772" s="4" t="s">
        <v>89</v>
      </c>
      <c r="E772" s="3"/>
      <c r="F772" s="3" t="s">
        <v>69</v>
      </c>
      <c r="G772" s="4">
        <v>16</v>
      </c>
      <c r="H772" s="4">
        <v>20</v>
      </c>
      <c r="I772" s="4">
        <v>2</v>
      </c>
      <c r="J772" s="4" t="s">
        <v>8</v>
      </c>
      <c r="K772" s="4" t="s">
        <v>9</v>
      </c>
      <c r="L772" s="11"/>
      <c r="M772" s="3"/>
      <c r="N772">
        <v>4700160027</v>
      </c>
      <c r="O772" s="4">
        <v>20</v>
      </c>
      <c r="P772" s="1" t="s">
        <v>1509</v>
      </c>
      <c r="Q772" s="22">
        <v>46149</v>
      </c>
      <c r="R772"/>
      <c r="S772" s="11"/>
      <c r="T772" s="4" t="s">
        <v>73</v>
      </c>
      <c r="U772" s="1"/>
      <c r="V772" s="1"/>
      <c r="W772" s="1"/>
      <c r="X772" s="1"/>
      <c r="Y772" s="1"/>
    </row>
    <row r="773" spans="2:25" x14ac:dyDescent="0.25">
      <c r="B773" s="4">
        <v>30008605</v>
      </c>
      <c r="C773" s="1" t="s">
        <v>1310</v>
      </c>
      <c r="D773" s="4" t="s">
        <v>89</v>
      </c>
      <c r="E773" s="3"/>
      <c r="F773" s="3" t="s">
        <v>69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25">
      <c r="B774" s="4">
        <v>30008607</v>
      </c>
      <c r="C774" s="1" t="s">
        <v>1311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74</v>
      </c>
      <c r="U774" s="1"/>
      <c r="V774" s="1"/>
      <c r="W774" s="1"/>
      <c r="X774" s="1"/>
      <c r="Y774" s="1"/>
    </row>
    <row r="775" spans="2:25" x14ac:dyDescent="0.25">
      <c r="B775" s="4">
        <v>30008657</v>
      </c>
      <c r="C775" s="1" t="s">
        <v>535</v>
      </c>
      <c r="D775" s="4" t="s">
        <v>89</v>
      </c>
      <c r="E775" s="3"/>
      <c r="F775" s="3" t="s">
        <v>69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1609</v>
      </c>
      <c r="T775" s="4" t="s">
        <v>66</v>
      </c>
      <c r="U775" s="1"/>
      <c r="V775" s="1"/>
      <c r="W775" s="1"/>
      <c r="X775" s="1"/>
      <c r="Y775" s="1"/>
    </row>
    <row r="776" spans="2:25" x14ac:dyDescent="0.25">
      <c r="B776" s="4">
        <v>30008658</v>
      </c>
      <c r="C776" s="1" t="s">
        <v>536</v>
      </c>
      <c r="D776" s="4" t="s">
        <v>89</v>
      </c>
      <c r="E776" s="3"/>
      <c r="F776" s="3" t="s">
        <v>69</v>
      </c>
      <c r="G776" s="4">
        <v>4</v>
      </c>
      <c r="H776" s="4">
        <v>4</v>
      </c>
      <c r="I776" s="4">
        <v>8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x14ac:dyDescent="0.25">
      <c r="B777" s="4">
        <v>30008661</v>
      </c>
      <c r="C777" s="1" t="s">
        <v>537</v>
      </c>
      <c r="D777" s="4" t="s">
        <v>89</v>
      </c>
      <c r="E777" s="3"/>
      <c r="F777" s="3" t="s">
        <v>69</v>
      </c>
      <c r="G777" s="4">
        <v>16</v>
      </c>
      <c r="H777" s="4">
        <v>16</v>
      </c>
      <c r="I777" s="4">
        <v>26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/>
      <c r="V777" s="1"/>
      <c r="W777" s="1"/>
      <c r="X777" s="1"/>
      <c r="Y777" s="1"/>
    </row>
    <row r="778" spans="2:25" x14ac:dyDescent="0.25">
      <c r="B778" s="4">
        <v>30008664</v>
      </c>
      <c r="C778" s="1" t="s">
        <v>1075</v>
      </c>
      <c r="D778" s="4" t="s">
        <v>89</v>
      </c>
      <c r="E778" s="3" t="s">
        <v>1228</v>
      </c>
      <c r="F778" s="3" t="s">
        <v>105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25">
      <c r="B779" s="4">
        <v>30008665</v>
      </c>
      <c r="C779" s="1" t="s">
        <v>845</v>
      </c>
      <c r="D779" s="4" t="s">
        <v>89</v>
      </c>
      <c r="E779" s="3"/>
      <c r="F779" s="3" t="s">
        <v>105</v>
      </c>
      <c r="G779" s="4">
        <v>100</v>
      </c>
      <c r="H779" s="4">
        <v>200</v>
      </c>
      <c r="I779" s="4">
        <v>229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25">
      <c r="B780" s="4">
        <v>30008666</v>
      </c>
      <c r="C780" s="1" t="s">
        <v>846</v>
      </c>
      <c r="D780" s="4" t="s">
        <v>89</v>
      </c>
      <c r="E780" s="3"/>
      <c r="F780" s="3" t="s">
        <v>105</v>
      </c>
      <c r="G780" s="4">
        <v>150</v>
      </c>
      <c r="H780" s="4">
        <v>300</v>
      </c>
      <c r="I780" s="4">
        <v>0</v>
      </c>
      <c r="J780" s="4" t="s">
        <v>8</v>
      </c>
      <c r="K780" s="4" t="s">
        <v>13</v>
      </c>
      <c r="L780" s="11"/>
      <c r="M780" s="3"/>
      <c r="N780">
        <v>4700160896</v>
      </c>
      <c r="O780" s="4">
        <v>1200</v>
      </c>
      <c r="P780" s="1" t="s">
        <v>1577</v>
      </c>
      <c r="Q780" s="22">
        <v>46157</v>
      </c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25">
      <c r="B781" s="4">
        <v>30008667</v>
      </c>
      <c r="C781" s="1" t="s">
        <v>879</v>
      </c>
      <c r="D781" s="4" t="s">
        <v>89</v>
      </c>
      <c r="E781" s="3" t="s">
        <v>1228</v>
      </c>
      <c r="F781" s="3" t="s">
        <v>105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1633</v>
      </c>
      <c r="M781" s="3"/>
      <c r="N781"/>
      <c r="O781" s="4"/>
      <c r="P781" s="1"/>
      <c r="Q781" s="22"/>
      <c r="R781"/>
      <c r="S781" s="11" t="s">
        <v>1607</v>
      </c>
      <c r="T781" s="4" t="s">
        <v>74</v>
      </c>
      <c r="U781" s="1"/>
      <c r="V781" s="1"/>
      <c r="W781" s="1"/>
      <c r="X781" s="1"/>
      <c r="Y781" s="1"/>
    </row>
    <row r="782" spans="2:25" x14ac:dyDescent="0.25">
      <c r="B782" s="4">
        <v>30008668</v>
      </c>
      <c r="C782" s="1" t="s">
        <v>880</v>
      </c>
      <c r="D782" s="4" t="s">
        <v>89</v>
      </c>
      <c r="E782" s="3" t="s">
        <v>1228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1633</v>
      </c>
      <c r="M782" s="3"/>
      <c r="N782"/>
      <c r="O782" s="4"/>
      <c r="P782" s="1"/>
      <c r="Q782" s="22"/>
      <c r="R782"/>
      <c r="S782" s="11" t="s">
        <v>1607</v>
      </c>
      <c r="T782" s="4" t="s">
        <v>74</v>
      </c>
      <c r="U782" s="1"/>
      <c r="V782" s="1"/>
      <c r="W782" s="1"/>
      <c r="X782" s="1"/>
      <c r="Y782" s="1"/>
    </row>
    <row r="783" spans="2:25" x14ac:dyDescent="0.25">
      <c r="B783" s="4">
        <v>30008670</v>
      </c>
      <c r="C783" s="1" t="s">
        <v>847</v>
      </c>
      <c r="D783" s="4" t="s">
        <v>89</v>
      </c>
      <c r="E783" s="3"/>
      <c r="F783" s="3" t="s">
        <v>105</v>
      </c>
      <c r="G783" s="4">
        <v>16</v>
      </c>
      <c r="H783" s="4">
        <v>32</v>
      </c>
      <c r="I783" s="4">
        <v>13</v>
      </c>
      <c r="J783" s="4" t="s">
        <v>8</v>
      </c>
      <c r="K783" s="4" t="s">
        <v>9</v>
      </c>
      <c r="L783" s="11"/>
      <c r="M783" s="3"/>
      <c r="N783">
        <v>4700160896</v>
      </c>
      <c r="O783" s="4">
        <v>17</v>
      </c>
      <c r="P783" s="1" t="s">
        <v>1577</v>
      </c>
      <c r="Q783" s="22">
        <v>46157</v>
      </c>
      <c r="R783"/>
      <c r="S783" s="11"/>
      <c r="T783" s="4" t="s">
        <v>74</v>
      </c>
      <c r="U783" s="1"/>
      <c r="V783" s="1"/>
      <c r="W783" s="1"/>
      <c r="X783" s="1"/>
      <c r="Y783" s="1"/>
    </row>
    <row r="784" spans="2:25" x14ac:dyDescent="0.25">
      <c r="B784" s="4">
        <v>30008676</v>
      </c>
      <c r="C784" s="1" t="s">
        <v>848</v>
      </c>
      <c r="D784" s="4" t="s">
        <v>89</v>
      </c>
      <c r="E784" s="3"/>
      <c r="F784" s="3" t="s">
        <v>105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74</v>
      </c>
      <c r="U784" s="1"/>
      <c r="V784" s="1"/>
      <c r="W784" s="1"/>
      <c r="X784" s="1"/>
      <c r="Y784" s="1"/>
    </row>
    <row r="785" spans="2:25" x14ac:dyDescent="0.25">
      <c r="B785" s="4">
        <v>30008678</v>
      </c>
      <c r="C785" s="1" t="s">
        <v>881</v>
      </c>
      <c r="D785" s="4" t="s">
        <v>89</v>
      </c>
      <c r="E785" s="3" t="s">
        <v>1228</v>
      </c>
      <c r="F785" s="3" t="s">
        <v>105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1633</v>
      </c>
      <c r="M785" s="3"/>
      <c r="N785"/>
      <c r="O785" s="4"/>
      <c r="P785" s="1"/>
      <c r="Q785" s="22"/>
      <c r="R785"/>
      <c r="S785" s="11" t="s">
        <v>1610</v>
      </c>
      <c r="T785" s="4" t="s">
        <v>74</v>
      </c>
      <c r="U785" s="1"/>
      <c r="V785" s="1"/>
      <c r="W785" s="1"/>
      <c r="X785" s="1"/>
      <c r="Y785" s="1"/>
    </row>
    <row r="786" spans="2:25" x14ac:dyDescent="0.25">
      <c r="B786" s="4">
        <v>30008682</v>
      </c>
      <c r="C786" s="1" t="s">
        <v>1146</v>
      </c>
      <c r="D786" s="4" t="s">
        <v>89</v>
      </c>
      <c r="E786" s="3"/>
      <c r="F786" s="3" t="s">
        <v>105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25">
      <c r="B787" s="4">
        <v>30008684</v>
      </c>
      <c r="C787" s="1" t="s">
        <v>882</v>
      </c>
      <c r="D787" s="4" t="s">
        <v>89</v>
      </c>
      <c r="E787" s="3" t="s">
        <v>1228</v>
      </c>
      <c r="F787" s="3" t="s">
        <v>105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1633</v>
      </c>
      <c r="M787" s="3"/>
      <c r="N787"/>
      <c r="O787" s="4"/>
      <c r="P787" s="1"/>
      <c r="Q787" s="22"/>
      <c r="R787"/>
      <c r="S787" s="11" t="s">
        <v>1607</v>
      </c>
      <c r="T787" s="4" t="s">
        <v>74</v>
      </c>
      <c r="U787" s="1"/>
      <c r="V787" s="1"/>
      <c r="W787" s="1"/>
      <c r="X787" s="1"/>
      <c r="Y787" s="1"/>
    </row>
    <row r="788" spans="2:25" x14ac:dyDescent="0.25">
      <c r="B788" s="4">
        <v>30008685</v>
      </c>
      <c r="C788" s="1" t="s">
        <v>883</v>
      </c>
      <c r="D788" s="4" t="s">
        <v>89</v>
      </c>
      <c r="E788" s="3" t="s">
        <v>1228</v>
      </c>
      <c r="F788" s="3" t="s">
        <v>105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1633</v>
      </c>
      <c r="M788" s="3"/>
      <c r="N788"/>
      <c r="O788" s="4"/>
      <c r="P788" s="1"/>
      <c r="Q788" s="22"/>
      <c r="R788"/>
      <c r="S788" s="11" t="s">
        <v>1607</v>
      </c>
      <c r="T788" s="4" t="s">
        <v>74</v>
      </c>
      <c r="U788" s="1"/>
      <c r="V788" s="1"/>
      <c r="W788" s="1"/>
      <c r="X788" s="1"/>
      <c r="Y788" s="1"/>
    </row>
    <row r="789" spans="2:25" x14ac:dyDescent="0.25">
      <c r="B789" s="4">
        <v>30008693</v>
      </c>
      <c r="C789" s="1" t="s">
        <v>1025</v>
      </c>
      <c r="D789" s="4" t="s">
        <v>89</v>
      </c>
      <c r="E789" s="3" t="s">
        <v>1228</v>
      </c>
      <c r="F789" s="3" t="s">
        <v>105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74</v>
      </c>
      <c r="U789" s="1"/>
      <c r="V789" s="1"/>
      <c r="W789" s="1"/>
      <c r="X789" s="1"/>
      <c r="Y789" s="1"/>
    </row>
    <row r="790" spans="2:25" x14ac:dyDescent="0.25">
      <c r="B790" s="4">
        <v>30008704</v>
      </c>
      <c r="C790" s="1" t="s">
        <v>1076</v>
      </c>
      <c r="D790" s="4" t="s">
        <v>89</v>
      </c>
      <c r="E790" s="3"/>
      <c r="F790" s="3" t="s">
        <v>105</v>
      </c>
      <c r="G790" s="4">
        <v>17</v>
      </c>
      <c r="H790" s="4">
        <v>16</v>
      </c>
      <c r="I790" s="4">
        <v>30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66</v>
      </c>
      <c r="U790" s="1"/>
      <c r="V790" s="1"/>
      <c r="W790" s="1"/>
      <c r="X790" s="1"/>
      <c r="Y790" s="1"/>
    </row>
    <row r="791" spans="2:25" x14ac:dyDescent="0.25">
      <c r="B791" s="4">
        <v>30008705</v>
      </c>
      <c r="C791" s="1" t="s">
        <v>885</v>
      </c>
      <c r="D791" s="4" t="s">
        <v>89</v>
      </c>
      <c r="E791" s="3" t="s">
        <v>1228</v>
      </c>
      <c r="F791" s="3" t="s">
        <v>105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1633</v>
      </c>
      <c r="M791" s="3"/>
      <c r="N791"/>
      <c r="O791" s="4"/>
      <c r="P791" s="1"/>
      <c r="Q791" s="22"/>
      <c r="R791"/>
      <c r="S791" s="11" t="s">
        <v>1607</v>
      </c>
      <c r="T791" s="4" t="s">
        <v>74</v>
      </c>
      <c r="U791" s="1"/>
      <c r="V791" s="1"/>
      <c r="W791" s="1"/>
      <c r="X791" s="1"/>
      <c r="Y791" s="1"/>
    </row>
    <row r="792" spans="2:25" x14ac:dyDescent="0.25">
      <c r="B792" s="4">
        <v>30008706</v>
      </c>
      <c r="C792" s="1" t="s">
        <v>849</v>
      </c>
      <c r="D792" s="4" t="s">
        <v>89</v>
      </c>
      <c r="E792" s="3"/>
      <c r="F792" s="3" t="s">
        <v>105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74</v>
      </c>
      <c r="U792" s="1"/>
      <c r="V792" s="1"/>
      <c r="W792" s="1"/>
      <c r="X792" s="1"/>
      <c r="Y792" s="1"/>
    </row>
    <row r="793" spans="2:25" x14ac:dyDescent="0.25">
      <c r="B793" s="4">
        <v>30008707</v>
      </c>
      <c r="C793" s="1" t="s">
        <v>1026</v>
      </c>
      <c r="D793" s="4" t="s">
        <v>89</v>
      </c>
      <c r="E793" s="3" t="s">
        <v>1228</v>
      </c>
      <c r="F793" s="3" t="s">
        <v>105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/>
      <c r="V793" s="1"/>
      <c r="W793" s="1"/>
      <c r="X793" s="1"/>
      <c r="Y793" s="1"/>
    </row>
    <row r="794" spans="2:25" x14ac:dyDescent="0.25">
      <c r="B794" s="4">
        <v>30008708</v>
      </c>
      <c r="C794" s="1" t="s">
        <v>886</v>
      </c>
      <c r="D794" s="4" t="s">
        <v>89</v>
      </c>
      <c r="E794" s="3" t="s">
        <v>1228</v>
      </c>
      <c r="F794" s="3" t="s">
        <v>105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1633</v>
      </c>
      <c r="M794" s="3"/>
      <c r="N794"/>
      <c r="O794" s="4"/>
      <c r="P794" s="1"/>
      <c r="Q794" s="22"/>
      <c r="R794"/>
      <c r="S794" s="11" t="s">
        <v>1607</v>
      </c>
      <c r="T794" s="4" t="s">
        <v>74</v>
      </c>
      <c r="U794" s="1"/>
      <c r="V794" s="1"/>
      <c r="W794" s="1"/>
      <c r="X794" s="1"/>
      <c r="Y794" s="1"/>
    </row>
    <row r="795" spans="2:25" x14ac:dyDescent="0.25">
      <c r="B795" s="4">
        <v>30008713</v>
      </c>
      <c r="C795" s="1" t="s">
        <v>538</v>
      </c>
      <c r="D795" s="4" t="s">
        <v>89</v>
      </c>
      <c r="E795" s="3"/>
      <c r="F795" s="3" t="s">
        <v>69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25">
      <c r="B796" s="4">
        <v>30008714</v>
      </c>
      <c r="C796" s="1" t="s">
        <v>1527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66</v>
      </c>
      <c r="U796" s="1"/>
      <c r="V796" s="1"/>
      <c r="W796" s="1"/>
      <c r="X796" s="1"/>
      <c r="Y796" s="1"/>
    </row>
    <row r="797" spans="2:25" x14ac:dyDescent="0.25">
      <c r="B797" s="4">
        <v>30008718</v>
      </c>
      <c r="C797" s="1" t="s">
        <v>1424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/>
      <c r="V797" s="1"/>
      <c r="W797" s="1"/>
      <c r="X797" s="1"/>
      <c r="Y797" s="1"/>
    </row>
    <row r="798" spans="2:25" x14ac:dyDescent="0.25">
      <c r="B798" s="4">
        <v>30008726</v>
      </c>
      <c r="C798" s="1" t="s">
        <v>1027</v>
      </c>
      <c r="D798" s="4" t="s">
        <v>89</v>
      </c>
      <c r="E798" s="3" t="s">
        <v>1228</v>
      </c>
      <c r="F798" s="3" t="s">
        <v>105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74</v>
      </c>
      <c r="U798" s="1"/>
      <c r="V798" s="1"/>
      <c r="W798" s="1"/>
      <c r="X798" s="1"/>
      <c r="Y798" s="1"/>
    </row>
    <row r="799" spans="2:25" x14ac:dyDescent="0.25">
      <c r="B799" s="4">
        <v>30008728</v>
      </c>
      <c r="C799" s="1" t="s">
        <v>1077</v>
      </c>
      <c r="D799" s="4" t="s">
        <v>89</v>
      </c>
      <c r="E799" s="3"/>
      <c r="F799" s="3" t="s">
        <v>105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/>
      <c r="V799" s="1"/>
      <c r="W799" s="1"/>
      <c r="X799" s="1"/>
      <c r="Y799" s="1"/>
    </row>
    <row r="800" spans="2:25" x14ac:dyDescent="0.25">
      <c r="B800" s="4">
        <v>30008729</v>
      </c>
      <c r="C800" s="1" t="s">
        <v>1147</v>
      </c>
      <c r="D800" s="4" t="s">
        <v>89</v>
      </c>
      <c r="E800" s="3"/>
      <c r="F800" s="3" t="s">
        <v>105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25">
      <c r="B801" s="4">
        <v>30008730</v>
      </c>
      <c r="C801" s="1" t="s">
        <v>1028</v>
      </c>
      <c r="D801" s="4" t="s">
        <v>89</v>
      </c>
      <c r="E801" s="3" t="s">
        <v>1228</v>
      </c>
      <c r="F801" s="3" t="s">
        <v>105</v>
      </c>
      <c r="G801" s="4">
        <v>5</v>
      </c>
      <c r="H801" s="4">
        <v>4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66</v>
      </c>
      <c r="U801" s="1"/>
      <c r="V801" s="1"/>
      <c r="W801" s="1"/>
      <c r="X801" s="1"/>
      <c r="Y801" s="1"/>
    </row>
    <row r="802" spans="2:25" x14ac:dyDescent="0.25">
      <c r="B802" s="4">
        <v>30008759</v>
      </c>
      <c r="C802" s="1" t="s">
        <v>539</v>
      </c>
      <c r="D802" s="4" t="s">
        <v>89</v>
      </c>
      <c r="E802" s="3"/>
      <c r="F802" s="3" t="s">
        <v>69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/>
      <c r="V802" s="1"/>
      <c r="W802" s="1"/>
      <c r="X802" s="1"/>
      <c r="Y802" s="1"/>
    </row>
    <row r="803" spans="2:25" x14ac:dyDescent="0.25">
      <c r="B803" s="4">
        <v>30008760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25">
      <c r="B804" s="4">
        <v>30008761</v>
      </c>
      <c r="C804" s="1" t="s">
        <v>541</v>
      </c>
      <c r="D804" s="4" t="s">
        <v>89</v>
      </c>
      <c r="E804" s="3"/>
      <c r="F804" s="3" t="s">
        <v>69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25">
      <c r="B805" s="4">
        <v>30008765</v>
      </c>
      <c r="C805" s="1" t="s">
        <v>542</v>
      </c>
      <c r="D805" s="4" t="s">
        <v>89</v>
      </c>
      <c r="E805" s="3"/>
      <c r="F805" s="3" t="s">
        <v>69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25">
      <c r="B806" s="4">
        <v>30008773</v>
      </c>
      <c r="C806" s="1" t="s">
        <v>1029</v>
      </c>
      <c r="D806" s="4" t="s">
        <v>89</v>
      </c>
      <c r="E806" s="3"/>
      <c r="F806" s="3" t="s">
        <v>105</v>
      </c>
      <c r="G806" s="4">
        <v>33</v>
      </c>
      <c r="H806" s="4">
        <v>32</v>
      </c>
      <c r="I806" s="4">
        <v>55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 t="s">
        <v>1636</v>
      </c>
      <c r="T806" s="4" t="s">
        <v>74</v>
      </c>
      <c r="U806" s="1"/>
      <c r="V806" s="1"/>
      <c r="W806" s="1"/>
      <c r="X806" s="1"/>
      <c r="Y806" s="1"/>
    </row>
    <row r="807" spans="2:25" x14ac:dyDescent="0.25">
      <c r="B807" s="4">
        <v>30008774</v>
      </c>
      <c r="C807" s="1" t="s">
        <v>1030</v>
      </c>
      <c r="D807" s="4" t="s">
        <v>89</v>
      </c>
      <c r="E807" s="3"/>
      <c r="F807" s="3" t="s">
        <v>105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25">
      <c r="B808" s="4">
        <v>30008776</v>
      </c>
      <c r="C808" s="1" t="s">
        <v>1078</v>
      </c>
      <c r="D808" s="4" t="s">
        <v>89</v>
      </c>
      <c r="E808" s="3" t="s">
        <v>1228</v>
      </c>
      <c r="F808" s="3" t="s">
        <v>105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74</v>
      </c>
      <c r="U808" s="1"/>
      <c r="V808" s="1"/>
      <c r="W808" s="1"/>
      <c r="X808" s="1"/>
      <c r="Y808" s="1"/>
    </row>
    <row r="809" spans="2:25" x14ac:dyDescent="0.25">
      <c r="B809" s="4">
        <v>30008779</v>
      </c>
      <c r="C809" s="1" t="s">
        <v>1031</v>
      </c>
      <c r="D809" s="4" t="s">
        <v>89</v>
      </c>
      <c r="E809" s="3" t="s">
        <v>1228</v>
      </c>
      <c r="F809" s="3" t="s">
        <v>105</v>
      </c>
      <c r="G809" s="4">
        <v>17</v>
      </c>
      <c r="H809" s="4">
        <v>16</v>
      </c>
      <c r="I809" s="4">
        <v>18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/>
      <c r="V809" s="1"/>
      <c r="W809" s="1"/>
      <c r="X809" s="1"/>
      <c r="Y809" s="1"/>
    </row>
    <row r="810" spans="2:25" x14ac:dyDescent="0.25">
      <c r="B810" s="4">
        <v>30008781</v>
      </c>
      <c r="C810" s="1" t="s">
        <v>1079</v>
      </c>
      <c r="D810" s="4" t="s">
        <v>89</v>
      </c>
      <c r="E810" s="3" t="s">
        <v>1228</v>
      </c>
      <c r="F810" s="3" t="s">
        <v>105</v>
      </c>
      <c r="G810" s="4">
        <v>9</v>
      </c>
      <c r="H810" s="4">
        <v>5</v>
      </c>
      <c r="I810" s="4">
        <v>4</v>
      </c>
      <c r="J810" s="4" t="s">
        <v>8</v>
      </c>
      <c r="K810" s="4" t="s">
        <v>9</v>
      </c>
      <c r="L810" s="11">
        <v>1002644417</v>
      </c>
      <c r="M810" s="3">
        <v>2</v>
      </c>
      <c r="N810">
        <v>4502640423</v>
      </c>
      <c r="O810" s="4">
        <v>2</v>
      </c>
      <c r="P810" s="1" t="s">
        <v>1363</v>
      </c>
      <c r="Q810" s="22">
        <v>46241</v>
      </c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25">
      <c r="B811" s="4">
        <v>30008782</v>
      </c>
      <c r="C811" s="1" t="s">
        <v>1080</v>
      </c>
      <c r="D811" s="4" t="s">
        <v>89</v>
      </c>
      <c r="E811" s="3" t="s">
        <v>1228</v>
      </c>
      <c r="F811" s="3" t="s">
        <v>105</v>
      </c>
      <c r="G811" s="4">
        <v>5</v>
      </c>
      <c r="H811" s="4">
        <v>4</v>
      </c>
      <c r="I811" s="4">
        <v>4</v>
      </c>
      <c r="J811" s="4" t="s">
        <v>8</v>
      </c>
      <c r="K811" s="4" t="s">
        <v>9</v>
      </c>
      <c r="L811" s="11" t="s">
        <v>1656</v>
      </c>
      <c r="M811" s="3"/>
      <c r="N811"/>
      <c r="O811" s="4"/>
      <c r="P811" s="1"/>
      <c r="Q811" s="22"/>
      <c r="R811"/>
      <c r="S811" s="11" t="s">
        <v>1593</v>
      </c>
      <c r="T811" s="4" t="s">
        <v>74</v>
      </c>
      <c r="U811" s="1"/>
      <c r="V811" s="1"/>
      <c r="W811" s="1"/>
      <c r="X811" s="1"/>
      <c r="Y811" s="1"/>
    </row>
    <row r="812" spans="2:25" x14ac:dyDescent="0.25">
      <c r="B812" s="4">
        <v>30008788</v>
      </c>
      <c r="C812" s="1" t="s">
        <v>1032</v>
      </c>
      <c r="D812" s="4" t="s">
        <v>89</v>
      </c>
      <c r="E812" s="3"/>
      <c r="F812" s="3" t="s">
        <v>105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66</v>
      </c>
      <c r="U812" s="1"/>
      <c r="V812" s="1"/>
      <c r="W812" s="1"/>
      <c r="X812" s="1"/>
      <c r="Y812" s="1"/>
    </row>
    <row r="813" spans="2:25" x14ac:dyDescent="0.25">
      <c r="B813" s="4">
        <v>30008789</v>
      </c>
      <c r="C813" s="1" t="s">
        <v>1033</v>
      </c>
      <c r="D813" s="4" t="s">
        <v>89</v>
      </c>
      <c r="E813" s="3" t="s">
        <v>1228</v>
      </c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/>
      <c r="V813" s="1"/>
      <c r="W813" s="1"/>
      <c r="X813" s="1"/>
      <c r="Y813" s="1"/>
    </row>
    <row r="814" spans="2:25" x14ac:dyDescent="0.25">
      <c r="B814" s="4">
        <v>30008790</v>
      </c>
      <c r="C814" s="1" t="s">
        <v>1034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25">
      <c r="B815" s="4">
        <v>30008791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4</v>
      </c>
      <c r="J815" s="4" t="s">
        <v>8</v>
      </c>
      <c r="K815" s="4" t="s">
        <v>9</v>
      </c>
      <c r="L815" s="11"/>
      <c r="M815" s="3"/>
      <c r="N815">
        <v>4502674396</v>
      </c>
      <c r="O815" s="4">
        <v>4</v>
      </c>
      <c r="P815" s="1" t="s">
        <v>1589</v>
      </c>
      <c r="Q815" s="22">
        <v>46248</v>
      </c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25">
      <c r="B816" s="4">
        <v>30008792</v>
      </c>
      <c r="C816" s="1" t="s">
        <v>543</v>
      </c>
      <c r="D816" s="4" t="s">
        <v>89</v>
      </c>
      <c r="E816" s="3"/>
      <c r="F816" s="3" t="s">
        <v>69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70</v>
      </c>
      <c r="U816" s="1"/>
      <c r="V816" s="1"/>
      <c r="W816" s="1"/>
      <c r="X816" s="1"/>
      <c r="Y816" s="1"/>
    </row>
    <row r="817" spans="2:25" x14ac:dyDescent="0.25">
      <c r="B817" s="4">
        <v>30008795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x14ac:dyDescent="0.25">
      <c r="B818" s="4">
        <v>30008796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/>
      <c r="V818" s="1"/>
      <c r="W818" s="1"/>
      <c r="X818" s="1"/>
      <c r="Y818" s="1"/>
    </row>
    <row r="819" spans="2:25" x14ac:dyDescent="0.25">
      <c r="B819" s="4">
        <v>30008798</v>
      </c>
      <c r="C819" s="1" t="s">
        <v>1036</v>
      </c>
      <c r="D819" s="4" t="s">
        <v>89</v>
      </c>
      <c r="E819" s="3"/>
      <c r="F819" s="3" t="s">
        <v>105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25">
      <c r="B820" s="4">
        <v>30008799</v>
      </c>
      <c r="C820" s="1" t="s">
        <v>1037</v>
      </c>
      <c r="D820" s="4" t="s">
        <v>89</v>
      </c>
      <c r="E820" s="3" t="s">
        <v>1228</v>
      </c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25">
      <c r="B821" s="4">
        <v>30008800</v>
      </c>
      <c r="C821" s="1" t="s">
        <v>1038</v>
      </c>
      <c r="D821" s="4" t="s">
        <v>89</v>
      </c>
      <c r="E821" s="3"/>
      <c r="F821" s="3" t="s">
        <v>105</v>
      </c>
      <c r="G821" s="4">
        <v>9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25">
      <c r="B822" s="4">
        <v>30008801</v>
      </c>
      <c r="C822" s="1" t="s">
        <v>1039</v>
      </c>
      <c r="D822" s="4" t="s">
        <v>89</v>
      </c>
      <c r="E822" s="3" t="s">
        <v>1228</v>
      </c>
      <c r="F822" s="3" t="s">
        <v>105</v>
      </c>
      <c r="G822" s="4">
        <v>17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25">
      <c r="B823" s="4">
        <v>30008802</v>
      </c>
      <c r="C823" s="1" t="s">
        <v>1040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16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25">
      <c r="B824" s="4">
        <v>30008803</v>
      </c>
      <c r="C824" s="1" t="s">
        <v>1081</v>
      </c>
      <c r="D824" s="4" t="s">
        <v>89</v>
      </c>
      <c r="E824" s="73" t="s">
        <v>1228</v>
      </c>
      <c r="F824" s="3" t="s">
        <v>105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1363</v>
      </c>
      <c r="Q824" s="22">
        <v>46185</v>
      </c>
      <c r="R824"/>
      <c r="S824" s="11"/>
      <c r="T824" s="4" t="s">
        <v>74</v>
      </c>
      <c r="U824" s="1"/>
      <c r="V824" s="1"/>
      <c r="W824" s="1"/>
      <c r="X824" s="1"/>
      <c r="Y824" s="1"/>
    </row>
    <row r="825" spans="2:25" x14ac:dyDescent="0.25">
      <c r="B825" s="4">
        <v>30008804</v>
      </c>
      <c r="C825" s="1" t="s">
        <v>1082</v>
      </c>
      <c r="D825" s="4" t="s">
        <v>89</v>
      </c>
      <c r="E825" s="3" t="s">
        <v>1228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1656</v>
      </c>
      <c r="M825" s="3"/>
      <c r="N825"/>
      <c r="O825" s="4"/>
      <c r="P825" s="1"/>
      <c r="Q825" s="22"/>
      <c r="R825"/>
      <c r="S825" s="11" t="s">
        <v>1611</v>
      </c>
      <c r="T825" s="4" t="s">
        <v>74</v>
      </c>
      <c r="U825" s="1"/>
      <c r="V825" s="1"/>
      <c r="W825" s="1"/>
      <c r="X825" s="1"/>
      <c r="Y825" s="1"/>
    </row>
    <row r="826" spans="2:25" x14ac:dyDescent="0.25">
      <c r="B826" s="4">
        <v>30008805</v>
      </c>
      <c r="C826" s="1" t="s">
        <v>1083</v>
      </c>
      <c r="D826" s="4" t="s">
        <v>89</v>
      </c>
      <c r="E826" s="3"/>
      <c r="F826" s="3" t="s">
        <v>105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1363</v>
      </c>
      <c r="Q826" s="22">
        <v>46115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25">
      <c r="B827" s="4">
        <v>30008806</v>
      </c>
      <c r="C827" s="1" t="s">
        <v>546</v>
      </c>
      <c r="D827" s="4" t="s">
        <v>89</v>
      </c>
      <c r="E827" s="3"/>
      <c r="F827" s="3" t="s">
        <v>105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66</v>
      </c>
      <c r="U827" s="1"/>
      <c r="V827" s="1"/>
      <c r="W827" s="1"/>
      <c r="X827" s="1"/>
      <c r="Y827" s="1"/>
    </row>
    <row r="828" spans="2:25" x14ac:dyDescent="0.25">
      <c r="B828" s="4">
        <v>30008808</v>
      </c>
      <c r="C828" s="1" t="s">
        <v>1041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11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/>
      <c r="V828" s="1"/>
      <c r="W828" s="1"/>
      <c r="X828" s="1"/>
      <c r="Y828" s="1"/>
    </row>
    <row r="829" spans="2:25" x14ac:dyDescent="0.25">
      <c r="B829" s="4">
        <v>30008809</v>
      </c>
      <c r="C829" s="1" t="s">
        <v>1084</v>
      </c>
      <c r="D829" s="4" t="s">
        <v>89</v>
      </c>
      <c r="E829" s="3"/>
      <c r="F829" s="3" t="s">
        <v>105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25">
      <c r="B830" s="4">
        <v>30008810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25">
      <c r="B831" s="4">
        <v>30008811</v>
      </c>
      <c r="C831" s="1" t="s">
        <v>1042</v>
      </c>
      <c r="D831" s="4" t="s">
        <v>89</v>
      </c>
      <c r="E831" s="3" t="s">
        <v>1228</v>
      </c>
      <c r="F831" s="3" t="s">
        <v>105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74</v>
      </c>
      <c r="U831" s="1"/>
      <c r="V831" s="1"/>
      <c r="W831" s="1"/>
      <c r="X831" s="1"/>
      <c r="Y831" s="1"/>
    </row>
    <row r="832" spans="2:25" x14ac:dyDescent="0.25">
      <c r="B832" s="4">
        <v>30008812</v>
      </c>
      <c r="C832" s="1" t="s">
        <v>1043</v>
      </c>
      <c r="D832" s="4" t="s">
        <v>89</v>
      </c>
      <c r="E832" s="3" t="s">
        <v>1228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/>
      <c r="V832" s="1"/>
      <c r="W832" s="1"/>
      <c r="X832" s="1"/>
      <c r="Y832" s="1"/>
    </row>
    <row r="833" spans="2:25" x14ac:dyDescent="0.25">
      <c r="B833" s="4">
        <v>30008813</v>
      </c>
      <c r="C833" s="1" t="s">
        <v>1044</v>
      </c>
      <c r="D833" s="4" t="s">
        <v>89</v>
      </c>
      <c r="E833" s="3" t="s">
        <v>1228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25">
      <c r="B834" s="4">
        <v>30008814</v>
      </c>
      <c r="C834" s="1" t="s">
        <v>1045</v>
      </c>
      <c r="D834" s="4" t="s">
        <v>89</v>
      </c>
      <c r="E834" s="3" t="s">
        <v>1228</v>
      </c>
      <c r="F834" s="3" t="s">
        <v>105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25">
      <c r="B835" s="4">
        <v>30008815</v>
      </c>
      <c r="C835" s="1" t="s">
        <v>1046</v>
      </c>
      <c r="D835" s="4" t="s">
        <v>89</v>
      </c>
      <c r="E835" s="3"/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25">
      <c r="B836" s="4">
        <v>30008817</v>
      </c>
      <c r="C836" s="1" t="s">
        <v>1048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25">
      <c r="B837" s="4">
        <v>30008818</v>
      </c>
      <c r="C837" s="1" t="s">
        <v>547</v>
      </c>
      <c r="D837" s="4" t="s">
        <v>89</v>
      </c>
      <c r="E837" s="3"/>
      <c r="F837" s="3" t="s">
        <v>69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25">
      <c r="B838" s="4">
        <v>30008847</v>
      </c>
      <c r="C838" s="1" t="s">
        <v>548</v>
      </c>
      <c r="D838" s="4" t="s">
        <v>89</v>
      </c>
      <c r="E838" s="3"/>
      <c r="F838" s="3" t="s">
        <v>69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66</v>
      </c>
      <c r="U838" s="1"/>
      <c r="V838" s="1"/>
      <c r="W838" s="1"/>
      <c r="X838" s="1"/>
      <c r="Y838" s="1"/>
    </row>
    <row r="839" spans="2:25" x14ac:dyDescent="0.25">
      <c r="B839" s="4">
        <v>30008854</v>
      </c>
      <c r="C839" s="1" t="s">
        <v>549</v>
      </c>
      <c r="D839" s="4" t="s">
        <v>89</v>
      </c>
      <c r="E839" s="3"/>
      <c r="F839" s="3" t="s">
        <v>69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/>
      <c r="V839" s="1"/>
      <c r="W839" s="1"/>
      <c r="X839" s="1"/>
      <c r="Y839" s="1"/>
    </row>
    <row r="840" spans="2:25" x14ac:dyDescent="0.25">
      <c r="B840" s="4">
        <v>30008856</v>
      </c>
      <c r="C840" s="1" t="s">
        <v>1049</v>
      </c>
      <c r="D840" s="4" t="s">
        <v>89</v>
      </c>
      <c r="E840" s="3"/>
      <c r="F840" s="3" t="s">
        <v>105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25">
      <c r="B841" s="4">
        <v>30008857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25">
      <c r="B842" s="4">
        <v>30008858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25">
      <c r="B843" s="4">
        <v>30008859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25">
      <c r="B844" s="4">
        <v>30008931</v>
      </c>
      <c r="C844" s="1" t="s">
        <v>550</v>
      </c>
      <c r="D844" s="4" t="s">
        <v>89</v>
      </c>
      <c r="E844" s="3"/>
      <c r="F844" s="3" t="s">
        <v>69</v>
      </c>
      <c r="G844" s="4">
        <v>20</v>
      </c>
      <c r="H844" s="4">
        <v>6</v>
      </c>
      <c r="I844" s="4">
        <v>26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73</v>
      </c>
      <c r="U844" s="1"/>
      <c r="V844" s="1"/>
      <c r="W844" s="1"/>
      <c r="X844" s="1"/>
      <c r="Y844" s="1"/>
    </row>
    <row r="845" spans="2:25" x14ac:dyDescent="0.25">
      <c r="B845" s="4">
        <v>30008973</v>
      </c>
      <c r="C845" s="1" t="s">
        <v>551</v>
      </c>
      <c r="D845" s="4" t="s">
        <v>89</v>
      </c>
      <c r="E845" s="3"/>
      <c r="F845" s="3" t="s">
        <v>69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68</v>
      </c>
      <c r="U845" s="1"/>
      <c r="V845" s="1"/>
      <c r="W845" s="1"/>
      <c r="X845" s="1"/>
      <c r="Y845" s="1"/>
    </row>
    <row r="846" spans="2:25" x14ac:dyDescent="0.25">
      <c r="B846" s="4">
        <v>30009365</v>
      </c>
      <c r="C846" s="1" t="s">
        <v>1489</v>
      </c>
      <c r="D846" s="4" t="s">
        <v>89</v>
      </c>
      <c r="E846" s="3"/>
      <c r="F846" s="3" t="s">
        <v>69</v>
      </c>
      <c r="G846" s="4">
        <v>5</v>
      </c>
      <c r="H846" s="4">
        <v>2</v>
      </c>
      <c r="I846" s="4">
        <v>5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25">
      <c r="B847" s="4">
        <v>30009410</v>
      </c>
      <c r="C847" s="1" t="s">
        <v>46</v>
      </c>
      <c r="D847" s="4" t="s">
        <v>89</v>
      </c>
      <c r="E847" s="3"/>
      <c r="F847" s="3" t="s">
        <v>69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67</v>
      </c>
      <c r="U847" s="1"/>
      <c r="V847" s="1"/>
      <c r="W847" s="1"/>
      <c r="X847" s="1"/>
      <c r="Y847" s="1"/>
    </row>
    <row r="848" spans="2:25" x14ac:dyDescent="0.25">
      <c r="B848" s="4">
        <v>30009554</v>
      </c>
      <c r="C848" s="1" t="s">
        <v>552</v>
      </c>
      <c r="D848" s="4" t="s">
        <v>89</v>
      </c>
      <c r="E848" s="73"/>
      <c r="F848" s="3" t="s">
        <v>69</v>
      </c>
      <c r="G848" s="4">
        <v>3</v>
      </c>
      <c r="H848" s="4">
        <v>4</v>
      </c>
      <c r="I848" s="4">
        <v>4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/>
      <c r="V848" s="1"/>
      <c r="W848" s="1"/>
      <c r="X848" s="1"/>
      <c r="Y848" s="1"/>
    </row>
    <row r="849" spans="2:25" x14ac:dyDescent="0.25">
      <c r="B849" s="4">
        <v>30010099</v>
      </c>
      <c r="C849" s="1" t="s">
        <v>1499</v>
      </c>
      <c r="D849" s="4" t="s">
        <v>89</v>
      </c>
      <c r="E849" s="3"/>
      <c r="F849" s="3" t="s">
        <v>69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1633</v>
      </c>
      <c r="M849" s="3"/>
      <c r="N849"/>
      <c r="O849" s="4"/>
      <c r="P849" s="1"/>
      <c r="Q849" s="22"/>
      <c r="R849"/>
      <c r="S849" s="11" t="s">
        <v>1612</v>
      </c>
      <c r="T849" s="4" t="s">
        <v>73</v>
      </c>
      <c r="U849" s="1"/>
      <c r="V849" s="1"/>
      <c r="W849" s="1"/>
      <c r="X849" s="1"/>
      <c r="Y849" s="1"/>
    </row>
    <row r="850" spans="2:25" x14ac:dyDescent="0.25">
      <c r="B850" s="4">
        <v>30010232</v>
      </c>
      <c r="C850" s="1" t="s">
        <v>553</v>
      </c>
      <c r="D850" s="4" t="s">
        <v>89</v>
      </c>
      <c r="E850" s="3"/>
      <c r="F850" s="3" t="s">
        <v>69</v>
      </c>
      <c r="G850" s="4">
        <v>15</v>
      </c>
      <c r="H850" s="4">
        <v>6</v>
      </c>
      <c r="I850" s="4">
        <v>15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/>
      <c r="V850" s="1"/>
      <c r="W850" s="1"/>
      <c r="X850" s="1"/>
      <c r="Y850" s="1"/>
    </row>
    <row r="851" spans="2:25" x14ac:dyDescent="0.25">
      <c r="B851" s="4">
        <v>30010233</v>
      </c>
      <c r="C851" s="1" t="s">
        <v>554</v>
      </c>
      <c r="D851" s="4" t="s">
        <v>89</v>
      </c>
      <c r="E851" s="3"/>
      <c r="F851" s="3" t="s">
        <v>69</v>
      </c>
      <c r="G851" s="4">
        <v>6</v>
      </c>
      <c r="H851" s="4">
        <v>10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/>
      <c r="V851" s="1"/>
      <c r="W851" s="1"/>
      <c r="X851" s="1"/>
      <c r="Y851" s="1"/>
    </row>
    <row r="852" spans="2:25" x14ac:dyDescent="0.25">
      <c r="B852" s="4">
        <v>30010272</v>
      </c>
      <c r="C852" s="1" t="s">
        <v>1496</v>
      </c>
      <c r="D852" s="4" t="s">
        <v>89</v>
      </c>
      <c r="E852" s="3"/>
      <c r="F852" s="3" t="s">
        <v>69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11"/>
      <c r="M852" s="3"/>
      <c r="N852">
        <v>4502682207</v>
      </c>
      <c r="O852" s="4">
        <v>5</v>
      </c>
      <c r="P852" s="1" t="s">
        <v>1659</v>
      </c>
      <c r="Q852" s="22">
        <v>46315</v>
      </c>
      <c r="R852"/>
      <c r="S852" s="11" t="s">
        <v>1613</v>
      </c>
      <c r="T852" s="4" t="s">
        <v>67</v>
      </c>
      <c r="U852" s="1"/>
      <c r="V852" s="1"/>
      <c r="W852" s="1"/>
      <c r="X852" s="1"/>
      <c r="Y852" s="1"/>
    </row>
    <row r="853" spans="2:25" x14ac:dyDescent="0.25">
      <c r="B853" s="4">
        <v>30010878</v>
      </c>
      <c r="C853" s="1" t="s">
        <v>555</v>
      </c>
      <c r="D853" s="4" t="s">
        <v>89</v>
      </c>
      <c r="E853" s="3"/>
      <c r="F853" s="3" t="s">
        <v>69</v>
      </c>
      <c r="G853" s="4">
        <v>21</v>
      </c>
      <c r="H853" s="4">
        <v>20</v>
      </c>
      <c r="I853" s="4">
        <v>24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73</v>
      </c>
      <c r="U853" s="1"/>
      <c r="V853" s="1"/>
      <c r="W853" s="1"/>
      <c r="X853" s="1"/>
      <c r="Y853" s="1"/>
    </row>
    <row r="854" spans="2:25" x14ac:dyDescent="0.25">
      <c r="B854" s="4">
        <v>30010881</v>
      </c>
      <c r="C854" s="1" t="s">
        <v>556</v>
      </c>
      <c r="D854" s="4" t="s">
        <v>89</v>
      </c>
      <c r="E854" s="3"/>
      <c r="F854" s="3" t="s">
        <v>69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/>
      <c r="V854" s="1"/>
      <c r="W854" s="1"/>
      <c r="X854" s="1"/>
      <c r="Y854" s="1"/>
    </row>
    <row r="855" spans="2:25" x14ac:dyDescent="0.25">
      <c r="B855" s="4">
        <v>30010885</v>
      </c>
      <c r="C855" s="1" t="s">
        <v>793</v>
      </c>
      <c r="D855" s="4" t="s">
        <v>89</v>
      </c>
      <c r="E855" s="3"/>
      <c r="F855" s="3" t="s">
        <v>69</v>
      </c>
      <c r="G855" s="4">
        <v>20</v>
      </c>
      <c r="H855" s="4">
        <v>6</v>
      </c>
      <c r="I855" s="4">
        <v>51</v>
      </c>
      <c r="J855" s="4" t="s">
        <v>8</v>
      </c>
      <c r="K855" s="4" t="s">
        <v>14</v>
      </c>
      <c r="L855" s="11"/>
      <c r="M855" s="3"/>
      <c r="N855">
        <v>4502680465</v>
      </c>
      <c r="O855" s="4">
        <v>1</v>
      </c>
      <c r="P855" s="1" t="s">
        <v>1455</v>
      </c>
      <c r="Q855" s="22">
        <v>46218</v>
      </c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25">
      <c r="B856" s="4">
        <v>30010898</v>
      </c>
      <c r="C856" s="1" t="s">
        <v>557</v>
      </c>
      <c r="D856" s="4" t="s">
        <v>89</v>
      </c>
      <c r="E856" s="3"/>
      <c r="F856" s="3" t="s">
        <v>69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25">
      <c r="B857" s="4">
        <v>30010902</v>
      </c>
      <c r="C857" s="1" t="s">
        <v>1525</v>
      </c>
      <c r="D857" s="4" t="s">
        <v>89</v>
      </c>
      <c r="E857" s="3"/>
      <c r="F857" s="3" t="s">
        <v>69</v>
      </c>
      <c r="G857" s="4">
        <v>12</v>
      </c>
      <c r="H857" s="4">
        <v>12</v>
      </c>
      <c r="I857" s="4">
        <v>18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25">
      <c r="B858" s="4">
        <v>30010905</v>
      </c>
      <c r="C858" s="1" t="s">
        <v>558</v>
      </c>
      <c r="D858" s="4" t="s">
        <v>89</v>
      </c>
      <c r="E858" s="3"/>
      <c r="F858" s="3" t="s">
        <v>69</v>
      </c>
      <c r="G858" s="4">
        <v>12</v>
      </c>
      <c r="H858" s="4">
        <v>4</v>
      </c>
      <c r="I858" s="4">
        <v>14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25">
      <c r="B859" s="4">
        <v>30010908</v>
      </c>
      <c r="C859" s="1" t="s">
        <v>1460</v>
      </c>
      <c r="D859" s="4" t="s">
        <v>89</v>
      </c>
      <c r="E859" s="3"/>
      <c r="F859" s="3" t="s">
        <v>69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25">
      <c r="B860" s="4">
        <v>30010915</v>
      </c>
      <c r="C860" s="1" t="s">
        <v>1086</v>
      </c>
      <c r="D860" s="4" t="s">
        <v>89</v>
      </c>
      <c r="E860" s="3"/>
      <c r="F860" s="3" t="s">
        <v>69</v>
      </c>
      <c r="G860" s="4">
        <v>30</v>
      </c>
      <c r="H860" s="4">
        <v>30</v>
      </c>
      <c r="I860" s="4">
        <v>37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1614</v>
      </c>
      <c r="T860" s="4" t="s">
        <v>66</v>
      </c>
      <c r="U860" s="1"/>
      <c r="V860" s="1"/>
      <c r="W860" s="1"/>
      <c r="X860" s="1"/>
      <c r="Y860" s="1"/>
    </row>
    <row r="861" spans="2:25" x14ac:dyDescent="0.25">
      <c r="B861" s="4">
        <v>30010919</v>
      </c>
      <c r="C861" s="1" t="s">
        <v>1461</v>
      </c>
      <c r="D861" s="4" t="s">
        <v>89</v>
      </c>
      <c r="E861" s="3"/>
      <c r="F861" s="3" t="s">
        <v>69</v>
      </c>
      <c r="G861" s="4">
        <v>9</v>
      </c>
      <c r="H861" s="4">
        <v>3</v>
      </c>
      <c r="I861" s="4">
        <v>14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x14ac:dyDescent="0.25">
      <c r="B862" s="4">
        <v>30010929</v>
      </c>
      <c r="C862" s="1" t="s">
        <v>559</v>
      </c>
      <c r="D862" s="4" t="s">
        <v>89</v>
      </c>
      <c r="E862" s="3"/>
      <c r="F862" s="3" t="s">
        <v>69</v>
      </c>
      <c r="G862" s="4">
        <v>35</v>
      </c>
      <c r="H862" s="4">
        <v>15</v>
      </c>
      <c r="I862" s="4">
        <v>45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/>
      <c r="V862" s="1"/>
      <c r="W862" s="1"/>
      <c r="X862" s="1"/>
      <c r="Y862" s="1"/>
    </row>
    <row r="863" spans="2:25" x14ac:dyDescent="0.25">
      <c r="B863" s="4">
        <v>30010930</v>
      </c>
      <c r="C863" s="1" t="s">
        <v>1462</v>
      </c>
      <c r="D863" s="4" t="s">
        <v>89</v>
      </c>
      <c r="E863" s="3"/>
      <c r="F863" s="3" t="s">
        <v>69</v>
      </c>
      <c r="G863" s="4">
        <v>6</v>
      </c>
      <c r="H863" s="4">
        <v>2</v>
      </c>
      <c r="I863" s="4">
        <v>8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25">
      <c r="B864" s="4">
        <v>30010931</v>
      </c>
      <c r="C864" s="1" t="s">
        <v>560</v>
      </c>
      <c r="D864" s="4" t="s">
        <v>89</v>
      </c>
      <c r="E864" s="3"/>
      <c r="F864" s="3" t="s">
        <v>69</v>
      </c>
      <c r="G864" s="4">
        <v>15</v>
      </c>
      <c r="H864" s="4">
        <v>10</v>
      </c>
      <c r="I864" s="4">
        <v>21</v>
      </c>
      <c r="J864" s="4" t="s">
        <v>8</v>
      </c>
      <c r="K864" s="4" t="s">
        <v>7</v>
      </c>
      <c r="L864" s="11"/>
      <c r="M864" s="3"/>
      <c r="N864">
        <v>4502655014</v>
      </c>
      <c r="O864" s="4">
        <v>2</v>
      </c>
      <c r="P864" s="1" t="s">
        <v>1455</v>
      </c>
      <c r="Q864" s="22">
        <v>46140</v>
      </c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25">
      <c r="B865" s="4">
        <v>30010933</v>
      </c>
      <c r="C865" s="1" t="s">
        <v>561</v>
      </c>
      <c r="D865" s="4" t="s">
        <v>89</v>
      </c>
      <c r="E865" s="3"/>
      <c r="F865" s="3" t="s">
        <v>69</v>
      </c>
      <c r="G865" s="4">
        <v>20</v>
      </c>
      <c r="H865" s="4">
        <v>6</v>
      </c>
      <c r="I865" s="4">
        <v>20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25">
      <c r="B866" s="4">
        <v>30010934</v>
      </c>
      <c r="C866" s="1" t="s">
        <v>562</v>
      </c>
      <c r="D866" s="4" t="s">
        <v>89</v>
      </c>
      <c r="E866" s="3"/>
      <c r="F866" s="3" t="s">
        <v>69</v>
      </c>
      <c r="G866" s="4">
        <v>12</v>
      </c>
      <c r="H866" s="4">
        <v>4</v>
      </c>
      <c r="I866" s="4">
        <v>14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25">
      <c r="B867" s="4">
        <v>30010935</v>
      </c>
      <c r="C867" s="1" t="s">
        <v>563</v>
      </c>
      <c r="D867" s="4" t="s">
        <v>89</v>
      </c>
      <c r="E867" s="3"/>
      <c r="F867" s="3" t="s">
        <v>69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25">
      <c r="B868" s="4">
        <v>30010938</v>
      </c>
      <c r="C868" s="1" t="s">
        <v>564</v>
      </c>
      <c r="D868" s="4" t="s">
        <v>89</v>
      </c>
      <c r="E868" s="3"/>
      <c r="F868" s="3" t="s">
        <v>69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25">
      <c r="B869" s="4">
        <v>30010939</v>
      </c>
      <c r="C869" s="1" t="s">
        <v>565</v>
      </c>
      <c r="D869" s="4" t="s">
        <v>89</v>
      </c>
      <c r="E869" s="3"/>
      <c r="F869" s="3" t="s">
        <v>69</v>
      </c>
      <c r="G869" s="4">
        <v>28</v>
      </c>
      <c r="H869" s="4">
        <v>10</v>
      </c>
      <c r="I869" s="4">
        <v>33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25">
      <c r="B870" s="4">
        <v>30010940</v>
      </c>
      <c r="C870" s="1" t="s">
        <v>566</v>
      </c>
      <c r="D870" s="4" t="s">
        <v>89</v>
      </c>
      <c r="E870" s="3"/>
      <c r="F870" s="3" t="s">
        <v>69</v>
      </c>
      <c r="G870" s="4">
        <v>4</v>
      </c>
      <c r="H870" s="4">
        <v>8</v>
      </c>
      <c r="I870" s="4">
        <v>31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25">
      <c r="B871" s="4">
        <v>30010941</v>
      </c>
      <c r="C871" s="1" t="s">
        <v>567</v>
      </c>
      <c r="D871" s="4" t="s">
        <v>89</v>
      </c>
      <c r="E871" s="3"/>
      <c r="F871" s="3" t="s">
        <v>69</v>
      </c>
      <c r="G871" s="4">
        <v>10</v>
      </c>
      <c r="H871" s="4">
        <v>15</v>
      </c>
      <c r="I871" s="4">
        <v>42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25">
      <c r="B872" s="4">
        <v>30010942</v>
      </c>
      <c r="C872" s="1" t="s">
        <v>568</v>
      </c>
      <c r="D872" s="4" t="s">
        <v>89</v>
      </c>
      <c r="E872" s="3"/>
      <c r="F872" s="3" t="s">
        <v>69</v>
      </c>
      <c r="G872" s="4">
        <v>30</v>
      </c>
      <c r="H872" s="4">
        <v>10</v>
      </c>
      <c r="I872" s="4">
        <v>34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25">
      <c r="B873" s="4">
        <v>30010944</v>
      </c>
      <c r="C873" s="1" t="s">
        <v>1463</v>
      </c>
      <c r="D873" s="4" t="s">
        <v>89</v>
      </c>
      <c r="E873" s="3"/>
      <c r="F873" s="3" t="s">
        <v>69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25">
      <c r="B874" s="4">
        <v>30010949</v>
      </c>
      <c r="C874" s="1" t="s">
        <v>569</v>
      </c>
      <c r="D874" s="4" t="s">
        <v>89</v>
      </c>
      <c r="E874" s="3"/>
      <c r="F874" s="3" t="s">
        <v>69</v>
      </c>
      <c r="G874" s="4">
        <v>10</v>
      </c>
      <c r="H874" s="4">
        <v>15</v>
      </c>
      <c r="I874" s="4">
        <v>24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25">
      <c r="B875" s="4">
        <v>30010955</v>
      </c>
      <c r="C875" s="1" t="s">
        <v>1464</v>
      </c>
      <c r="D875" s="4" t="s">
        <v>89</v>
      </c>
      <c r="E875" s="3"/>
      <c r="F875" s="3" t="s">
        <v>69</v>
      </c>
      <c r="G875" s="4">
        <v>4</v>
      </c>
      <c r="H875" s="4">
        <v>2</v>
      </c>
      <c r="I875" s="4">
        <v>4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25">
      <c r="B876" s="4">
        <v>30010966</v>
      </c>
      <c r="C876" s="1" t="s">
        <v>1465</v>
      </c>
      <c r="D876" s="4" t="s">
        <v>89</v>
      </c>
      <c r="E876" s="3"/>
      <c r="F876" s="3" t="s">
        <v>69</v>
      </c>
      <c r="G876" s="4">
        <v>13</v>
      </c>
      <c r="H876" s="4">
        <v>15</v>
      </c>
      <c r="I876" s="4">
        <v>17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25">
      <c r="B877" s="4">
        <v>30010968</v>
      </c>
      <c r="C877" s="1" t="s">
        <v>1466</v>
      </c>
      <c r="D877" s="4" t="s">
        <v>89</v>
      </c>
      <c r="E877" s="3"/>
      <c r="F877" s="3" t="s">
        <v>69</v>
      </c>
      <c r="G877" s="4">
        <v>10</v>
      </c>
      <c r="H877" s="4">
        <v>4</v>
      </c>
      <c r="I877" s="4">
        <v>8</v>
      </c>
      <c r="J877" s="4" t="s">
        <v>8</v>
      </c>
      <c r="K877" s="4" t="s">
        <v>9</v>
      </c>
      <c r="L877" s="11"/>
      <c r="M877" s="3"/>
      <c r="N877">
        <v>4502680617</v>
      </c>
      <c r="O877" s="4">
        <v>4</v>
      </c>
      <c r="P877" s="1" t="s">
        <v>1455</v>
      </c>
      <c r="Q877" s="22">
        <v>46192</v>
      </c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25">
      <c r="B878" s="4">
        <v>30010971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10</v>
      </c>
      <c r="I878" s="4">
        <v>21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25">
      <c r="B879" s="4">
        <v>30010974</v>
      </c>
      <c r="C879" s="1" t="s">
        <v>1087</v>
      </c>
      <c r="D879" s="4" t="s">
        <v>89</v>
      </c>
      <c r="E879" s="3"/>
      <c r="F879" s="3" t="s">
        <v>69</v>
      </c>
      <c r="G879" s="4">
        <v>30</v>
      </c>
      <c r="H879" s="4">
        <v>30</v>
      </c>
      <c r="I879" s="4">
        <v>29</v>
      </c>
      <c r="J879" s="4" t="s">
        <v>8</v>
      </c>
      <c r="K879" s="4" t="s">
        <v>9</v>
      </c>
      <c r="L879" s="11" t="s">
        <v>1661</v>
      </c>
      <c r="M879" s="3">
        <v>30</v>
      </c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25">
      <c r="B880" s="4">
        <v>30010977</v>
      </c>
      <c r="C880" s="1" t="s">
        <v>1553</v>
      </c>
      <c r="D880" s="4" t="s">
        <v>89</v>
      </c>
      <c r="E880" s="3"/>
      <c r="F880" s="3" t="s">
        <v>69</v>
      </c>
      <c r="G880" s="4">
        <v>6</v>
      </c>
      <c r="H880" s="4">
        <v>6</v>
      </c>
      <c r="I880" s="4">
        <v>29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25">
      <c r="B881" s="4">
        <v>30010982</v>
      </c>
      <c r="C881" s="1" t="s">
        <v>570</v>
      </c>
      <c r="D881" s="4" t="s">
        <v>89</v>
      </c>
      <c r="E881" s="3"/>
      <c r="F881" s="3" t="s">
        <v>69</v>
      </c>
      <c r="G881" s="4">
        <v>20</v>
      </c>
      <c r="H881" s="4">
        <v>50</v>
      </c>
      <c r="I881" s="4">
        <v>41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25">
      <c r="B882" s="4">
        <v>30010984</v>
      </c>
      <c r="C882" s="1" t="s">
        <v>1556</v>
      </c>
      <c r="D882" s="4" t="s">
        <v>89</v>
      </c>
      <c r="E882" s="3"/>
      <c r="F882" s="3" t="s">
        <v>69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25">
      <c r="B883" s="4">
        <v>30010985</v>
      </c>
      <c r="C883" s="1" t="s">
        <v>1398</v>
      </c>
      <c r="D883" s="4" t="s">
        <v>89</v>
      </c>
      <c r="E883" s="3"/>
      <c r="F883" s="3" t="s">
        <v>69</v>
      </c>
      <c r="G883" s="4">
        <v>10</v>
      </c>
      <c r="H883" s="4">
        <v>30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25">
      <c r="B884" s="4">
        <v>30010989</v>
      </c>
      <c r="C884" s="1" t="s">
        <v>1468</v>
      </c>
      <c r="D884" s="4" t="s">
        <v>89</v>
      </c>
      <c r="E884" s="3"/>
      <c r="F884" s="3" t="s">
        <v>69</v>
      </c>
      <c r="G884" s="4">
        <v>5</v>
      </c>
      <c r="H884" s="4">
        <v>2</v>
      </c>
      <c r="I884" s="4">
        <v>13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1455</v>
      </c>
      <c r="Q884" s="22">
        <v>46140</v>
      </c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25">
      <c r="B885" s="4">
        <v>30011129</v>
      </c>
      <c r="C885" s="1" t="s">
        <v>1291</v>
      </c>
      <c r="D885" s="4" t="s">
        <v>89</v>
      </c>
      <c r="E885" s="3"/>
      <c r="F885" s="3" t="s">
        <v>69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>
        <v>1002558318</v>
      </c>
      <c r="M885" s="3">
        <v>5</v>
      </c>
      <c r="N885"/>
      <c r="O885" s="4"/>
      <c r="P885" s="1"/>
      <c r="Q885" s="22"/>
      <c r="R885"/>
      <c r="S885" s="11" t="s">
        <v>1615</v>
      </c>
      <c r="T885" s="4" t="s">
        <v>73</v>
      </c>
      <c r="U885" s="1"/>
      <c r="V885" s="1"/>
      <c r="W885" s="1"/>
      <c r="X885" s="1"/>
      <c r="Y885" s="1"/>
    </row>
    <row r="886" spans="2:25" x14ac:dyDescent="0.25">
      <c r="B886" s="4">
        <v>30011130</v>
      </c>
      <c r="C886" s="1" t="s">
        <v>1312</v>
      </c>
      <c r="D886" s="4" t="s">
        <v>89</v>
      </c>
      <c r="E886" s="3"/>
      <c r="F886" s="3" t="s">
        <v>69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x14ac:dyDescent="0.25">
      <c r="B887" s="4">
        <v>30011131</v>
      </c>
      <c r="C887" s="1" t="s">
        <v>1336</v>
      </c>
      <c r="D887" s="4" t="s">
        <v>89</v>
      </c>
      <c r="E887" s="3"/>
      <c r="F887" s="3" t="s">
        <v>69</v>
      </c>
      <c r="G887" s="4">
        <v>5</v>
      </c>
      <c r="H887" s="4">
        <v>10</v>
      </c>
      <c r="I887" s="4">
        <v>8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/>
      <c r="V887" s="1"/>
      <c r="W887" s="1"/>
      <c r="X887" s="1"/>
      <c r="Y887" s="1"/>
    </row>
    <row r="888" spans="2:25" x14ac:dyDescent="0.25">
      <c r="B888" s="4">
        <v>30011261</v>
      </c>
      <c r="C888" s="1" t="s">
        <v>1313</v>
      </c>
      <c r="D888" s="4" t="s">
        <v>89</v>
      </c>
      <c r="E888" s="3"/>
      <c r="F888" s="3" t="s">
        <v>69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25">
      <c r="B889" s="4">
        <v>30011572</v>
      </c>
      <c r="C889" s="1" t="s">
        <v>571</v>
      </c>
      <c r="D889" s="4" t="s">
        <v>89</v>
      </c>
      <c r="E889" s="3"/>
      <c r="F889" s="3" t="s">
        <v>105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74</v>
      </c>
      <c r="U889" s="1"/>
      <c r="V889" s="1"/>
      <c r="W889" s="1"/>
      <c r="X889" s="1"/>
      <c r="Y889" s="1"/>
    </row>
    <row r="890" spans="2:25" x14ac:dyDescent="0.25">
      <c r="B890" s="4">
        <v>30011756</v>
      </c>
      <c r="C890" s="1" t="s">
        <v>1053</v>
      </c>
      <c r="D890" s="4" t="s">
        <v>89</v>
      </c>
      <c r="E890" s="3" t="s">
        <v>1228</v>
      </c>
      <c r="F890" s="3" t="s">
        <v>105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1593</v>
      </c>
      <c r="T890" s="4" t="s">
        <v>66</v>
      </c>
      <c r="U890" s="1"/>
      <c r="V890" s="1"/>
      <c r="W890" s="1"/>
      <c r="X890" s="1"/>
      <c r="Y890" s="1"/>
    </row>
    <row r="891" spans="2:25" x14ac:dyDescent="0.25">
      <c r="B891" s="4">
        <v>30012032</v>
      </c>
      <c r="C891" s="1" t="s">
        <v>1372</v>
      </c>
      <c r="D891" s="4" t="s">
        <v>89</v>
      </c>
      <c r="E891" s="3"/>
      <c r="F891" s="3" t="s">
        <v>69</v>
      </c>
      <c r="G891" s="4">
        <v>3</v>
      </c>
      <c r="H891" s="4">
        <v>6</v>
      </c>
      <c r="I891" s="4">
        <v>6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x14ac:dyDescent="0.25">
      <c r="B892" s="4">
        <v>30012569</v>
      </c>
      <c r="C892" s="1" t="s">
        <v>572</v>
      </c>
      <c r="D892" s="4" t="s">
        <v>89</v>
      </c>
      <c r="E892" s="3"/>
      <c r="F892" s="3" t="s">
        <v>69</v>
      </c>
      <c r="G892" s="4">
        <v>100</v>
      </c>
      <c r="H892" s="4">
        <v>300</v>
      </c>
      <c r="I892" s="4">
        <v>160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68</v>
      </c>
      <c r="U892" s="1"/>
      <c r="V892" s="1"/>
      <c r="W892" s="1"/>
      <c r="X892" s="1"/>
      <c r="Y892" s="1"/>
    </row>
    <row r="893" spans="2:25" x14ac:dyDescent="0.25">
      <c r="B893" s="4">
        <v>30013011</v>
      </c>
      <c r="C893" s="1" t="s">
        <v>1507</v>
      </c>
      <c r="D893" s="4" t="s">
        <v>89</v>
      </c>
      <c r="E893" s="3"/>
      <c r="F893" s="3" t="s">
        <v>69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x14ac:dyDescent="0.25">
      <c r="B894" s="4">
        <v>30013936</v>
      </c>
      <c r="C894" s="1" t="s">
        <v>887</v>
      </c>
      <c r="D894" s="4" t="s">
        <v>89</v>
      </c>
      <c r="E894" s="3"/>
      <c r="F894" s="3" t="s">
        <v>105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/>
      <c r="V894" s="1"/>
      <c r="W894" s="1"/>
      <c r="X894" s="1"/>
      <c r="Y894" s="1"/>
    </row>
    <row r="895" spans="2:25" x14ac:dyDescent="0.25">
      <c r="B895" s="4">
        <v>30014008</v>
      </c>
      <c r="C895" s="1" t="s">
        <v>573</v>
      </c>
      <c r="D895" s="4" t="s">
        <v>89</v>
      </c>
      <c r="E895" s="3"/>
      <c r="F895" s="3" t="s">
        <v>69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73</v>
      </c>
      <c r="U895" s="1"/>
      <c r="V895" s="1"/>
      <c r="W895" s="1"/>
      <c r="X895" s="1"/>
      <c r="Y895" s="1"/>
    </row>
    <row r="896" spans="2:25" x14ac:dyDescent="0.25">
      <c r="B896" s="4">
        <v>30014442</v>
      </c>
      <c r="C896" s="1" t="s">
        <v>574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/>
      <c r="V896" s="1"/>
      <c r="W896" s="1"/>
      <c r="X896" s="1"/>
      <c r="Y896" s="1"/>
    </row>
    <row r="897" spans="2:25" x14ac:dyDescent="0.25">
      <c r="B897" s="4">
        <v>30014899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70</v>
      </c>
      <c r="U897" s="1"/>
      <c r="V897" s="1"/>
      <c r="W897" s="1"/>
      <c r="X897" s="1"/>
      <c r="Y897" s="1"/>
    </row>
    <row r="898" spans="2:25" x14ac:dyDescent="0.25">
      <c r="B898" s="4">
        <v>30014925</v>
      </c>
      <c r="C898" s="1" t="s">
        <v>1573</v>
      </c>
      <c r="D898" s="4" t="s">
        <v>89</v>
      </c>
      <c r="E898" s="3"/>
      <c r="F898" s="3" t="s">
        <v>69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66</v>
      </c>
      <c r="U898" s="1"/>
      <c r="V898" s="1"/>
      <c r="W898" s="1"/>
      <c r="X898" s="1"/>
      <c r="Y898" s="1"/>
    </row>
    <row r="899" spans="2:25" x14ac:dyDescent="0.25">
      <c r="B899" s="4">
        <v>30015346</v>
      </c>
      <c r="C899" s="1" t="s">
        <v>1337</v>
      </c>
      <c r="D899" s="4" t="s">
        <v>89</v>
      </c>
      <c r="E899" s="3"/>
      <c r="F899" s="3" t="s">
        <v>69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73</v>
      </c>
      <c r="U899" s="1"/>
      <c r="V899" s="1"/>
      <c r="W899" s="1"/>
      <c r="X899" s="1"/>
      <c r="Y899" s="1"/>
    </row>
    <row r="900" spans="2:25" x14ac:dyDescent="0.25">
      <c r="B900" s="4">
        <v>30016730</v>
      </c>
      <c r="C900" s="1" t="s">
        <v>576</v>
      </c>
      <c r="D900" s="4" t="s">
        <v>89</v>
      </c>
      <c r="E900" s="3"/>
      <c r="F900" s="3" t="s">
        <v>69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72</v>
      </c>
      <c r="U900" s="1"/>
      <c r="V900" s="1"/>
      <c r="W900" s="1"/>
      <c r="X900" s="1"/>
      <c r="Y900" s="1"/>
    </row>
    <row r="901" spans="2:25" x14ac:dyDescent="0.25">
      <c r="B901" s="4">
        <v>30016955</v>
      </c>
      <c r="C901" s="1" t="s">
        <v>888</v>
      </c>
      <c r="D901" s="4" t="s">
        <v>89</v>
      </c>
      <c r="E901" s="3" t="s">
        <v>1228</v>
      </c>
      <c r="F901" s="3" t="s">
        <v>105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x14ac:dyDescent="0.25">
      <c r="B902" s="4">
        <v>30017121</v>
      </c>
      <c r="C902" s="1" t="s">
        <v>1148</v>
      </c>
      <c r="D902" s="4" t="s">
        <v>89</v>
      </c>
      <c r="E902" s="3" t="s">
        <v>1228</v>
      </c>
      <c r="F902" s="3" t="s">
        <v>105</v>
      </c>
      <c r="G902" s="4">
        <v>21</v>
      </c>
      <c r="H902" s="4">
        <v>20</v>
      </c>
      <c r="I902" s="4">
        <v>24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66</v>
      </c>
      <c r="U902" s="1"/>
      <c r="V902" s="1"/>
      <c r="W902" s="1"/>
      <c r="X902" s="1"/>
      <c r="Y902" s="1"/>
    </row>
    <row r="903" spans="2:25" x14ac:dyDescent="0.25">
      <c r="B903" s="4">
        <v>30017146</v>
      </c>
      <c r="C903" s="1" t="s">
        <v>1149</v>
      </c>
      <c r="D903" s="4" t="s">
        <v>89</v>
      </c>
      <c r="E903" s="3"/>
      <c r="F903" s="3" t="s">
        <v>105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/>
      <c r="V903" s="1"/>
      <c r="W903" s="1"/>
      <c r="X903" s="1"/>
      <c r="Y903" s="1"/>
    </row>
    <row r="904" spans="2:25" x14ac:dyDescent="0.25">
      <c r="B904" s="4">
        <v>30017155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25">
      <c r="B905" s="4">
        <v>30017156</v>
      </c>
      <c r="C905" s="1" t="s">
        <v>889</v>
      </c>
      <c r="D905" s="4" t="s">
        <v>89</v>
      </c>
      <c r="E905" s="3"/>
      <c r="F905" s="3" t="s">
        <v>105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25">
      <c r="B906" s="4">
        <v>30017165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25">
      <c r="B907" s="4">
        <v>30017166</v>
      </c>
      <c r="C907" s="1" t="s">
        <v>1152</v>
      </c>
      <c r="D907" s="4" t="s">
        <v>89</v>
      </c>
      <c r="E907" s="3"/>
      <c r="F907" s="3" t="s">
        <v>105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25">
      <c r="B908" s="4">
        <v>30017311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30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73</v>
      </c>
      <c r="U908" s="1"/>
      <c r="V908" s="1"/>
      <c r="W908" s="1"/>
      <c r="X908" s="1"/>
      <c r="Y908" s="1"/>
    </row>
    <row r="909" spans="2:25" x14ac:dyDescent="0.25">
      <c r="B909" s="4">
        <v>30017315</v>
      </c>
      <c r="C909" s="1" t="s">
        <v>890</v>
      </c>
      <c r="D909" s="4" t="s">
        <v>89</v>
      </c>
      <c r="E909" s="3"/>
      <c r="F909" s="3" t="s">
        <v>105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x14ac:dyDescent="0.25">
      <c r="B910" s="4">
        <v>30017347</v>
      </c>
      <c r="C910" s="1" t="s">
        <v>1154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/>
      <c r="V910" s="1"/>
      <c r="W910" s="1"/>
      <c r="X910" s="1"/>
      <c r="Y910" s="1"/>
    </row>
    <row r="911" spans="2:25" x14ac:dyDescent="0.25">
      <c r="B911" s="4">
        <v>30017440</v>
      </c>
      <c r="C911" s="1" t="s">
        <v>577</v>
      </c>
      <c r="D911" s="4" t="s">
        <v>89</v>
      </c>
      <c r="E911" s="3"/>
      <c r="F911" s="3" t="s">
        <v>69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25">
      <c r="B912" s="4">
        <v>30017563</v>
      </c>
      <c r="C912" s="1" t="s">
        <v>1155</v>
      </c>
      <c r="D912" s="4" t="s">
        <v>89</v>
      </c>
      <c r="E912" s="3"/>
      <c r="F912" s="3" t="s">
        <v>105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25">
      <c r="B913" s="4">
        <v>30017564</v>
      </c>
      <c r="C913" s="1" t="s">
        <v>850</v>
      </c>
      <c r="D913" s="4" t="s">
        <v>89</v>
      </c>
      <c r="E913" s="3"/>
      <c r="F913" s="3" t="s">
        <v>105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25">
      <c r="B914" s="4">
        <v>30017566</v>
      </c>
      <c r="C914" s="1" t="s">
        <v>891</v>
      </c>
      <c r="D914" s="4" t="s">
        <v>89</v>
      </c>
      <c r="E914" s="3"/>
      <c r="F914" s="3" t="s">
        <v>105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25">
      <c r="B915" s="4">
        <v>30017580</v>
      </c>
      <c r="C915" s="1" t="s">
        <v>1156</v>
      </c>
      <c r="D915" s="4" t="s">
        <v>89</v>
      </c>
      <c r="E915" s="3"/>
      <c r="F915" s="3" t="s">
        <v>105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25">
      <c r="B916" s="4">
        <v>30017646</v>
      </c>
      <c r="C916" s="1" t="s">
        <v>1314</v>
      </c>
      <c r="D916" s="4" t="s">
        <v>89</v>
      </c>
      <c r="E916" s="3"/>
      <c r="F916" s="3" t="s">
        <v>69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25">
      <c r="B917" s="4">
        <v>30017727</v>
      </c>
      <c r="C917" s="1" t="s">
        <v>851</v>
      </c>
      <c r="D917" s="4" t="s">
        <v>89</v>
      </c>
      <c r="E917" s="3"/>
      <c r="F917" s="3" t="s">
        <v>69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73</v>
      </c>
      <c r="U917" s="1"/>
      <c r="V917" s="1"/>
      <c r="W917" s="1"/>
      <c r="X917" s="1"/>
      <c r="Y917" s="1"/>
    </row>
    <row r="918" spans="2:25" x14ac:dyDescent="0.25">
      <c r="B918" s="4">
        <v>30017822</v>
      </c>
      <c r="C918" s="1" t="s">
        <v>1114</v>
      </c>
      <c r="D918" s="4" t="s">
        <v>89</v>
      </c>
      <c r="E918" s="3"/>
      <c r="F918" s="3" t="s">
        <v>69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/>
      <c r="V918" s="1"/>
      <c r="W918" s="1"/>
      <c r="X918" s="1"/>
      <c r="Y918" s="1"/>
    </row>
    <row r="919" spans="2:25" x14ac:dyDescent="0.25">
      <c r="B919" s="4">
        <v>30017887</v>
      </c>
      <c r="C919" s="1" t="s">
        <v>578</v>
      </c>
      <c r="D919" s="4" t="s">
        <v>89</v>
      </c>
      <c r="E919" s="3"/>
      <c r="F919" s="3" t="s">
        <v>69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70</v>
      </c>
      <c r="U919" s="1"/>
      <c r="V919" s="1"/>
      <c r="W919" s="1"/>
      <c r="X919" s="1"/>
      <c r="Y919" s="1"/>
    </row>
    <row r="920" spans="2:25" x14ac:dyDescent="0.25">
      <c r="B920" s="4">
        <v>30018097</v>
      </c>
      <c r="C920" s="1" t="s">
        <v>579</v>
      </c>
      <c r="D920" s="4" t="s">
        <v>89</v>
      </c>
      <c r="E920" s="3"/>
      <c r="F920" s="3" t="s">
        <v>69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66</v>
      </c>
      <c r="U920" s="1"/>
      <c r="V920" s="1"/>
      <c r="W920" s="1"/>
      <c r="X920" s="1"/>
      <c r="Y920" s="1"/>
    </row>
    <row r="921" spans="2:25" x14ac:dyDescent="0.25">
      <c r="B921" s="4">
        <v>30018133</v>
      </c>
      <c r="C921" s="1" t="s">
        <v>1428</v>
      </c>
      <c r="D921" s="4" t="s">
        <v>89</v>
      </c>
      <c r="E921" s="3"/>
      <c r="F921" s="3" t="s">
        <v>69</v>
      </c>
      <c r="G921" s="4">
        <v>10</v>
      </c>
      <c r="H921" s="4">
        <v>10</v>
      </c>
      <c r="I921" s="4">
        <v>10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66</v>
      </c>
      <c r="U921" s="1"/>
      <c r="V921" s="1"/>
      <c r="W921" s="1"/>
      <c r="X921" s="1"/>
      <c r="Y921" s="1"/>
    </row>
    <row r="922" spans="2:25" x14ac:dyDescent="0.25">
      <c r="B922" s="4">
        <v>30018283</v>
      </c>
      <c r="C922" s="1" t="s">
        <v>892</v>
      </c>
      <c r="D922" s="4" t="s">
        <v>89</v>
      </c>
      <c r="E922" s="3"/>
      <c r="F922" s="3" t="s">
        <v>105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25">
      <c r="B923" s="4">
        <v>30018529</v>
      </c>
      <c r="C923" s="1" t="s">
        <v>580</v>
      </c>
      <c r="D923" s="4" t="s">
        <v>89</v>
      </c>
      <c r="E923" s="3"/>
      <c r="F923" s="3" t="s">
        <v>69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73</v>
      </c>
      <c r="U923" s="1"/>
      <c r="V923" s="1"/>
      <c r="W923" s="1"/>
      <c r="X923" s="1"/>
      <c r="Y923" s="1"/>
    </row>
    <row r="924" spans="2:25" x14ac:dyDescent="0.25">
      <c r="B924" s="4">
        <v>30020001</v>
      </c>
      <c r="C924" s="1" t="s">
        <v>581</v>
      </c>
      <c r="D924" s="4" t="s">
        <v>89</v>
      </c>
      <c r="E924" s="3"/>
      <c r="F924" s="3" t="s">
        <v>69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72</v>
      </c>
      <c r="U924" s="1"/>
      <c r="V924" s="1"/>
      <c r="W924" s="1"/>
      <c r="X924" s="1"/>
      <c r="Y924" s="1"/>
    </row>
    <row r="925" spans="2:25" x14ac:dyDescent="0.25">
      <c r="B925" s="4">
        <v>30020217</v>
      </c>
      <c r="C925" s="1" t="s">
        <v>582</v>
      </c>
      <c r="D925" s="4" t="s">
        <v>89</v>
      </c>
      <c r="E925" s="3"/>
      <c r="F925" s="3" t="s">
        <v>69</v>
      </c>
      <c r="G925" s="4">
        <v>2</v>
      </c>
      <c r="H925" s="4">
        <v>2</v>
      </c>
      <c r="I925" s="4">
        <v>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x14ac:dyDescent="0.25">
      <c r="B926" s="4">
        <v>30020483</v>
      </c>
      <c r="C926" s="1" t="s">
        <v>583</v>
      </c>
      <c r="D926" s="4" t="s">
        <v>89</v>
      </c>
      <c r="E926" s="73"/>
      <c r="F926" s="3" t="s">
        <v>69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68</v>
      </c>
      <c r="U926" s="1"/>
      <c r="V926" s="1"/>
      <c r="W926" s="1"/>
      <c r="X926" s="1"/>
      <c r="Y926" s="1"/>
    </row>
    <row r="927" spans="2:25" x14ac:dyDescent="0.25">
      <c r="B927" s="4">
        <v>30020488</v>
      </c>
      <c r="C927" s="1" t="s">
        <v>852</v>
      </c>
      <c r="D927" s="4" t="s">
        <v>89</v>
      </c>
      <c r="E927" s="3"/>
      <c r="F927" s="3" t="s">
        <v>69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25">
      <c r="B928" s="4">
        <v>30020723</v>
      </c>
      <c r="C928" s="1" t="s">
        <v>1315</v>
      </c>
      <c r="D928" s="4" t="s">
        <v>89</v>
      </c>
      <c r="E928" s="3"/>
      <c r="F928" s="3" t="s">
        <v>69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66</v>
      </c>
      <c r="U928" s="1"/>
      <c r="V928" s="1"/>
      <c r="W928" s="1"/>
      <c r="X928" s="1"/>
      <c r="Y928" s="1"/>
    </row>
    <row r="929" spans="2:25" x14ac:dyDescent="0.25">
      <c r="B929" s="4">
        <v>30021141</v>
      </c>
      <c r="C929" s="1" t="s">
        <v>1054</v>
      </c>
      <c r="D929" s="4" t="s">
        <v>89</v>
      </c>
      <c r="E929" s="3"/>
      <c r="F929" s="3" t="s">
        <v>105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74</v>
      </c>
      <c r="U929" s="1"/>
      <c r="V929" s="1"/>
      <c r="W929" s="1"/>
      <c r="X929" s="1"/>
      <c r="Y929" s="1"/>
    </row>
    <row r="930" spans="2:25" x14ac:dyDescent="0.25">
      <c r="B930" s="4">
        <v>30021143</v>
      </c>
      <c r="C930" s="1" t="s">
        <v>1088</v>
      </c>
      <c r="D930" s="4" t="s">
        <v>89</v>
      </c>
      <c r="E930" s="3"/>
      <c r="F930" s="3" t="s">
        <v>105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1363</v>
      </c>
      <c r="Q930" s="22">
        <v>46241</v>
      </c>
      <c r="R930"/>
      <c r="S930" s="11"/>
      <c r="T930" s="4" t="s">
        <v>74</v>
      </c>
      <c r="U930" s="1"/>
      <c r="V930" s="1"/>
      <c r="W930" s="1"/>
      <c r="X930" s="1"/>
      <c r="Y930" s="1"/>
    </row>
    <row r="931" spans="2:25" x14ac:dyDescent="0.25">
      <c r="B931" s="4">
        <v>30021204</v>
      </c>
      <c r="C931" s="1" t="s">
        <v>584</v>
      </c>
      <c r="D931" s="4" t="s">
        <v>89</v>
      </c>
      <c r="E931" s="3"/>
      <c r="F931" s="3" t="s">
        <v>69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73</v>
      </c>
      <c r="U931" s="1"/>
      <c r="V931" s="1"/>
      <c r="W931" s="1"/>
      <c r="X931" s="1"/>
      <c r="Y931" s="1"/>
    </row>
    <row r="932" spans="2:25" x14ac:dyDescent="0.25">
      <c r="B932" s="4">
        <v>30021359</v>
      </c>
      <c r="C932" s="1" t="s">
        <v>893</v>
      </c>
      <c r="D932" s="4" t="s">
        <v>89</v>
      </c>
      <c r="E932" s="3" t="s">
        <v>1228</v>
      </c>
      <c r="F932" s="3" t="s">
        <v>105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x14ac:dyDescent="0.25">
      <c r="B933" s="4">
        <v>30021873</v>
      </c>
      <c r="C933" s="1" t="s">
        <v>1266</v>
      </c>
      <c r="D933" s="4" t="s">
        <v>89</v>
      </c>
      <c r="E933" s="3"/>
      <c r="F933" s="3" t="s">
        <v>69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67</v>
      </c>
      <c r="U933" s="1"/>
      <c r="V933" s="1"/>
      <c r="W933" s="1"/>
      <c r="X933" s="1"/>
      <c r="Y933" s="1"/>
    </row>
    <row r="934" spans="2:25" x14ac:dyDescent="0.25">
      <c r="B934" s="4">
        <v>30022995</v>
      </c>
      <c r="C934" s="1" t="s">
        <v>853</v>
      </c>
      <c r="D934" s="4" t="s">
        <v>89</v>
      </c>
      <c r="E934" s="3"/>
      <c r="F934" s="3" t="s">
        <v>105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/>
      <c r="V934" s="1"/>
      <c r="W934" s="1"/>
      <c r="X934" s="1"/>
      <c r="Y934" s="1"/>
    </row>
    <row r="935" spans="2:25" x14ac:dyDescent="0.25">
      <c r="B935" s="4">
        <v>30023347</v>
      </c>
      <c r="C935" s="1" t="s">
        <v>854</v>
      </c>
      <c r="D935" s="4" t="s">
        <v>89</v>
      </c>
      <c r="E935" s="3" t="s">
        <v>1228</v>
      </c>
      <c r="F935" s="3" t="s">
        <v>105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25">
      <c r="B936" s="4">
        <v>30023355</v>
      </c>
      <c r="C936" s="1" t="s">
        <v>585</v>
      </c>
      <c r="D936" s="4" t="s">
        <v>89</v>
      </c>
      <c r="E936" s="3"/>
      <c r="F936" s="3" t="s">
        <v>69</v>
      </c>
      <c r="G936" s="4">
        <v>20</v>
      </c>
      <c r="H936" s="4">
        <v>6</v>
      </c>
      <c r="I936" s="4">
        <v>29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73</v>
      </c>
      <c r="U936" s="1"/>
      <c r="V936" s="1"/>
      <c r="W936" s="1"/>
      <c r="X936" s="1"/>
      <c r="Y936" s="1"/>
    </row>
    <row r="937" spans="2:25" x14ac:dyDescent="0.25">
      <c r="B937" s="4">
        <v>30023357</v>
      </c>
      <c r="C937" s="1" t="s">
        <v>586</v>
      </c>
      <c r="D937" s="4" t="s">
        <v>89</v>
      </c>
      <c r="E937" s="3"/>
      <c r="F937" s="3" t="s">
        <v>69</v>
      </c>
      <c r="G937" s="4">
        <v>10</v>
      </c>
      <c r="H937" s="4">
        <v>10</v>
      </c>
      <c r="I937" s="4">
        <v>25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/>
      <c r="V937" s="1"/>
      <c r="W937" s="1"/>
      <c r="X937" s="1"/>
      <c r="Y937" s="1"/>
    </row>
    <row r="938" spans="2:25" x14ac:dyDescent="0.25">
      <c r="B938" s="4">
        <v>30023359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4</v>
      </c>
      <c r="I938" s="4">
        <v>14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25">
      <c r="B939" s="4">
        <v>30023360</v>
      </c>
      <c r="C939" s="1" t="s">
        <v>1469</v>
      </c>
      <c r="D939" s="4" t="s">
        <v>89</v>
      </c>
      <c r="E939" s="3"/>
      <c r="F939" s="3" t="s">
        <v>69</v>
      </c>
      <c r="G939" s="4">
        <v>5</v>
      </c>
      <c r="H939" s="4">
        <v>2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25">
      <c r="B940" s="4">
        <v>30023361</v>
      </c>
      <c r="C940" s="1" t="s">
        <v>588</v>
      </c>
      <c r="D940" s="4" t="s">
        <v>89</v>
      </c>
      <c r="E940" s="3"/>
      <c r="F940" s="3" t="s">
        <v>69</v>
      </c>
      <c r="G940" s="4">
        <v>6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25">
      <c r="B941" s="4">
        <v>30023362</v>
      </c>
      <c r="C941" s="1" t="s">
        <v>1470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12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25">
      <c r="B942" s="4">
        <v>30023375</v>
      </c>
      <c r="C942" s="1" t="s">
        <v>589</v>
      </c>
      <c r="D942" s="4" t="s">
        <v>89</v>
      </c>
      <c r="E942" s="3"/>
      <c r="F942" s="3" t="s">
        <v>69</v>
      </c>
      <c r="G942" s="4">
        <v>20</v>
      </c>
      <c r="H942" s="4">
        <v>6</v>
      </c>
      <c r="I942" s="4">
        <v>31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25">
      <c r="B943" s="4">
        <v>30023376</v>
      </c>
      <c r="C943" s="1" t="s">
        <v>590</v>
      </c>
      <c r="D943" s="4" t="s">
        <v>89</v>
      </c>
      <c r="E943" s="3"/>
      <c r="F943" s="3" t="s">
        <v>69</v>
      </c>
      <c r="G943" s="4">
        <v>2</v>
      </c>
      <c r="H943" s="4">
        <v>4</v>
      </c>
      <c r="I943" s="4">
        <v>59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25">
      <c r="B944" s="4">
        <v>30023377</v>
      </c>
      <c r="C944" s="1" t="s">
        <v>591</v>
      </c>
      <c r="D944" s="4" t="s">
        <v>89</v>
      </c>
      <c r="E944" s="3"/>
      <c r="F944" s="3" t="s">
        <v>69</v>
      </c>
      <c r="G944" s="4">
        <v>6</v>
      </c>
      <c r="H944" s="4">
        <v>10</v>
      </c>
      <c r="I944" s="4">
        <v>34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25">
      <c r="B945" s="4">
        <v>30023379</v>
      </c>
      <c r="C945" s="1" t="s">
        <v>592</v>
      </c>
      <c r="D945" s="4" t="s">
        <v>89</v>
      </c>
      <c r="E945" s="3"/>
      <c r="F945" s="3" t="s">
        <v>69</v>
      </c>
      <c r="G945" s="4">
        <v>10</v>
      </c>
      <c r="H945" s="4">
        <v>4</v>
      </c>
      <c r="I945" s="4">
        <v>13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25">
      <c r="B946" s="4">
        <v>30023381</v>
      </c>
      <c r="C946" s="1" t="s">
        <v>1471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12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25">
      <c r="B947" s="4">
        <v>30023382</v>
      </c>
      <c r="C947" s="1" t="s">
        <v>1472</v>
      </c>
      <c r="D947" s="4" t="s">
        <v>89</v>
      </c>
      <c r="E947" s="3"/>
      <c r="F947" s="3" t="s">
        <v>69</v>
      </c>
      <c r="G947" s="4">
        <v>5</v>
      </c>
      <c r="H947" s="4">
        <v>2</v>
      </c>
      <c r="I947" s="4">
        <v>10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25">
      <c r="B948" s="4">
        <v>30023407</v>
      </c>
      <c r="C948" s="1" t="s">
        <v>593</v>
      </c>
      <c r="D948" s="4" t="s">
        <v>89</v>
      </c>
      <c r="E948" s="3"/>
      <c r="F948" s="3" t="s">
        <v>69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66</v>
      </c>
      <c r="U948" s="1"/>
      <c r="V948" s="1"/>
      <c r="W948" s="1"/>
      <c r="X948" s="1"/>
      <c r="Y948" s="1"/>
    </row>
    <row r="949" spans="2:25" x14ac:dyDescent="0.25">
      <c r="B949" s="4">
        <v>30023557</v>
      </c>
      <c r="C949" s="1" t="s">
        <v>594</v>
      </c>
      <c r="D949" s="4" t="s">
        <v>89</v>
      </c>
      <c r="E949" s="3" t="s">
        <v>1228</v>
      </c>
      <c r="F949" s="3" t="s">
        <v>105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/>
      <c r="V949" s="1"/>
      <c r="W949" s="1"/>
      <c r="X949" s="1"/>
      <c r="Y949" s="1"/>
    </row>
    <row r="950" spans="2:25" x14ac:dyDescent="0.25">
      <c r="B950" s="4">
        <v>30023656</v>
      </c>
      <c r="C950" s="1" t="s">
        <v>595</v>
      </c>
      <c r="D950" s="4" t="s">
        <v>89</v>
      </c>
      <c r="E950" s="3"/>
      <c r="F950" s="3" t="s">
        <v>69</v>
      </c>
      <c r="G950" s="4">
        <v>10</v>
      </c>
      <c r="H950" s="4">
        <v>20</v>
      </c>
      <c r="I950" s="4">
        <v>21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68</v>
      </c>
      <c r="U950" s="1"/>
      <c r="V950" s="1"/>
      <c r="W950" s="1"/>
      <c r="X950" s="1"/>
      <c r="Y950" s="1"/>
    </row>
    <row r="951" spans="2:25" x14ac:dyDescent="0.25">
      <c r="B951" s="4">
        <v>30023784</v>
      </c>
      <c r="C951" s="1" t="s">
        <v>596</v>
      </c>
      <c r="D951" s="4" t="s">
        <v>89</v>
      </c>
      <c r="E951" s="3"/>
      <c r="F951" s="3" t="s">
        <v>69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x14ac:dyDescent="0.25">
      <c r="B952" s="4">
        <v>30023839</v>
      </c>
      <c r="C952" s="1" t="s">
        <v>597</v>
      </c>
      <c r="D952" s="4" t="s">
        <v>89</v>
      </c>
      <c r="E952" s="3"/>
      <c r="F952" s="3" t="s">
        <v>69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1562</v>
      </c>
      <c r="Q952" s="22">
        <v>46142</v>
      </c>
      <c r="R952"/>
      <c r="S952" s="11"/>
      <c r="T952" s="4" t="s">
        <v>73</v>
      </c>
      <c r="U952" s="1"/>
      <c r="V952" s="1"/>
      <c r="W952" s="1"/>
      <c r="X952" s="1"/>
      <c r="Y952" s="1"/>
    </row>
    <row r="953" spans="2:25" x14ac:dyDescent="0.25">
      <c r="B953" s="4">
        <v>30023840</v>
      </c>
      <c r="C953" s="1" t="s">
        <v>598</v>
      </c>
      <c r="D953" s="4" t="s">
        <v>89</v>
      </c>
      <c r="E953" s="3"/>
      <c r="F953" s="3" t="s">
        <v>69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/>
      <c r="V953" s="1"/>
      <c r="W953" s="1"/>
      <c r="X953" s="1"/>
      <c r="Y953" s="1"/>
    </row>
    <row r="954" spans="2:25" x14ac:dyDescent="0.25">
      <c r="B954" s="4">
        <v>30023907</v>
      </c>
      <c r="C954" s="1" t="s">
        <v>599</v>
      </c>
      <c r="D954" s="4" t="s">
        <v>89</v>
      </c>
      <c r="E954" s="3"/>
      <c r="F954" s="3" t="s">
        <v>105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66</v>
      </c>
      <c r="U954" s="1"/>
      <c r="V954" s="1"/>
      <c r="W954" s="1"/>
      <c r="X954" s="1"/>
      <c r="Y954" s="1"/>
    </row>
    <row r="955" spans="2:25" x14ac:dyDescent="0.25">
      <c r="B955" s="4">
        <v>30023956</v>
      </c>
      <c r="C955" s="1" t="s">
        <v>1157</v>
      </c>
      <c r="D955" s="4" t="s">
        <v>89</v>
      </c>
      <c r="E955" s="3" t="s">
        <v>1228</v>
      </c>
      <c r="F955" s="3" t="s">
        <v>105</v>
      </c>
      <c r="G955" s="4">
        <v>2</v>
      </c>
      <c r="H955" s="4">
        <v>1</v>
      </c>
      <c r="I955" s="4">
        <v>1</v>
      </c>
      <c r="J955" s="4" t="s">
        <v>8</v>
      </c>
      <c r="K955" s="4" t="s">
        <v>9</v>
      </c>
      <c r="L955" s="11"/>
      <c r="M955" s="3"/>
      <c r="N955">
        <v>4502678714</v>
      </c>
      <c r="O955" s="4">
        <v>1</v>
      </c>
      <c r="P955" s="1" t="s">
        <v>1567</v>
      </c>
      <c r="Q955" s="22">
        <v>46204</v>
      </c>
      <c r="R955"/>
      <c r="S955" s="11" t="s">
        <v>1636</v>
      </c>
      <c r="T955" s="4" t="s">
        <v>74</v>
      </c>
      <c r="U955" s="1"/>
      <c r="V955" s="1"/>
      <c r="W955" s="1"/>
      <c r="X955" s="1"/>
      <c r="Y955" s="1"/>
    </row>
    <row r="956" spans="2:25" x14ac:dyDescent="0.25">
      <c r="B956" s="4">
        <v>30023958</v>
      </c>
      <c r="C956" s="1" t="s">
        <v>1158</v>
      </c>
      <c r="D956" s="4" t="s">
        <v>89</v>
      </c>
      <c r="E956" s="3" t="s">
        <v>1228</v>
      </c>
      <c r="F956" s="3" t="s">
        <v>105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74</v>
      </c>
      <c r="U956" s="1"/>
      <c r="V956" s="1"/>
      <c r="W956" s="1"/>
      <c r="X956" s="1"/>
      <c r="Y956" s="1"/>
    </row>
    <row r="957" spans="2:25" x14ac:dyDescent="0.25">
      <c r="B957" s="4">
        <v>30023959</v>
      </c>
      <c r="C957" s="1" t="s">
        <v>1159</v>
      </c>
      <c r="D957" s="4" t="s">
        <v>89</v>
      </c>
      <c r="E957" s="3" t="s">
        <v>1228</v>
      </c>
      <c r="F957" s="3" t="s">
        <v>105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25">
      <c r="B958" s="4">
        <v>30023962</v>
      </c>
      <c r="C958" s="1" t="s">
        <v>1160</v>
      </c>
      <c r="D958" s="4" t="s">
        <v>89</v>
      </c>
      <c r="E958" s="3"/>
      <c r="F958" s="3" t="s">
        <v>105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25">
      <c r="B959" s="4">
        <v>30023963</v>
      </c>
      <c r="C959" s="1" t="s">
        <v>1161</v>
      </c>
      <c r="D959" s="4" t="s">
        <v>89</v>
      </c>
      <c r="E959" s="3" t="s">
        <v>1228</v>
      </c>
      <c r="F959" s="3" t="s">
        <v>105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25">
      <c r="B960" s="4">
        <v>30023965</v>
      </c>
      <c r="C960" s="1" t="s">
        <v>1162</v>
      </c>
      <c r="D960" s="4" t="s">
        <v>89</v>
      </c>
      <c r="E960" s="3" t="s">
        <v>1228</v>
      </c>
      <c r="F960" s="3" t="s">
        <v>105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25">
      <c r="B961" s="4">
        <v>30024092</v>
      </c>
      <c r="C961" s="1" t="s">
        <v>1364</v>
      </c>
      <c r="D961" s="4" t="s">
        <v>89</v>
      </c>
      <c r="E961" s="3"/>
      <c r="F961" s="3" t="s">
        <v>69</v>
      </c>
      <c r="G961" s="4">
        <v>33</v>
      </c>
      <c r="H961" s="4">
        <v>54</v>
      </c>
      <c r="I961" s="4">
        <v>164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71</v>
      </c>
      <c r="U961" s="1"/>
      <c r="V961" s="1"/>
      <c r="W961" s="1"/>
      <c r="X961" s="1"/>
      <c r="Y961" s="1"/>
    </row>
    <row r="962" spans="2:25" x14ac:dyDescent="0.25">
      <c r="B962" s="4">
        <v>30024775</v>
      </c>
      <c r="C962" s="1" t="s">
        <v>894</v>
      </c>
      <c r="D962" s="4" t="s">
        <v>89</v>
      </c>
      <c r="E962" s="3"/>
      <c r="F962" s="3" t="s">
        <v>105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66</v>
      </c>
      <c r="U962" s="1"/>
      <c r="V962" s="1"/>
      <c r="W962" s="1"/>
      <c r="X962" s="1"/>
      <c r="Y962" s="1"/>
    </row>
    <row r="963" spans="2:25" x14ac:dyDescent="0.25">
      <c r="B963" s="4">
        <v>30024776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/>
      <c r="V963" s="1"/>
      <c r="W963" s="1"/>
      <c r="X963" s="1"/>
      <c r="Y963" s="1"/>
    </row>
    <row r="964" spans="2:25" x14ac:dyDescent="0.25">
      <c r="B964" s="4">
        <v>30024780</v>
      </c>
      <c r="C964" s="1" t="s">
        <v>855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/>
      <c r="V964" s="1"/>
      <c r="W964" s="1"/>
      <c r="X964" s="1"/>
      <c r="Y964" s="1"/>
    </row>
    <row r="965" spans="2:25" x14ac:dyDescent="0.25">
      <c r="B965" s="4">
        <v>30024781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x14ac:dyDescent="0.25">
      <c r="B966" s="4">
        <v>30024782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x14ac:dyDescent="0.25">
      <c r="B967" s="4">
        <v>30024783</v>
      </c>
      <c r="C967" s="1" t="s">
        <v>600</v>
      </c>
      <c r="D967" s="4" t="s">
        <v>89</v>
      </c>
      <c r="E967" s="3"/>
      <c r="F967" s="3" t="s">
        <v>69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x14ac:dyDescent="0.25">
      <c r="B968" s="4">
        <v>30024784</v>
      </c>
      <c r="C968" s="1" t="s">
        <v>1163</v>
      </c>
      <c r="D968" s="4" t="s">
        <v>89</v>
      </c>
      <c r="E968" s="3"/>
      <c r="F968" s="3" t="s">
        <v>105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/>
      <c r="V968" s="1"/>
      <c r="W968" s="1"/>
      <c r="X968" s="1"/>
      <c r="Y968" s="1"/>
    </row>
    <row r="969" spans="2:25" x14ac:dyDescent="0.25">
      <c r="B969" s="4">
        <v>30024785</v>
      </c>
      <c r="C969" s="1" t="s">
        <v>897</v>
      </c>
      <c r="D969" s="4" t="s">
        <v>89</v>
      </c>
      <c r="E969" s="3"/>
      <c r="F969" s="3" t="s">
        <v>105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25">
      <c r="B970" s="4">
        <v>30024786</v>
      </c>
      <c r="C970" s="1" t="s">
        <v>898</v>
      </c>
      <c r="D970" s="4" t="s">
        <v>89</v>
      </c>
      <c r="E970" s="3" t="s">
        <v>1228</v>
      </c>
      <c r="F970" s="3" t="s">
        <v>105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25">
      <c r="B971" s="4">
        <v>30024787</v>
      </c>
      <c r="C971" s="1" t="s">
        <v>899</v>
      </c>
      <c r="D971" s="4" t="s">
        <v>89</v>
      </c>
      <c r="E971" s="3" t="s">
        <v>1228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25">
      <c r="B972" s="4">
        <v>30024790</v>
      </c>
      <c r="C972" s="1" t="s">
        <v>857</v>
      </c>
      <c r="D972" s="4" t="s">
        <v>89</v>
      </c>
      <c r="E972" s="3" t="s">
        <v>1228</v>
      </c>
      <c r="F972" s="3" t="s">
        <v>105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25">
      <c r="B973" s="4">
        <v>30024791</v>
      </c>
      <c r="C973" s="1" t="s">
        <v>900</v>
      </c>
      <c r="D973" s="4" t="s">
        <v>89</v>
      </c>
      <c r="E973" s="3"/>
      <c r="F973" s="3" t="s">
        <v>105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25">
      <c r="B974" s="4">
        <v>30024792</v>
      </c>
      <c r="C974" s="1" t="s">
        <v>858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/>
      <c r="V974" s="1"/>
      <c r="W974" s="1"/>
      <c r="X974" s="1"/>
      <c r="Y974" s="1"/>
    </row>
    <row r="975" spans="2:25" x14ac:dyDescent="0.25">
      <c r="B975" s="4">
        <v>30024794</v>
      </c>
      <c r="C975" s="1" t="s">
        <v>1164</v>
      </c>
      <c r="D975" s="4" t="s">
        <v>89</v>
      </c>
      <c r="E975" s="3" t="s">
        <v>1228</v>
      </c>
      <c r="F975" s="3" t="s">
        <v>105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x14ac:dyDescent="0.25">
      <c r="B976" s="4">
        <v>30024795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0</v>
      </c>
      <c r="J976" s="4" t="s">
        <v>8</v>
      </c>
      <c r="K976" s="4" t="s">
        <v>13</v>
      </c>
      <c r="L976" s="11"/>
      <c r="M976" s="3"/>
      <c r="N976">
        <v>4502676839</v>
      </c>
      <c r="O976" s="4">
        <v>9</v>
      </c>
      <c r="P976" s="1" t="s">
        <v>1589</v>
      </c>
      <c r="Q976" s="22">
        <v>46164</v>
      </c>
      <c r="R976"/>
      <c r="S976" s="11" t="s">
        <v>1638</v>
      </c>
      <c r="T976" s="4" t="s">
        <v>66</v>
      </c>
      <c r="U976" s="1"/>
      <c r="V976" s="1"/>
      <c r="W976" s="1"/>
      <c r="X976" s="1"/>
      <c r="Y976" s="1"/>
    </row>
    <row r="977" spans="2:25" x14ac:dyDescent="0.25">
      <c r="B977" s="4">
        <v>30024796</v>
      </c>
      <c r="C977" s="1" t="s">
        <v>1064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25">
      <c r="B978" s="4">
        <v>30024855</v>
      </c>
      <c r="C978" s="1" t="s">
        <v>901</v>
      </c>
      <c r="D978" s="4" t="s">
        <v>89</v>
      </c>
      <c r="E978" s="3" t="s">
        <v>1228</v>
      </c>
      <c r="F978" s="3" t="s">
        <v>105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/>
      <c r="V978" s="1"/>
      <c r="W978" s="1"/>
      <c r="X978" s="1"/>
      <c r="Y978" s="1"/>
    </row>
    <row r="979" spans="2:25" x14ac:dyDescent="0.25">
      <c r="B979" s="4">
        <v>30024865</v>
      </c>
      <c r="C979" s="1" t="s">
        <v>902</v>
      </c>
      <c r="D979" s="4" t="s">
        <v>89</v>
      </c>
      <c r="E979" s="3" t="s">
        <v>1228</v>
      </c>
      <c r="F979" s="3" t="s">
        <v>105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74</v>
      </c>
      <c r="U979" s="1"/>
      <c r="V979" s="1"/>
      <c r="W979" s="1"/>
      <c r="X979" s="1"/>
      <c r="Y979" s="1"/>
    </row>
    <row r="980" spans="2:25" x14ac:dyDescent="0.25">
      <c r="B980" s="4">
        <v>30024867</v>
      </c>
      <c r="C980" s="1" t="s">
        <v>601</v>
      </c>
      <c r="D980" s="4" t="s">
        <v>89</v>
      </c>
      <c r="E980" s="3"/>
      <c r="F980" s="3" t="s">
        <v>69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70</v>
      </c>
      <c r="U980" s="1"/>
      <c r="V980" s="1"/>
      <c r="W980" s="1"/>
      <c r="X980" s="1"/>
      <c r="Y980" s="1"/>
    </row>
    <row r="981" spans="2:25" x14ac:dyDescent="0.25">
      <c r="B981" s="4">
        <v>30024868</v>
      </c>
      <c r="C981" s="1" t="s">
        <v>903</v>
      </c>
      <c r="D981" s="4" t="s">
        <v>89</v>
      </c>
      <c r="E981" s="3"/>
      <c r="F981" s="3" t="s">
        <v>105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x14ac:dyDescent="0.25">
      <c r="B982" s="4">
        <v>30024869</v>
      </c>
      <c r="C982" s="1" t="s">
        <v>860</v>
      </c>
      <c r="D982" s="4" t="s">
        <v>89</v>
      </c>
      <c r="E982" s="3"/>
      <c r="F982" s="3" t="s">
        <v>105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/>
      <c r="V982" s="1"/>
      <c r="W982" s="1"/>
      <c r="X982" s="1"/>
      <c r="Y982" s="1"/>
    </row>
    <row r="983" spans="2:25" x14ac:dyDescent="0.25">
      <c r="B983" s="4">
        <v>30024870</v>
      </c>
      <c r="C983" s="1" t="s">
        <v>904</v>
      </c>
      <c r="D983" s="4" t="s">
        <v>89</v>
      </c>
      <c r="E983" s="3"/>
      <c r="F983" s="3" t="s">
        <v>105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25">
      <c r="B984" s="4">
        <v>30024881</v>
      </c>
      <c r="C984" s="1" t="s">
        <v>602</v>
      </c>
      <c r="D984" s="4" t="s">
        <v>89</v>
      </c>
      <c r="E984" s="3"/>
      <c r="F984" s="3" t="s">
        <v>69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1651</v>
      </c>
      <c r="Q984" s="22">
        <v>46209</v>
      </c>
      <c r="R984"/>
      <c r="S984" s="11"/>
      <c r="T984" s="4" t="s">
        <v>66</v>
      </c>
      <c r="U984" s="1"/>
      <c r="V984" s="1"/>
      <c r="W984" s="1"/>
      <c r="X984" s="1"/>
      <c r="Y984" s="1"/>
    </row>
    <row r="985" spans="2:25" x14ac:dyDescent="0.25">
      <c r="B985" s="4">
        <v>30024886</v>
      </c>
      <c r="C985" s="1" t="s">
        <v>603</v>
      </c>
      <c r="D985" s="4" t="s">
        <v>89</v>
      </c>
      <c r="E985" s="3"/>
      <c r="F985" s="3" t="s">
        <v>69</v>
      </c>
      <c r="G985" s="4">
        <v>8</v>
      </c>
      <c r="H985" s="4">
        <v>8</v>
      </c>
      <c r="I985" s="4">
        <v>7</v>
      </c>
      <c r="J985" s="4" t="s">
        <v>8</v>
      </c>
      <c r="K985" s="4" t="s">
        <v>9</v>
      </c>
      <c r="L985" s="11" t="s">
        <v>1664</v>
      </c>
      <c r="M985" s="3">
        <v>8</v>
      </c>
      <c r="N985"/>
      <c r="O985" s="4"/>
      <c r="P985" s="1"/>
      <c r="Q985" s="22"/>
      <c r="R985"/>
      <c r="S985" s="11"/>
      <c r="T985" s="4" t="s">
        <v>66</v>
      </c>
      <c r="U985" s="1"/>
      <c r="V985" s="1"/>
      <c r="W985" s="1"/>
      <c r="X985" s="1"/>
      <c r="Y985" s="1"/>
    </row>
    <row r="986" spans="2:25" x14ac:dyDescent="0.25">
      <c r="B986" s="4">
        <v>30024895</v>
      </c>
      <c r="C986" s="1" t="s">
        <v>604</v>
      </c>
      <c r="D986" s="4" t="s">
        <v>89</v>
      </c>
      <c r="E986" s="3"/>
      <c r="F986" s="3" t="s">
        <v>69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x14ac:dyDescent="0.25">
      <c r="B987" s="4">
        <v>30024898</v>
      </c>
      <c r="C987" s="1" t="s">
        <v>1055</v>
      </c>
      <c r="D987" s="4" t="s">
        <v>89</v>
      </c>
      <c r="E987" s="3"/>
      <c r="F987" s="3" t="s">
        <v>105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74</v>
      </c>
      <c r="U987" s="1"/>
      <c r="V987" s="1"/>
      <c r="W987" s="1"/>
      <c r="X987" s="1"/>
      <c r="Y987" s="1"/>
    </row>
    <row r="988" spans="2:25" x14ac:dyDescent="0.25">
      <c r="B988" s="4">
        <v>30024995</v>
      </c>
      <c r="C988" s="1" t="s">
        <v>1352</v>
      </c>
      <c r="D988" s="4" t="s">
        <v>89</v>
      </c>
      <c r="E988" s="3"/>
      <c r="F988" s="3" t="s">
        <v>69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/>
      <c r="V988" s="1"/>
      <c r="W988" s="1"/>
      <c r="X988" s="1"/>
      <c r="Y988" s="1"/>
    </row>
    <row r="989" spans="2:25" x14ac:dyDescent="0.25">
      <c r="B989" s="4">
        <v>30025328</v>
      </c>
      <c r="C989" s="1" t="s">
        <v>605</v>
      </c>
      <c r="D989" s="4" t="s">
        <v>89</v>
      </c>
      <c r="E989" s="3"/>
      <c r="F989" s="3" t="s">
        <v>69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67</v>
      </c>
      <c r="U989" s="1"/>
      <c r="V989" s="1"/>
      <c r="W989" s="1"/>
      <c r="X989" s="1"/>
      <c r="Y989" s="1"/>
    </row>
    <row r="990" spans="2:25" x14ac:dyDescent="0.25">
      <c r="B990" s="4">
        <v>30026143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25">
      <c r="B991" s="4">
        <v>30026243</v>
      </c>
      <c r="C991" s="1" t="s">
        <v>607</v>
      </c>
      <c r="D991" s="4" t="s">
        <v>89</v>
      </c>
      <c r="E991" s="3"/>
      <c r="F991" s="3" t="s">
        <v>69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/>
      <c r="V991" s="1"/>
      <c r="W991" s="1"/>
      <c r="X991" s="1"/>
      <c r="Y991" s="1"/>
    </row>
    <row r="992" spans="2:25" x14ac:dyDescent="0.25">
      <c r="B992" s="4">
        <v>30026273</v>
      </c>
      <c r="C992" s="1" t="s">
        <v>608</v>
      </c>
      <c r="D992" s="4" t="s">
        <v>89</v>
      </c>
      <c r="E992" s="3"/>
      <c r="F992" s="3" t="s">
        <v>69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67</v>
      </c>
      <c r="U992" s="1"/>
      <c r="V992" s="1"/>
      <c r="W992" s="1"/>
      <c r="X992" s="1"/>
      <c r="Y992" s="1"/>
    </row>
    <row r="993" spans="2:25" x14ac:dyDescent="0.25">
      <c r="B993" s="4">
        <v>30026837</v>
      </c>
      <c r="C993" s="1" t="s">
        <v>1292</v>
      </c>
      <c r="D993" s="4" t="s">
        <v>89</v>
      </c>
      <c r="E993" s="3"/>
      <c r="F993" s="3" t="s">
        <v>69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66</v>
      </c>
      <c r="U993" s="1"/>
      <c r="V993" s="1"/>
      <c r="W993" s="1"/>
      <c r="X993" s="1"/>
      <c r="Y993" s="1"/>
    </row>
    <row r="994" spans="2:25" x14ac:dyDescent="0.25">
      <c r="B994" s="4">
        <v>30026908</v>
      </c>
      <c r="C994" s="1" t="s">
        <v>609</v>
      </c>
      <c r="D994" s="4" t="s">
        <v>89</v>
      </c>
      <c r="E994" s="3"/>
      <c r="F994" s="3" t="s">
        <v>69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70</v>
      </c>
      <c r="U994" s="1"/>
      <c r="V994" s="1"/>
      <c r="W994" s="1"/>
      <c r="X994" s="1"/>
      <c r="Y994" s="1"/>
    </row>
    <row r="995" spans="2:25" x14ac:dyDescent="0.25">
      <c r="B995" s="4">
        <v>30027269</v>
      </c>
      <c r="C995" s="1" t="s">
        <v>610</v>
      </c>
      <c r="D995" s="4" t="s">
        <v>89</v>
      </c>
      <c r="E995" s="3"/>
      <c r="F995" s="3" t="s">
        <v>69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 t="s">
        <v>1661</v>
      </c>
      <c r="M995" s="3">
        <v>3</v>
      </c>
      <c r="N995"/>
      <c r="O995" s="4"/>
      <c r="P995" s="1"/>
      <c r="Q995" s="22"/>
      <c r="R995"/>
      <c r="S995" s="11"/>
      <c r="T995" s="4" t="s">
        <v>73</v>
      </c>
      <c r="U995" s="1"/>
      <c r="V995" s="1"/>
      <c r="W995" s="1"/>
      <c r="X995" s="1"/>
      <c r="Y995" s="1"/>
    </row>
    <row r="996" spans="2:25" x14ac:dyDescent="0.25">
      <c r="B996" s="4">
        <v>30027382</v>
      </c>
      <c r="C996" s="1" t="s">
        <v>611</v>
      </c>
      <c r="D996" s="4" t="s">
        <v>89</v>
      </c>
      <c r="E996" s="3"/>
      <c r="F996" s="3" t="s">
        <v>69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73</v>
      </c>
      <c r="U996" s="1"/>
      <c r="V996" s="1"/>
      <c r="W996" s="1"/>
      <c r="X996" s="1"/>
      <c r="Y996" s="1"/>
    </row>
    <row r="997" spans="2:25" x14ac:dyDescent="0.25">
      <c r="B997" s="4">
        <v>30027556</v>
      </c>
      <c r="C997" s="1" t="s">
        <v>1583</v>
      </c>
      <c r="D997" s="4" t="s">
        <v>89</v>
      </c>
      <c r="E997" s="3"/>
      <c r="F997" s="3" t="s">
        <v>69</v>
      </c>
      <c r="G997" s="4">
        <v>50</v>
      </c>
      <c r="H997" s="4">
        <v>100</v>
      </c>
      <c r="I997" s="4">
        <v>100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25">
      <c r="B998" s="4">
        <v>30028040</v>
      </c>
      <c r="C998" s="1" t="s">
        <v>1490</v>
      </c>
      <c r="D998" s="4" t="s">
        <v>89</v>
      </c>
      <c r="E998" s="3"/>
      <c r="F998" s="3" t="s">
        <v>69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25">
      <c r="B999" s="4">
        <v>30028518</v>
      </c>
      <c r="C999" s="1" t="s">
        <v>1373</v>
      </c>
      <c r="D999" s="4" t="s">
        <v>89</v>
      </c>
      <c r="E999" s="3"/>
      <c r="F999" s="3" t="s">
        <v>69</v>
      </c>
      <c r="G999" s="4">
        <v>4</v>
      </c>
      <c r="H999" s="4">
        <v>4</v>
      </c>
      <c r="I999" s="4">
        <v>5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66</v>
      </c>
      <c r="U999" s="1"/>
      <c r="V999" s="1"/>
      <c r="W999" s="1"/>
      <c r="X999" s="1"/>
      <c r="Y999" s="1"/>
    </row>
    <row r="1000" spans="2:25" x14ac:dyDescent="0.25">
      <c r="B1000" s="4">
        <v>30028519</v>
      </c>
      <c r="C1000" s="1" t="s">
        <v>612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0</v>
      </c>
      <c r="J1000" s="4" t="s">
        <v>8</v>
      </c>
      <c r="K1000" s="4" t="s">
        <v>13</v>
      </c>
      <c r="L1000" s="11"/>
      <c r="M1000" s="3"/>
      <c r="N1000">
        <v>4502663686</v>
      </c>
      <c r="O1000" s="4">
        <v>4</v>
      </c>
      <c r="P1000" s="1" t="s">
        <v>22</v>
      </c>
      <c r="Q1000" s="22">
        <v>46145</v>
      </c>
      <c r="R1000"/>
      <c r="S1000" s="11"/>
      <c r="T1000" s="4" t="s">
        <v>70</v>
      </c>
      <c r="U1000" s="1"/>
      <c r="V1000" s="1"/>
      <c r="W1000" s="1"/>
      <c r="X1000" s="1"/>
      <c r="Y1000" s="1"/>
    </row>
    <row r="1001" spans="2:25" x14ac:dyDescent="0.25">
      <c r="B1001" s="4">
        <v>30028581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1633</v>
      </c>
      <c r="M1001" s="3"/>
      <c r="N1001"/>
      <c r="O1001" s="4"/>
      <c r="P1001" s="1"/>
      <c r="Q1001" s="22"/>
      <c r="R1001"/>
      <c r="S1001" s="11" t="s">
        <v>1630</v>
      </c>
      <c r="T1001" s="4" t="s">
        <v>73</v>
      </c>
      <c r="U1001" s="1"/>
      <c r="V1001" s="1"/>
      <c r="W1001" s="1"/>
      <c r="X1001" s="1"/>
      <c r="Y1001" s="1"/>
    </row>
    <row r="1002" spans="2:25" x14ac:dyDescent="0.25">
      <c r="B1002" s="4">
        <v>30029182</v>
      </c>
      <c r="C1002" s="1" t="s">
        <v>1353</v>
      </c>
      <c r="D1002" s="4" t="s">
        <v>89</v>
      </c>
      <c r="E1002" s="3"/>
      <c r="F1002" s="3" t="s">
        <v>69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/>
      <c r="V1002" s="1"/>
      <c r="W1002" s="1"/>
      <c r="X1002" s="1"/>
      <c r="Y1002" s="1"/>
    </row>
    <row r="1003" spans="2:25" x14ac:dyDescent="0.25">
      <c r="B1003" s="4">
        <v>30029241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25">
      <c r="B1004" s="4">
        <v>30029403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25">
      <c r="B1005" s="4">
        <v>30029699</v>
      </c>
      <c r="C1005" s="1" t="s">
        <v>1165</v>
      </c>
      <c r="D1005" s="4" t="s">
        <v>89</v>
      </c>
      <c r="E1005" s="3"/>
      <c r="F1005" s="3" t="s">
        <v>105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/>
      <c r="V1005" s="1"/>
      <c r="W1005" s="1"/>
      <c r="X1005" s="1"/>
      <c r="Y1005" s="1"/>
    </row>
    <row r="1006" spans="2:25" x14ac:dyDescent="0.25">
      <c r="B1006" s="4">
        <v>30029757</v>
      </c>
      <c r="C1006" s="1" t="s">
        <v>1166</v>
      </c>
      <c r="D1006" s="4" t="s">
        <v>89</v>
      </c>
      <c r="E1006" s="3" t="s">
        <v>1228</v>
      </c>
      <c r="F1006" s="3" t="s">
        <v>105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67</v>
      </c>
      <c r="U1006" s="1"/>
      <c r="V1006" s="1"/>
      <c r="W1006" s="1"/>
      <c r="X1006" s="1"/>
      <c r="Y1006" s="1"/>
    </row>
    <row r="1007" spans="2:25" x14ac:dyDescent="0.25">
      <c r="B1007" s="4">
        <v>30029870</v>
      </c>
      <c r="C1007" s="1" t="s">
        <v>616</v>
      </c>
      <c r="D1007" s="4" t="s">
        <v>89</v>
      </c>
      <c r="E1007" s="3"/>
      <c r="F1007" s="3" t="s">
        <v>69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25">
      <c r="B1008" s="4">
        <v>30029871</v>
      </c>
      <c r="C1008" s="1" t="s">
        <v>617</v>
      </c>
      <c r="D1008" s="4" t="s">
        <v>89</v>
      </c>
      <c r="E1008" s="3"/>
      <c r="F1008" s="3" t="s">
        <v>69</v>
      </c>
      <c r="G1008" s="4">
        <v>6</v>
      </c>
      <c r="H1008" s="4">
        <v>10</v>
      </c>
      <c r="I1008" s="4">
        <v>13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66</v>
      </c>
      <c r="U1008" s="1"/>
      <c r="V1008" s="1"/>
      <c r="W1008" s="1"/>
      <c r="X1008" s="1"/>
      <c r="Y1008" s="1"/>
    </row>
    <row r="1009" spans="2:25" x14ac:dyDescent="0.25">
      <c r="B1009" s="4">
        <v>30029906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73</v>
      </c>
      <c r="U1009" s="1"/>
      <c r="V1009" s="1"/>
      <c r="W1009" s="1"/>
      <c r="X1009" s="1"/>
      <c r="Y1009" s="1"/>
    </row>
    <row r="1010" spans="2:25" x14ac:dyDescent="0.25">
      <c r="B1010" s="4">
        <v>30029934</v>
      </c>
      <c r="C1010" s="1" t="s">
        <v>1167</v>
      </c>
      <c r="D1010" s="4" t="s">
        <v>89</v>
      </c>
      <c r="E1010" s="3" t="s">
        <v>1228</v>
      </c>
      <c r="F1010" s="3" t="s">
        <v>105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70</v>
      </c>
      <c r="U1010" s="1"/>
      <c r="V1010" s="1"/>
      <c r="W1010" s="1"/>
      <c r="X1010" s="1"/>
      <c r="Y1010" s="1"/>
    </row>
    <row r="1011" spans="2:25" x14ac:dyDescent="0.25">
      <c r="B1011" s="4">
        <v>30029941</v>
      </c>
      <c r="C1011" s="1" t="s">
        <v>619</v>
      </c>
      <c r="D1011" s="4" t="s">
        <v>89</v>
      </c>
      <c r="E1011" s="3"/>
      <c r="F1011" s="3" t="s">
        <v>69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4502662462</v>
      </c>
      <c r="O1011" s="4">
        <v>50</v>
      </c>
      <c r="P1011" s="1" t="s">
        <v>1584</v>
      </c>
      <c r="Q1011" s="22">
        <v>46258</v>
      </c>
      <c r="R1011"/>
      <c r="S1011" s="11"/>
      <c r="T1011" s="4" t="s">
        <v>66</v>
      </c>
      <c r="U1011" s="1"/>
      <c r="V1011" s="1"/>
      <c r="W1011" s="1"/>
      <c r="X1011" s="1"/>
      <c r="Y1011" s="1"/>
    </row>
    <row r="1012" spans="2:25" x14ac:dyDescent="0.25">
      <c r="B1012" s="4">
        <v>30030170</v>
      </c>
      <c r="C1012" s="1" t="s">
        <v>620</v>
      </c>
      <c r="D1012" s="4" t="s">
        <v>89</v>
      </c>
      <c r="E1012" s="3"/>
      <c r="F1012" s="3" t="s">
        <v>69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1430</v>
      </c>
      <c r="Q1012" s="22">
        <v>46196</v>
      </c>
      <c r="R1012"/>
      <c r="S1012" s="11" t="s">
        <v>1616</v>
      </c>
      <c r="T1012" s="4" t="s">
        <v>67</v>
      </c>
      <c r="U1012" s="1"/>
      <c r="V1012" s="1"/>
      <c r="W1012" s="1"/>
      <c r="X1012" s="1"/>
      <c r="Y1012" s="1"/>
    </row>
    <row r="1013" spans="2:25" x14ac:dyDescent="0.25">
      <c r="B1013" s="4">
        <v>30030171</v>
      </c>
      <c r="C1013" s="1" t="s">
        <v>1403</v>
      </c>
      <c r="D1013" s="4" t="s">
        <v>89</v>
      </c>
      <c r="E1013" s="3"/>
      <c r="F1013" s="3" t="s">
        <v>105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1652</v>
      </c>
      <c r="Q1013" s="22">
        <v>46212</v>
      </c>
      <c r="R1013"/>
      <c r="S1013" s="11" t="s">
        <v>1640</v>
      </c>
      <c r="T1013" s="4" t="s">
        <v>73</v>
      </c>
      <c r="U1013" s="1"/>
      <c r="V1013" s="1"/>
      <c r="W1013" s="1"/>
      <c r="X1013" s="1"/>
      <c r="Y1013" s="1"/>
    </row>
    <row r="1014" spans="2:25" x14ac:dyDescent="0.25">
      <c r="B1014" s="4">
        <v>30030284</v>
      </c>
      <c r="C1014" s="1" t="s">
        <v>905</v>
      </c>
      <c r="D1014" s="4" t="s">
        <v>89</v>
      </c>
      <c r="E1014" s="3"/>
      <c r="F1014" s="3" t="s">
        <v>105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74</v>
      </c>
      <c r="U1014" s="1"/>
      <c r="V1014" s="1"/>
      <c r="W1014" s="1"/>
      <c r="X1014" s="1"/>
      <c r="Y1014" s="1"/>
    </row>
    <row r="1015" spans="2:25" x14ac:dyDescent="0.25">
      <c r="B1015" s="4">
        <v>30030285</v>
      </c>
      <c r="C1015" s="1" t="s">
        <v>906</v>
      </c>
      <c r="D1015" s="4" t="s">
        <v>89</v>
      </c>
      <c r="E1015" s="3" t="s">
        <v>1228</v>
      </c>
      <c r="F1015" s="3" t="s">
        <v>105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/>
      <c r="V1015" s="1"/>
      <c r="W1015" s="1"/>
      <c r="X1015" s="1"/>
      <c r="Y1015" s="1"/>
    </row>
    <row r="1016" spans="2:25" x14ac:dyDescent="0.25">
      <c r="B1016" s="4">
        <v>30030288</v>
      </c>
      <c r="C1016" s="1" t="s">
        <v>907</v>
      </c>
      <c r="D1016" s="4" t="s">
        <v>89</v>
      </c>
      <c r="E1016" s="3"/>
      <c r="F1016" s="3" t="s">
        <v>105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25">
      <c r="B1017" s="4">
        <v>30030293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25">
      <c r="B1018" s="4">
        <v>30030294</v>
      </c>
      <c r="C1018" s="1" t="s">
        <v>909</v>
      </c>
      <c r="D1018" s="4" t="s">
        <v>89</v>
      </c>
      <c r="E1018" s="3" t="s">
        <v>1228</v>
      </c>
      <c r="F1018" s="3" t="s">
        <v>105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66</v>
      </c>
      <c r="U1018" s="1"/>
      <c r="V1018" s="1"/>
      <c r="W1018" s="1"/>
      <c r="X1018" s="1"/>
      <c r="Y1018" s="1"/>
    </row>
    <row r="1019" spans="2:25" x14ac:dyDescent="0.25">
      <c r="B1019" s="4">
        <v>30030296</v>
      </c>
      <c r="C1019" s="1" t="s">
        <v>910</v>
      </c>
      <c r="D1019" s="4" t="s">
        <v>89</v>
      </c>
      <c r="E1019" s="3"/>
      <c r="F1019" s="3" t="s">
        <v>105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x14ac:dyDescent="0.25">
      <c r="B1020" s="4">
        <v>30030298</v>
      </c>
      <c r="C1020" s="1" t="s">
        <v>911</v>
      </c>
      <c r="D1020" s="4" t="s">
        <v>89</v>
      </c>
      <c r="E1020" s="3" t="s">
        <v>1228</v>
      </c>
      <c r="F1020" s="3" t="s">
        <v>105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/>
      <c r="V1020" s="1"/>
      <c r="W1020" s="1"/>
      <c r="X1020" s="1"/>
      <c r="Y1020" s="1"/>
    </row>
    <row r="1021" spans="2:25" x14ac:dyDescent="0.25">
      <c r="B1021" s="4">
        <v>30030652</v>
      </c>
      <c r="C1021" s="1" t="s">
        <v>621</v>
      </c>
      <c r="D1021" s="4" t="s">
        <v>89</v>
      </c>
      <c r="E1021" s="3"/>
      <c r="F1021" s="3" t="s">
        <v>69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70</v>
      </c>
      <c r="U1021" s="1"/>
      <c r="V1021" s="1"/>
      <c r="W1021" s="1"/>
      <c r="X1021" s="1"/>
      <c r="Y1021" s="1"/>
    </row>
    <row r="1022" spans="2:25" x14ac:dyDescent="0.25">
      <c r="B1022" s="4">
        <v>30030663</v>
      </c>
      <c r="C1022" s="1" t="s">
        <v>1404</v>
      </c>
      <c r="D1022" s="4" t="s">
        <v>89</v>
      </c>
      <c r="E1022" s="3"/>
      <c r="F1022" s="3" t="s">
        <v>69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66</v>
      </c>
      <c r="U1022" s="1"/>
      <c r="V1022" s="1"/>
      <c r="W1022" s="1"/>
      <c r="X1022" s="1"/>
      <c r="Y1022" s="1"/>
    </row>
    <row r="1023" spans="2:25" x14ac:dyDescent="0.25">
      <c r="B1023" s="4">
        <v>30030711</v>
      </c>
      <c r="C1023" s="1" t="s">
        <v>912</v>
      </c>
      <c r="D1023" s="4" t="s">
        <v>89</v>
      </c>
      <c r="E1023" s="3" t="s">
        <v>1228</v>
      </c>
      <c r="F1023" s="3" t="s">
        <v>105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1633</v>
      </c>
      <c r="M1023" s="3"/>
      <c r="N1023"/>
      <c r="O1023" s="4"/>
      <c r="P1023" s="1"/>
      <c r="Q1023" s="22"/>
      <c r="R1023"/>
      <c r="S1023" s="11" t="s">
        <v>1606</v>
      </c>
      <c r="T1023" s="4" t="s">
        <v>67</v>
      </c>
      <c r="U1023" s="1"/>
      <c r="V1023" s="1"/>
      <c r="W1023" s="1"/>
      <c r="X1023" s="1"/>
      <c r="Y1023" s="1"/>
    </row>
    <row r="1024" spans="2:25" x14ac:dyDescent="0.25">
      <c r="B1024" s="4">
        <v>30030714</v>
      </c>
      <c r="C1024" s="1" t="s">
        <v>1089</v>
      </c>
      <c r="D1024" s="4" t="s">
        <v>89</v>
      </c>
      <c r="E1024" s="3" t="s">
        <v>1228</v>
      </c>
      <c r="F1024" s="3" t="s">
        <v>105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/>
      <c r="V1024" s="1"/>
      <c r="W1024" s="1"/>
      <c r="X1024" s="1"/>
      <c r="Y1024" s="1"/>
    </row>
    <row r="1025" spans="2:25" x14ac:dyDescent="0.25">
      <c r="B1025" s="4">
        <v>30030765</v>
      </c>
      <c r="C1025" s="1" t="s">
        <v>1354</v>
      </c>
      <c r="D1025" s="4" t="s">
        <v>89</v>
      </c>
      <c r="E1025" s="3"/>
      <c r="F1025" s="3" t="s">
        <v>69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/>
      <c r="V1025" s="1"/>
      <c r="W1025" s="1"/>
      <c r="X1025" s="1"/>
      <c r="Y1025" s="1"/>
    </row>
    <row r="1026" spans="2:25" x14ac:dyDescent="0.25">
      <c r="B1026" s="4">
        <v>30030969</v>
      </c>
      <c r="C1026" s="1" t="s">
        <v>622</v>
      </c>
      <c r="D1026" s="4" t="s">
        <v>89</v>
      </c>
      <c r="E1026" s="3"/>
      <c r="F1026" s="3" t="s">
        <v>69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1576</v>
      </c>
      <c r="Q1026" s="22">
        <v>46224</v>
      </c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25">
      <c r="B1027" s="4">
        <v>30031074</v>
      </c>
      <c r="C1027" s="1" t="s">
        <v>1275</v>
      </c>
      <c r="D1027" s="4" t="s">
        <v>89</v>
      </c>
      <c r="E1027" s="3"/>
      <c r="F1027" s="3" t="s">
        <v>69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25">
      <c r="B1028" s="4">
        <v>30031092</v>
      </c>
      <c r="C1028" s="1" t="s">
        <v>1056</v>
      </c>
      <c r="D1028" s="4" t="s">
        <v>89</v>
      </c>
      <c r="E1028" s="3"/>
      <c r="F1028" s="3" t="s">
        <v>105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66</v>
      </c>
      <c r="U1028" s="1"/>
      <c r="V1028" s="1"/>
      <c r="W1028" s="1"/>
      <c r="X1028" s="1"/>
      <c r="Y1028" s="1"/>
    </row>
    <row r="1029" spans="2:25" x14ac:dyDescent="0.25">
      <c r="B1029" s="4">
        <v>30031213</v>
      </c>
      <c r="C1029" s="1" t="s">
        <v>1168</v>
      </c>
      <c r="D1029" s="4" t="s">
        <v>89</v>
      </c>
      <c r="E1029" s="3"/>
      <c r="F1029" s="3" t="s">
        <v>105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/>
      <c r="V1029" s="1"/>
      <c r="W1029" s="1"/>
      <c r="X1029" s="1"/>
      <c r="Y1029" s="1"/>
    </row>
    <row r="1030" spans="2:25" x14ac:dyDescent="0.25">
      <c r="B1030" s="4">
        <v>30031228</v>
      </c>
      <c r="C1030" s="1" t="s">
        <v>623</v>
      </c>
      <c r="D1030" s="4" t="s">
        <v>89</v>
      </c>
      <c r="E1030" s="3"/>
      <c r="F1030" s="3" t="s">
        <v>69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25">
      <c r="B1031" s="4">
        <v>30031233</v>
      </c>
      <c r="C1031" s="1" t="s">
        <v>1355</v>
      </c>
      <c r="D1031" s="4" t="s">
        <v>89</v>
      </c>
      <c r="E1031" s="3"/>
      <c r="F1031" s="3" t="s">
        <v>69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73</v>
      </c>
      <c r="U1031" s="1"/>
      <c r="V1031" s="1"/>
      <c r="W1031" s="1"/>
      <c r="X1031" s="1"/>
      <c r="Y1031" s="1"/>
    </row>
    <row r="1032" spans="2:25" x14ac:dyDescent="0.25">
      <c r="B1032" s="4">
        <v>30031278</v>
      </c>
      <c r="C1032" s="1" t="s">
        <v>624</v>
      </c>
      <c r="D1032" s="4" t="s">
        <v>89</v>
      </c>
      <c r="E1032" s="3"/>
      <c r="F1032" s="3" t="s">
        <v>69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/>
      <c r="V1032" s="1"/>
      <c r="W1032" s="1"/>
      <c r="X1032" s="1"/>
      <c r="Y1032" s="1"/>
    </row>
    <row r="1033" spans="2:25" x14ac:dyDescent="0.25">
      <c r="B1033" s="4">
        <v>30031432</v>
      </c>
      <c r="C1033" s="1" t="s">
        <v>861</v>
      </c>
      <c r="D1033" s="4" t="s">
        <v>89</v>
      </c>
      <c r="E1033" s="3"/>
      <c r="F1033" s="3" t="s">
        <v>105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66</v>
      </c>
      <c r="U1033" s="1"/>
      <c r="V1033" s="1"/>
      <c r="W1033" s="1"/>
      <c r="X1033" s="1"/>
      <c r="Y1033" s="1"/>
    </row>
    <row r="1034" spans="2:25" x14ac:dyDescent="0.25">
      <c r="B1034" s="4">
        <v>30031445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/>
      <c r="V1034" s="1"/>
      <c r="W1034" s="1"/>
      <c r="X1034" s="1"/>
      <c r="Y1034" s="1"/>
    </row>
    <row r="1035" spans="2:25" x14ac:dyDescent="0.25">
      <c r="B1035" s="4">
        <v>30031744</v>
      </c>
      <c r="C1035" s="1" t="s">
        <v>1169</v>
      </c>
      <c r="D1035" s="4" t="s">
        <v>89</v>
      </c>
      <c r="E1035" s="3" t="s">
        <v>1228</v>
      </c>
      <c r="F1035" s="3" t="s">
        <v>105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1633</v>
      </c>
      <c r="M1035" s="3"/>
      <c r="N1035"/>
      <c r="O1035" s="4"/>
      <c r="P1035" s="1"/>
      <c r="Q1035" s="22"/>
      <c r="R1035"/>
      <c r="S1035" s="11" t="s">
        <v>1606</v>
      </c>
      <c r="T1035" s="4" t="s">
        <v>67</v>
      </c>
      <c r="U1035" s="1"/>
      <c r="V1035" s="1"/>
      <c r="W1035" s="1"/>
      <c r="X1035" s="1"/>
      <c r="Y1035" s="1"/>
    </row>
    <row r="1036" spans="2:25" x14ac:dyDescent="0.25">
      <c r="B1036" s="4">
        <v>30032033</v>
      </c>
      <c r="C1036" s="1" t="s">
        <v>1316</v>
      </c>
      <c r="D1036" s="4" t="s">
        <v>89</v>
      </c>
      <c r="E1036" s="3"/>
      <c r="F1036" s="3" t="s">
        <v>69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73</v>
      </c>
      <c r="U1036" s="1"/>
      <c r="V1036" s="1"/>
      <c r="W1036" s="1"/>
      <c r="X1036" s="1"/>
      <c r="Y1036" s="1"/>
    </row>
    <row r="1037" spans="2:25" x14ac:dyDescent="0.25">
      <c r="B1037" s="4">
        <v>30032263</v>
      </c>
      <c r="C1037" s="1" t="s">
        <v>625</v>
      </c>
      <c r="D1037" s="4" t="s">
        <v>89</v>
      </c>
      <c r="E1037" s="3"/>
      <c r="F1037" s="3" t="s">
        <v>69</v>
      </c>
      <c r="G1037" s="4">
        <v>10</v>
      </c>
      <c r="H1037" s="4">
        <v>10</v>
      </c>
      <c r="I1037" s="4">
        <v>10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73</v>
      </c>
      <c r="U1037" s="1"/>
      <c r="V1037" s="1"/>
      <c r="W1037" s="1"/>
      <c r="X1037" s="1"/>
      <c r="Y1037" s="1"/>
    </row>
    <row r="1038" spans="2:25" x14ac:dyDescent="0.25">
      <c r="B1038" s="4">
        <v>30032318</v>
      </c>
      <c r="C1038" s="1" t="s">
        <v>1508</v>
      </c>
      <c r="D1038" s="4" t="s">
        <v>89</v>
      </c>
      <c r="E1038" s="3"/>
      <c r="F1038" s="3" t="s">
        <v>69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25">
      <c r="B1039" s="4">
        <v>30032474</v>
      </c>
      <c r="C1039" s="1" t="s">
        <v>626</v>
      </c>
      <c r="D1039" s="4" t="s">
        <v>89</v>
      </c>
      <c r="E1039" s="3"/>
      <c r="F1039" s="3" t="s">
        <v>69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66</v>
      </c>
      <c r="U1039" s="1"/>
      <c r="V1039" s="1"/>
      <c r="W1039" s="1"/>
      <c r="X1039" s="1"/>
      <c r="Y1039" s="1"/>
    </row>
    <row r="1040" spans="2:25" x14ac:dyDescent="0.25">
      <c r="B1040" s="4">
        <v>30032475</v>
      </c>
      <c r="C1040" s="1" t="s">
        <v>627</v>
      </c>
      <c r="D1040" s="4" t="s">
        <v>89</v>
      </c>
      <c r="E1040" s="3"/>
      <c r="F1040" s="3" t="s">
        <v>69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/>
      <c r="V1040" s="1"/>
      <c r="W1040" s="1"/>
      <c r="X1040" s="1"/>
      <c r="Y1040" s="1"/>
    </row>
    <row r="1041" spans="2:25" x14ac:dyDescent="0.25">
      <c r="B1041" s="4">
        <v>30032476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25">
      <c r="B1042" s="4">
        <v>30032493</v>
      </c>
      <c r="C1042" s="1" t="s">
        <v>913</v>
      </c>
      <c r="D1042" s="4" t="s">
        <v>89</v>
      </c>
      <c r="E1042" s="3" t="s">
        <v>1228</v>
      </c>
      <c r="F1042" s="3" t="s">
        <v>105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74</v>
      </c>
      <c r="U1042" s="1"/>
      <c r="V1042" s="1"/>
      <c r="W1042" s="1"/>
      <c r="X1042" s="1"/>
      <c r="Y1042" s="1"/>
    </row>
    <row r="1043" spans="2:25" x14ac:dyDescent="0.25">
      <c r="B1043" s="4">
        <v>30032494</v>
      </c>
      <c r="C1043" s="1" t="s">
        <v>914</v>
      </c>
      <c r="D1043" s="4" t="s">
        <v>89</v>
      </c>
      <c r="E1043" s="3" t="s">
        <v>1228</v>
      </c>
      <c r="F1043" s="3" t="s">
        <v>105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/>
      <c r="V1043" s="1"/>
      <c r="W1043" s="1"/>
      <c r="X1043" s="1"/>
      <c r="Y1043" s="1"/>
    </row>
    <row r="1044" spans="2:25" x14ac:dyDescent="0.25">
      <c r="B1044" s="4">
        <v>30032495</v>
      </c>
      <c r="C1044" s="1" t="s">
        <v>915</v>
      </c>
      <c r="D1044" s="4" t="s">
        <v>89</v>
      </c>
      <c r="E1044" s="3"/>
      <c r="F1044" s="3" t="s">
        <v>105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25">
      <c r="B1045" s="4">
        <v>30032817</v>
      </c>
      <c r="C1045" s="1" t="s">
        <v>629</v>
      </c>
      <c r="D1045" s="4" t="s">
        <v>89</v>
      </c>
      <c r="E1045" s="3"/>
      <c r="F1045" s="3" t="s">
        <v>69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70</v>
      </c>
      <c r="U1045" s="1"/>
      <c r="V1045" s="1"/>
      <c r="W1045" s="1"/>
      <c r="X1045" s="1"/>
      <c r="Y1045" s="1"/>
    </row>
    <row r="1046" spans="2:25" x14ac:dyDescent="0.25">
      <c r="B1046" s="4">
        <v>30033307</v>
      </c>
      <c r="C1046" s="1" t="s">
        <v>1456</v>
      </c>
      <c r="D1046" s="4" t="s">
        <v>89</v>
      </c>
      <c r="E1046" s="3"/>
      <c r="F1046" s="3" t="s">
        <v>69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66</v>
      </c>
      <c r="U1046" s="1"/>
      <c r="V1046" s="1"/>
      <c r="W1046" s="1"/>
      <c r="X1046" s="1"/>
      <c r="Y1046" s="1"/>
    </row>
    <row r="1047" spans="2:25" x14ac:dyDescent="0.25">
      <c r="B1047" s="4">
        <v>30033491</v>
      </c>
      <c r="C1047" s="1" t="s">
        <v>1293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73</v>
      </c>
      <c r="U1047" s="1"/>
      <c r="V1047" s="1"/>
      <c r="W1047" s="1"/>
      <c r="X1047" s="1"/>
      <c r="Y1047" s="1"/>
    </row>
    <row r="1048" spans="2:25" x14ac:dyDescent="0.25">
      <c r="B1048" s="4">
        <v>30033798</v>
      </c>
      <c r="C1048" s="1" t="s">
        <v>1317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1</v>
      </c>
      <c r="J1048" s="4" t="s">
        <v>8</v>
      </c>
      <c r="K1048" s="4" t="s">
        <v>9</v>
      </c>
      <c r="L1048" s="11"/>
      <c r="M1048" s="3"/>
      <c r="N1048">
        <v>4502669922</v>
      </c>
      <c r="O1048" s="4">
        <v>2</v>
      </c>
      <c r="P1048" s="1" t="s">
        <v>1629</v>
      </c>
      <c r="Q1048" s="22">
        <v>46169</v>
      </c>
      <c r="R1048"/>
      <c r="S1048" s="11"/>
      <c r="T1048" s="4" t="s">
        <v>73</v>
      </c>
      <c r="U1048" s="1"/>
      <c r="V1048" s="1"/>
      <c r="W1048" s="1"/>
      <c r="X1048" s="1"/>
      <c r="Y1048" s="1"/>
    </row>
    <row r="1049" spans="2:25" x14ac:dyDescent="0.25">
      <c r="B1049" s="4">
        <v>30033806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25">
      <c r="B1050" s="4">
        <v>30033822</v>
      </c>
      <c r="C1050" s="1" t="s">
        <v>630</v>
      </c>
      <c r="D1050" s="4" t="s">
        <v>89</v>
      </c>
      <c r="E1050" s="3"/>
      <c r="F1050" s="3" t="s">
        <v>69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25">
      <c r="B1051" s="4">
        <v>30033823</v>
      </c>
      <c r="C1051" s="1" t="s">
        <v>631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25">
      <c r="B1052" s="4">
        <v>30033824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25">
      <c r="B1053" s="4">
        <v>30033825</v>
      </c>
      <c r="C1053" s="1" t="s">
        <v>633</v>
      </c>
      <c r="D1053" s="4" t="s">
        <v>89</v>
      </c>
      <c r="E1053" s="3"/>
      <c r="F1053" s="3" t="s">
        <v>69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25">
      <c r="B1054" s="4">
        <v>30033826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66</v>
      </c>
      <c r="U1054" s="1"/>
      <c r="V1054" s="1"/>
      <c r="W1054" s="1"/>
      <c r="X1054" s="1"/>
      <c r="Y1054" s="1"/>
    </row>
    <row r="1055" spans="2:25" x14ac:dyDescent="0.25">
      <c r="B1055" s="4">
        <v>30033827</v>
      </c>
      <c r="C1055" s="1" t="s">
        <v>635</v>
      </c>
      <c r="D1055" s="4" t="s">
        <v>89</v>
      </c>
      <c r="E1055" s="3"/>
      <c r="F1055" s="3" t="s">
        <v>69</v>
      </c>
      <c r="G1055" s="4">
        <v>5</v>
      </c>
      <c r="H1055" s="4">
        <v>7</v>
      </c>
      <c r="I1055" s="4">
        <v>11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x14ac:dyDescent="0.25">
      <c r="B1056" s="4">
        <v>30033829</v>
      </c>
      <c r="C1056" s="1" t="s">
        <v>636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/>
      <c r="V1056" s="1"/>
      <c r="W1056" s="1"/>
      <c r="X1056" s="1"/>
      <c r="Y1056" s="1"/>
    </row>
    <row r="1057" spans="2:25" x14ac:dyDescent="0.25">
      <c r="B1057" s="4">
        <v>30033830</v>
      </c>
      <c r="C1057" s="1" t="s">
        <v>637</v>
      </c>
      <c r="D1057" s="4" t="s">
        <v>89</v>
      </c>
      <c r="E1057" s="3"/>
      <c r="F1057" s="3" t="s">
        <v>69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25">
      <c r="B1058" s="4">
        <v>30033831</v>
      </c>
      <c r="C1058" s="1" t="s">
        <v>638</v>
      </c>
      <c r="D1058" s="4" t="s">
        <v>89</v>
      </c>
      <c r="E1058" s="3"/>
      <c r="F1058" s="3" t="s">
        <v>69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25">
      <c r="B1059" s="4">
        <v>30033930</v>
      </c>
      <c r="C1059" s="1" t="s">
        <v>916</v>
      </c>
      <c r="D1059" s="4" t="s">
        <v>89</v>
      </c>
      <c r="E1059" s="3" t="s">
        <v>1228</v>
      </c>
      <c r="F1059" s="3" t="s">
        <v>105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1606</v>
      </c>
      <c r="T1059" s="4" t="s">
        <v>67</v>
      </c>
      <c r="U1059" s="1"/>
      <c r="V1059" s="1"/>
      <c r="W1059" s="1"/>
      <c r="X1059" s="1"/>
      <c r="Y1059" s="1"/>
    </row>
    <row r="1060" spans="2:25" x14ac:dyDescent="0.25">
      <c r="B1060" s="4">
        <v>30033948</v>
      </c>
      <c r="C1060" s="1" t="s">
        <v>639</v>
      </c>
      <c r="D1060" s="4" t="s">
        <v>89</v>
      </c>
      <c r="E1060" s="3"/>
      <c r="F1060" s="3" t="s">
        <v>69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x14ac:dyDescent="0.25">
      <c r="B1061" s="4">
        <v>30034647</v>
      </c>
      <c r="C1061" s="1" t="s">
        <v>1356</v>
      </c>
      <c r="D1061" s="4" t="s">
        <v>89</v>
      </c>
      <c r="E1061" s="3"/>
      <c r="F1061" s="3" t="s">
        <v>69</v>
      </c>
      <c r="G1061" s="4">
        <v>2</v>
      </c>
      <c r="H1061" s="4">
        <v>4</v>
      </c>
      <c r="I1061" s="4">
        <v>5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/>
      <c r="V1061" s="1"/>
      <c r="W1061" s="1"/>
      <c r="X1061" s="1"/>
      <c r="Y1061" s="1"/>
    </row>
    <row r="1062" spans="2:25" x14ac:dyDescent="0.25">
      <c r="B1062" s="4">
        <v>30034648</v>
      </c>
      <c r="C1062" s="1" t="s">
        <v>1319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25">
      <c r="B1063" s="4">
        <v>30035667</v>
      </c>
      <c r="C1063" s="1" t="s">
        <v>1320</v>
      </c>
      <c r="D1063" s="4" t="s">
        <v>89</v>
      </c>
      <c r="E1063" s="3"/>
      <c r="F1063" s="3" t="s">
        <v>69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67</v>
      </c>
      <c r="U1063" s="1"/>
      <c r="V1063" s="1"/>
      <c r="W1063" s="1"/>
      <c r="X1063" s="1"/>
      <c r="Y1063" s="1"/>
    </row>
    <row r="1064" spans="2:25" x14ac:dyDescent="0.25">
      <c r="B1064" s="4">
        <v>30036125</v>
      </c>
      <c r="C1064" s="1" t="s">
        <v>640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4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x14ac:dyDescent="0.25">
      <c r="B1065" s="4">
        <v>30036258</v>
      </c>
      <c r="C1065" s="1" t="s">
        <v>641</v>
      </c>
      <c r="D1065" s="4" t="s">
        <v>89</v>
      </c>
      <c r="E1065" s="3"/>
      <c r="F1065" s="3" t="s">
        <v>69</v>
      </c>
      <c r="G1065" s="4">
        <v>7</v>
      </c>
      <c r="H1065" s="4">
        <v>4</v>
      </c>
      <c r="I1065" s="4">
        <v>7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/>
      <c r="V1065" s="1"/>
      <c r="W1065" s="1"/>
      <c r="X1065" s="1"/>
      <c r="Y1065" s="1"/>
    </row>
    <row r="1066" spans="2:25" x14ac:dyDescent="0.25">
      <c r="B1066" s="4">
        <v>30036413</v>
      </c>
      <c r="C1066" s="1" t="s">
        <v>1539</v>
      </c>
      <c r="D1066" s="4" t="s">
        <v>89</v>
      </c>
      <c r="E1066" s="3"/>
      <c r="F1066" s="3" t="s">
        <v>69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x14ac:dyDescent="0.25">
      <c r="B1067" s="4">
        <v>30036418</v>
      </c>
      <c r="C1067" s="1" t="s">
        <v>1540</v>
      </c>
      <c r="D1067" s="4" t="s">
        <v>89</v>
      </c>
      <c r="E1067" s="3"/>
      <c r="F1067" s="3" t="s">
        <v>69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/>
      <c r="V1067" s="1"/>
      <c r="W1067" s="1"/>
      <c r="X1067" s="1"/>
      <c r="Y1067" s="1"/>
    </row>
    <row r="1068" spans="2:25" x14ac:dyDescent="0.25">
      <c r="B1068" s="4">
        <v>30036419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25">
      <c r="B1069" s="4">
        <v>30036425</v>
      </c>
      <c r="C1069" s="1" t="s">
        <v>642</v>
      </c>
      <c r="D1069" s="4" t="s">
        <v>89</v>
      </c>
      <c r="E1069" s="3"/>
      <c r="F1069" s="3" t="s">
        <v>69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68</v>
      </c>
      <c r="U1069" s="1"/>
      <c r="V1069" s="1"/>
      <c r="W1069" s="1"/>
      <c r="X1069" s="1"/>
      <c r="Y1069" s="1"/>
    </row>
    <row r="1070" spans="2:25" x14ac:dyDescent="0.25">
      <c r="B1070" s="4">
        <v>30036426</v>
      </c>
      <c r="C1070" s="1" t="s">
        <v>1057</v>
      </c>
      <c r="D1070" s="4" t="s">
        <v>89</v>
      </c>
      <c r="E1070" s="3"/>
      <c r="F1070" s="3" t="s">
        <v>69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25">
      <c r="B1071" s="4">
        <v>30036576</v>
      </c>
      <c r="C1071" s="1" t="s">
        <v>643</v>
      </c>
      <c r="D1071" s="4" t="s">
        <v>89</v>
      </c>
      <c r="E1071" s="3"/>
      <c r="F1071" s="3" t="s">
        <v>69</v>
      </c>
      <c r="G1071" s="4">
        <v>60</v>
      </c>
      <c r="H1071" s="4">
        <v>80</v>
      </c>
      <c r="I1071" s="4">
        <v>137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x14ac:dyDescent="0.25">
      <c r="B1072" s="4">
        <v>30037793</v>
      </c>
      <c r="C1072" s="1" t="s">
        <v>644</v>
      </c>
      <c r="D1072" s="4" t="s">
        <v>89</v>
      </c>
      <c r="E1072" s="3"/>
      <c r="F1072" s="3" t="s">
        <v>69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64"/>
      <c r="M1072" s="3"/>
      <c r="N1072"/>
      <c r="O1072" s="4"/>
      <c r="P1072" s="1"/>
      <c r="Q1072" s="22"/>
      <c r="R1072"/>
      <c r="S1072" s="11"/>
      <c r="T1072" s="4" t="s">
        <v>66</v>
      </c>
      <c r="U1072" s="1"/>
      <c r="V1072" s="1"/>
      <c r="W1072" s="1"/>
      <c r="X1072" s="1"/>
      <c r="Y1072" s="1"/>
    </row>
    <row r="1073" spans="2:25" x14ac:dyDescent="0.25">
      <c r="B1073" s="4">
        <v>30037797</v>
      </c>
      <c r="C1073" s="1" t="s">
        <v>1058</v>
      </c>
      <c r="D1073" s="4" t="s">
        <v>89</v>
      </c>
      <c r="E1073" s="3"/>
      <c r="F1073" s="3" t="s">
        <v>105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/>
      <c r="V1073" s="1"/>
      <c r="W1073" s="1"/>
      <c r="X1073" s="1"/>
      <c r="Y1073" s="1"/>
    </row>
    <row r="1074" spans="2:25" x14ac:dyDescent="0.25">
      <c r="B1074" s="4">
        <v>30037859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/>
      <c r="V1074" s="1"/>
      <c r="W1074" s="1"/>
      <c r="X1074" s="1"/>
      <c r="Y1074" s="1"/>
    </row>
    <row r="1075" spans="2:25" x14ac:dyDescent="0.25">
      <c r="B1075" s="4">
        <v>30037868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67</v>
      </c>
      <c r="U1075" s="1"/>
      <c r="V1075" s="1"/>
      <c r="W1075" s="1"/>
      <c r="X1075" s="1"/>
      <c r="Y1075" s="1"/>
    </row>
    <row r="1076" spans="2:25" x14ac:dyDescent="0.25">
      <c r="B1076" s="4">
        <v>30037869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1633</v>
      </c>
      <c r="M1076" s="3"/>
      <c r="N1076"/>
      <c r="O1076" s="4"/>
      <c r="P1076" s="1"/>
      <c r="Q1076" s="22"/>
      <c r="R1076"/>
      <c r="S1076" s="11" t="s">
        <v>1617</v>
      </c>
      <c r="T1076" s="4" t="s">
        <v>67</v>
      </c>
      <c r="U1076" s="1"/>
      <c r="V1076" s="1"/>
      <c r="W1076" s="1"/>
      <c r="X1076" s="1"/>
      <c r="Y1076" s="1"/>
    </row>
    <row r="1077" spans="2:25" x14ac:dyDescent="0.25">
      <c r="B1077" s="4">
        <v>30037870</v>
      </c>
      <c r="C1077" s="1" t="s">
        <v>648</v>
      </c>
      <c r="D1077" s="4" t="s">
        <v>89</v>
      </c>
      <c r="E1077" s="3"/>
      <c r="F1077" s="3" t="s">
        <v>69</v>
      </c>
      <c r="G1077" s="4">
        <v>3</v>
      </c>
      <c r="H1077" s="4">
        <v>5</v>
      </c>
      <c r="I1077" s="4">
        <v>0</v>
      </c>
      <c r="J1077" s="4" t="s">
        <v>8</v>
      </c>
      <c r="K1077" s="4" t="s">
        <v>13</v>
      </c>
      <c r="L1077" s="11"/>
      <c r="M1077" s="3"/>
      <c r="N1077">
        <v>4502669999</v>
      </c>
      <c r="O1077" s="4">
        <v>8</v>
      </c>
      <c r="P1077" s="1" t="s">
        <v>1425</v>
      </c>
      <c r="Q1077" s="22">
        <v>46181</v>
      </c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x14ac:dyDescent="0.25">
      <c r="B1078" s="4">
        <v>30038088</v>
      </c>
      <c r="C1078" s="1" t="s">
        <v>1258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25">
      <c r="B1079" s="4">
        <v>30038349</v>
      </c>
      <c r="C1079" s="1" t="s">
        <v>1170</v>
      </c>
      <c r="D1079" s="4" t="s">
        <v>89</v>
      </c>
      <c r="E1079" s="3"/>
      <c r="F1079" s="3" t="s">
        <v>105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/>
      <c r="V1079" s="1"/>
      <c r="W1079" s="1"/>
      <c r="X1079" s="1"/>
      <c r="Y1079" s="1"/>
    </row>
    <row r="1080" spans="2:25" x14ac:dyDescent="0.25">
      <c r="B1080" s="4">
        <v>30038358</v>
      </c>
      <c r="C1080" s="1" t="s">
        <v>1512</v>
      </c>
      <c r="D1080" s="4" t="s">
        <v>89</v>
      </c>
      <c r="E1080" s="3"/>
      <c r="F1080" s="3" t="s">
        <v>69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/>
      <c r="V1080" s="1"/>
      <c r="W1080" s="1"/>
      <c r="X1080" s="1"/>
      <c r="Y1080" s="1"/>
    </row>
    <row r="1081" spans="2:25" x14ac:dyDescent="0.25">
      <c r="B1081" s="4">
        <v>30038374</v>
      </c>
      <c r="C1081" s="1" t="s">
        <v>863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25">
      <c r="B1082" s="4">
        <v>30038441</v>
      </c>
      <c r="C1082" s="1" t="s">
        <v>649</v>
      </c>
      <c r="D1082" s="4" t="s">
        <v>89</v>
      </c>
      <c r="E1082" s="3"/>
      <c r="F1082" s="3" t="s">
        <v>69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1509</v>
      </c>
      <c r="Q1082" s="22">
        <v>46115</v>
      </c>
      <c r="R1082"/>
      <c r="S1082" s="11" t="s">
        <v>1608</v>
      </c>
      <c r="T1082" s="4" t="s">
        <v>74</v>
      </c>
      <c r="U1082" s="1"/>
      <c r="V1082" s="1"/>
      <c r="W1082" s="1"/>
      <c r="X1082" s="1"/>
      <c r="Y1082" s="1"/>
    </row>
    <row r="1083" spans="2:25" x14ac:dyDescent="0.25">
      <c r="B1083" s="4">
        <v>30038471</v>
      </c>
      <c r="C1083" s="1" t="s">
        <v>1321</v>
      </c>
      <c r="D1083" s="4" t="s">
        <v>89</v>
      </c>
      <c r="E1083" s="3"/>
      <c r="F1083" s="3" t="s">
        <v>69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/>
      <c r="V1083" s="1"/>
      <c r="W1083" s="1"/>
      <c r="X1083" s="1"/>
      <c r="Y1083" s="1"/>
    </row>
    <row r="1084" spans="2:25" x14ac:dyDescent="0.25">
      <c r="B1084" s="4">
        <v>30038497</v>
      </c>
      <c r="C1084" s="1" t="s">
        <v>650</v>
      </c>
      <c r="D1084" s="4" t="s">
        <v>89</v>
      </c>
      <c r="E1084" s="3"/>
      <c r="F1084" s="3" t="s">
        <v>69</v>
      </c>
      <c r="G1084" s="4">
        <v>12</v>
      </c>
      <c r="H1084" s="4">
        <v>20</v>
      </c>
      <c r="I1084" s="4">
        <v>18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68</v>
      </c>
      <c r="U1084" s="1"/>
      <c r="V1084" s="1"/>
      <c r="W1084" s="1"/>
      <c r="X1084" s="1"/>
      <c r="Y1084" s="1"/>
    </row>
    <row r="1085" spans="2:25" x14ac:dyDescent="0.25">
      <c r="B1085" s="4">
        <v>30038525</v>
      </c>
      <c r="C1085" s="1" t="s">
        <v>651</v>
      </c>
      <c r="D1085" s="4" t="s">
        <v>89</v>
      </c>
      <c r="E1085" s="3"/>
      <c r="F1085" s="3" t="s">
        <v>69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x14ac:dyDescent="0.25">
      <c r="B1086" s="4">
        <v>30038526</v>
      </c>
      <c r="C1086" s="1" t="s">
        <v>652</v>
      </c>
      <c r="D1086" s="4" t="s">
        <v>89</v>
      </c>
      <c r="E1086" s="3"/>
      <c r="F1086" s="3" t="s">
        <v>69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71</v>
      </c>
      <c r="U1086" s="1"/>
      <c r="V1086" s="1"/>
      <c r="W1086" s="1"/>
      <c r="X1086" s="1"/>
      <c r="Y1086" s="1"/>
    </row>
    <row r="1087" spans="2:25" x14ac:dyDescent="0.25">
      <c r="B1087" s="4">
        <v>30039030</v>
      </c>
      <c r="C1087" s="1" t="s">
        <v>1343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6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73</v>
      </c>
      <c r="U1087" s="1"/>
      <c r="V1087" s="1"/>
      <c r="W1087" s="1"/>
      <c r="X1087" s="1"/>
      <c r="Y1087" s="1"/>
    </row>
    <row r="1088" spans="2:25" x14ac:dyDescent="0.25">
      <c r="B1088" s="4">
        <v>30039031</v>
      </c>
      <c r="C1088" s="1" t="s">
        <v>654</v>
      </c>
      <c r="D1088" s="4" t="s">
        <v>89</v>
      </c>
      <c r="E1088" s="3"/>
      <c r="F1088" s="3" t="s">
        <v>69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/>
      <c r="V1088" s="1"/>
      <c r="W1088" s="1"/>
      <c r="X1088" s="1"/>
      <c r="Y1088" s="1"/>
    </row>
    <row r="1089" spans="2:25" x14ac:dyDescent="0.25">
      <c r="B1089" s="4">
        <v>30039035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1399</v>
      </c>
      <c r="Q1089" s="22">
        <v>45743</v>
      </c>
      <c r="R1089"/>
      <c r="S1089" s="11" t="s">
        <v>1616</v>
      </c>
      <c r="T1089" s="4" t="s">
        <v>66</v>
      </c>
      <c r="U1089" s="1"/>
      <c r="V1089" s="1"/>
      <c r="W1089" s="1"/>
      <c r="X1089" s="1"/>
      <c r="Y1089" s="1"/>
    </row>
    <row r="1090" spans="2:25" x14ac:dyDescent="0.25">
      <c r="B1090" s="4">
        <v>30039144</v>
      </c>
      <c r="C1090" s="1" t="s">
        <v>864</v>
      </c>
      <c r="D1090" s="4" t="s">
        <v>89</v>
      </c>
      <c r="E1090" s="3"/>
      <c r="F1090" s="3" t="s">
        <v>105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/>
      <c r="V1090" s="1"/>
      <c r="W1090" s="1"/>
      <c r="X1090" s="1"/>
      <c r="Y1090" s="1"/>
    </row>
    <row r="1091" spans="2:25" x14ac:dyDescent="0.25">
      <c r="B1091" s="4">
        <v>30039193</v>
      </c>
      <c r="C1091" s="1" t="s">
        <v>917</v>
      </c>
      <c r="D1091" s="4" t="s">
        <v>89</v>
      </c>
      <c r="E1091" s="3" t="s">
        <v>1228</v>
      </c>
      <c r="F1091" s="3" t="s">
        <v>105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1633</v>
      </c>
      <c r="M1091" s="3"/>
      <c r="N1091"/>
      <c r="O1091" s="4"/>
      <c r="P1091" s="1"/>
      <c r="Q1091" s="22"/>
      <c r="R1091"/>
      <c r="S1091" s="11" t="s">
        <v>1606</v>
      </c>
      <c r="T1091" s="4" t="s">
        <v>67</v>
      </c>
      <c r="U1091" s="1"/>
      <c r="V1091" s="1"/>
      <c r="W1091" s="1"/>
      <c r="X1091" s="1"/>
      <c r="Y1091" s="1"/>
    </row>
    <row r="1092" spans="2:25" x14ac:dyDescent="0.25">
      <c r="B1092" s="4">
        <v>30039344</v>
      </c>
      <c r="C1092" s="1" t="s">
        <v>1421</v>
      </c>
      <c r="D1092" s="4" t="s">
        <v>89</v>
      </c>
      <c r="E1092" s="3"/>
      <c r="F1092" s="3" t="s">
        <v>69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67</v>
      </c>
      <c r="U1092" s="1"/>
      <c r="V1092" s="1"/>
      <c r="W1092" s="1"/>
      <c r="X1092" s="1"/>
      <c r="Y1092" s="1"/>
    </row>
    <row r="1093" spans="2:25" x14ac:dyDescent="0.25">
      <c r="B1093" s="4">
        <v>30039698</v>
      </c>
      <c r="C1093" s="1" t="s">
        <v>656</v>
      </c>
      <c r="D1093" s="4" t="s">
        <v>89</v>
      </c>
      <c r="E1093" s="3"/>
      <c r="F1093" s="3" t="s">
        <v>69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/>
      <c r="V1093" s="1"/>
      <c r="W1093" s="1"/>
      <c r="X1093" s="1"/>
      <c r="Y1093" s="1"/>
    </row>
    <row r="1094" spans="2:25" x14ac:dyDescent="0.25">
      <c r="B1094" s="4">
        <v>30039710</v>
      </c>
      <c r="C1094" s="1" t="s">
        <v>657</v>
      </c>
      <c r="D1094" s="4" t="s">
        <v>89</v>
      </c>
      <c r="E1094" s="3"/>
      <c r="F1094" s="3" t="s">
        <v>69</v>
      </c>
      <c r="G1094" s="4">
        <v>4</v>
      </c>
      <c r="H1094" s="4">
        <v>7</v>
      </c>
      <c r="I1094" s="4">
        <v>7</v>
      </c>
      <c r="J1094" s="4" t="s">
        <v>8</v>
      </c>
      <c r="K1094" s="4" t="s">
        <v>7</v>
      </c>
      <c r="L1094" s="11"/>
      <c r="M1094" s="3"/>
      <c r="N1094">
        <v>4502682357</v>
      </c>
      <c r="O1094" s="4">
        <v>3</v>
      </c>
      <c r="P1094" s="1" t="s">
        <v>1522</v>
      </c>
      <c r="Q1094" s="22">
        <v>46224</v>
      </c>
      <c r="R1094"/>
      <c r="S1094" s="11"/>
      <c r="T1094" s="4" t="s">
        <v>73</v>
      </c>
      <c r="U1094" s="1"/>
      <c r="V1094" s="1"/>
      <c r="W1094" s="1"/>
      <c r="X1094" s="1"/>
      <c r="Y1094" s="1"/>
    </row>
    <row r="1095" spans="2:25" x14ac:dyDescent="0.25">
      <c r="B1095" s="4">
        <v>30039711</v>
      </c>
      <c r="C1095" s="1" t="s">
        <v>658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25">
      <c r="B1096" s="4">
        <v>30039714</v>
      </c>
      <c r="C1096" s="1" t="s">
        <v>659</v>
      </c>
      <c r="D1096" s="4" t="s">
        <v>89</v>
      </c>
      <c r="E1096" s="3"/>
      <c r="F1096" s="3" t="s">
        <v>69</v>
      </c>
      <c r="G1096" s="4">
        <v>10</v>
      </c>
      <c r="H1096" s="4">
        <v>6</v>
      </c>
      <c r="I1096" s="4">
        <v>9</v>
      </c>
      <c r="J1096" s="4" t="s">
        <v>8</v>
      </c>
      <c r="K1096" s="4" t="s">
        <v>9</v>
      </c>
      <c r="L1096" s="11">
        <v>1002637281</v>
      </c>
      <c r="M1096" s="3">
        <v>6</v>
      </c>
      <c r="N1096">
        <v>4502682357</v>
      </c>
      <c r="O1096" s="4">
        <v>20</v>
      </c>
      <c r="P1096" s="1" t="s">
        <v>1522</v>
      </c>
      <c r="Q1096" s="22">
        <v>46224</v>
      </c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25">
      <c r="B1097" s="4">
        <v>30039715</v>
      </c>
      <c r="C1097" s="1" t="s">
        <v>660</v>
      </c>
      <c r="D1097" s="4" t="s">
        <v>89</v>
      </c>
      <c r="E1097" s="3"/>
      <c r="F1097" s="3" t="s">
        <v>69</v>
      </c>
      <c r="G1097" s="4">
        <v>3</v>
      </c>
      <c r="H1097" s="4">
        <v>5</v>
      </c>
      <c r="I1097" s="4">
        <v>3</v>
      </c>
      <c r="J1097" s="4" t="s">
        <v>8</v>
      </c>
      <c r="K1097" s="4" t="s">
        <v>7</v>
      </c>
      <c r="L1097" s="11"/>
      <c r="M1097" s="3"/>
      <c r="N1097">
        <v>4502682357</v>
      </c>
      <c r="O1097" s="4">
        <v>7</v>
      </c>
      <c r="P1097" s="1" t="s">
        <v>1522</v>
      </c>
      <c r="Q1097" s="22">
        <v>46224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25">
      <c r="B1098" s="4">
        <v>30039716</v>
      </c>
      <c r="C1098" s="1" t="s">
        <v>661</v>
      </c>
      <c r="D1098" s="4" t="s">
        <v>89</v>
      </c>
      <c r="E1098" s="3"/>
      <c r="F1098" s="3" t="s">
        <v>69</v>
      </c>
      <c r="G1098" s="4">
        <v>5</v>
      </c>
      <c r="H1098" s="4">
        <v>10</v>
      </c>
      <c r="I1098" s="4">
        <v>6</v>
      </c>
      <c r="J1098" s="4" t="s">
        <v>8</v>
      </c>
      <c r="K1098" s="4" t="s">
        <v>7</v>
      </c>
      <c r="L1098" s="11"/>
      <c r="M1098" s="3"/>
      <c r="N1098">
        <v>4502682357</v>
      </c>
      <c r="O1098" s="4">
        <v>6</v>
      </c>
      <c r="P1098" s="1" t="s">
        <v>1522</v>
      </c>
      <c r="Q1098" s="22">
        <v>46224</v>
      </c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25">
      <c r="B1099" s="4">
        <v>30039717</v>
      </c>
      <c r="C1099" s="1" t="s">
        <v>662</v>
      </c>
      <c r="D1099" s="4" t="s">
        <v>89</v>
      </c>
      <c r="E1099" s="3"/>
      <c r="F1099" s="3" t="s">
        <v>69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25">
      <c r="B1100" s="4">
        <v>30039718</v>
      </c>
      <c r="C1100" s="1" t="s">
        <v>663</v>
      </c>
      <c r="D1100" s="4" t="s">
        <v>89</v>
      </c>
      <c r="E1100" s="3"/>
      <c r="F1100" s="3" t="s">
        <v>69</v>
      </c>
      <c r="G1100" s="4">
        <v>3</v>
      </c>
      <c r="H1100" s="4">
        <v>5</v>
      </c>
      <c r="I1100" s="4">
        <v>3</v>
      </c>
      <c r="J1100" s="4" t="s">
        <v>8</v>
      </c>
      <c r="K1100" s="4" t="s">
        <v>7</v>
      </c>
      <c r="L1100" s="11"/>
      <c r="M1100" s="3"/>
      <c r="N1100">
        <v>4502682357</v>
      </c>
      <c r="O1100" s="4">
        <v>20</v>
      </c>
      <c r="P1100" s="1" t="s">
        <v>1522</v>
      </c>
      <c r="Q1100" s="22">
        <v>46224</v>
      </c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25">
      <c r="B1101" s="4">
        <v>30039719</v>
      </c>
      <c r="C1101" s="1" t="s">
        <v>1271</v>
      </c>
      <c r="D1101" s="4" t="s">
        <v>89</v>
      </c>
      <c r="E1101" s="3"/>
      <c r="F1101" s="3" t="s">
        <v>69</v>
      </c>
      <c r="G1101" s="4">
        <v>5</v>
      </c>
      <c r="H1101" s="4">
        <v>8</v>
      </c>
      <c r="I1101" s="4">
        <v>0</v>
      </c>
      <c r="J1101" s="4" t="s">
        <v>8</v>
      </c>
      <c r="K1101" s="4" t="s">
        <v>13</v>
      </c>
      <c r="L1101" s="11"/>
      <c r="M1101" s="3"/>
      <c r="N1101">
        <v>4502682357</v>
      </c>
      <c r="O1101" s="4">
        <v>6</v>
      </c>
      <c r="P1101" s="1" t="s">
        <v>1522</v>
      </c>
      <c r="Q1101" s="22">
        <v>46224</v>
      </c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25">
      <c r="B1102" s="71">
        <v>30039720</v>
      </c>
      <c r="C1102" s="72" t="s">
        <v>664</v>
      </c>
      <c r="D1102" s="4" t="s">
        <v>89</v>
      </c>
      <c r="E1102" s="3"/>
      <c r="F1102" s="3" t="s">
        <v>69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25">
      <c r="B1103" s="4">
        <v>30039721</v>
      </c>
      <c r="C1103" s="1" t="s">
        <v>665</v>
      </c>
      <c r="D1103" s="4" t="s">
        <v>89</v>
      </c>
      <c r="E1103" s="3"/>
      <c r="F1103" s="3" t="s">
        <v>69</v>
      </c>
      <c r="G1103" s="4">
        <v>10</v>
      </c>
      <c r="H1103" s="4">
        <v>6</v>
      </c>
      <c r="I1103" s="4">
        <v>9</v>
      </c>
      <c r="J1103" s="4" t="s">
        <v>8</v>
      </c>
      <c r="K1103" s="4" t="s">
        <v>9</v>
      </c>
      <c r="L1103" s="11"/>
      <c r="M1103" s="3"/>
      <c r="N1103">
        <v>4502682357</v>
      </c>
      <c r="O1103" s="4">
        <v>20</v>
      </c>
      <c r="P1103" s="1" t="s">
        <v>1522</v>
      </c>
      <c r="Q1103" s="22">
        <v>46224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25">
      <c r="B1104" s="4">
        <v>30039722</v>
      </c>
      <c r="C1104" s="1" t="s">
        <v>666</v>
      </c>
      <c r="D1104" s="4" t="s">
        <v>89</v>
      </c>
      <c r="E1104" s="3"/>
      <c r="F1104" s="3" t="s">
        <v>69</v>
      </c>
      <c r="G1104" s="4">
        <v>8</v>
      </c>
      <c r="H1104" s="4">
        <v>8</v>
      </c>
      <c r="I1104" s="4">
        <v>9</v>
      </c>
      <c r="J1104" s="4" t="s">
        <v>8</v>
      </c>
      <c r="K1104" s="4" t="s">
        <v>7</v>
      </c>
      <c r="L1104" s="11"/>
      <c r="M1104" s="3"/>
      <c r="N1104">
        <v>4502682357</v>
      </c>
      <c r="O1104" s="4">
        <v>20</v>
      </c>
      <c r="P1104" s="1" t="s">
        <v>1522</v>
      </c>
      <c r="Q1104" s="22">
        <v>46224</v>
      </c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25">
      <c r="B1105" s="4">
        <v>30039723</v>
      </c>
      <c r="C1105" s="1" t="s">
        <v>667</v>
      </c>
      <c r="D1105" s="4" t="s">
        <v>89</v>
      </c>
      <c r="E1105" s="3"/>
      <c r="F1105" s="3" t="s">
        <v>69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25">
      <c r="B1106" s="4">
        <v>30039724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25">
      <c r="B1107" s="4">
        <v>30039725</v>
      </c>
      <c r="C1107" s="1" t="s">
        <v>669</v>
      </c>
      <c r="D1107" s="4" t="s">
        <v>89</v>
      </c>
      <c r="E1107" s="3"/>
      <c r="F1107" s="3" t="s">
        <v>69</v>
      </c>
      <c r="G1107" s="4">
        <v>8</v>
      </c>
      <c r="H1107" s="4">
        <v>8</v>
      </c>
      <c r="I1107" s="4">
        <v>12</v>
      </c>
      <c r="J1107" s="4" t="s">
        <v>8</v>
      </c>
      <c r="K1107" s="4" t="s">
        <v>7</v>
      </c>
      <c r="L1107" s="11"/>
      <c r="M1107" s="3"/>
      <c r="N1107">
        <v>4502682357</v>
      </c>
      <c r="O1107" s="4">
        <v>20</v>
      </c>
      <c r="P1107" s="1" t="s">
        <v>1522</v>
      </c>
      <c r="Q1107" s="22">
        <v>46224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25">
      <c r="B1108" s="4">
        <v>30039857</v>
      </c>
      <c r="C1108" s="1" t="s">
        <v>670</v>
      </c>
      <c r="D1108" s="4" t="s">
        <v>89</v>
      </c>
      <c r="E1108" s="3"/>
      <c r="F1108" s="3" t="s">
        <v>69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66</v>
      </c>
      <c r="U1108" s="1"/>
      <c r="V1108" s="1"/>
      <c r="W1108" s="1"/>
      <c r="X1108" s="1"/>
      <c r="Y1108" s="1"/>
    </row>
    <row r="1109" spans="2:25" x14ac:dyDescent="0.25">
      <c r="B1109" s="4">
        <v>30040054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16</v>
      </c>
      <c r="J1109" s="4" t="s">
        <v>8</v>
      </c>
      <c r="K1109" s="4" t="s">
        <v>9</v>
      </c>
      <c r="L1109" s="11">
        <v>1002644389</v>
      </c>
      <c r="M1109" s="3">
        <v>60</v>
      </c>
      <c r="N1109"/>
      <c r="O1109" s="4"/>
      <c r="P1109" s="1"/>
      <c r="Q1109" s="22"/>
      <c r="R1109"/>
      <c r="S1109" s="11"/>
      <c r="T1109" s="4" t="s">
        <v>71</v>
      </c>
      <c r="U1109" s="1"/>
      <c r="V1109" s="1"/>
      <c r="W1109" s="1"/>
      <c r="X1109" s="1"/>
      <c r="Y1109" s="1"/>
    </row>
    <row r="1110" spans="2:25" x14ac:dyDescent="0.25">
      <c r="B1110" s="4">
        <v>30040061</v>
      </c>
      <c r="C1110" s="1" t="s">
        <v>672</v>
      </c>
      <c r="D1110" s="4" t="s">
        <v>89</v>
      </c>
      <c r="E1110" s="3"/>
      <c r="F1110" s="3" t="s">
        <v>69</v>
      </c>
      <c r="G1110" s="4">
        <v>10</v>
      </c>
      <c r="H1110" s="4">
        <v>10</v>
      </c>
      <c r="I1110" s="4">
        <v>16</v>
      </c>
      <c r="J1110" s="4" t="s">
        <v>8</v>
      </c>
      <c r="K1110" s="4" t="s">
        <v>7</v>
      </c>
      <c r="L1110" s="70"/>
      <c r="M1110" s="3"/>
      <c r="N1110"/>
      <c r="O1110" s="4"/>
      <c r="P1110" s="1"/>
      <c r="Q1110" s="22"/>
      <c r="R1110"/>
      <c r="S1110" s="11"/>
      <c r="T1110" s="4" t="s">
        <v>73</v>
      </c>
      <c r="U1110" s="1"/>
      <c r="V1110" s="1"/>
      <c r="W1110" s="1"/>
      <c r="X1110" s="1"/>
      <c r="Y1110" s="1"/>
    </row>
    <row r="1111" spans="2:25" x14ac:dyDescent="0.25">
      <c r="B1111" s="4">
        <v>30040066</v>
      </c>
      <c r="C1111" s="1" t="s">
        <v>673</v>
      </c>
      <c r="D1111" s="4" t="s">
        <v>89</v>
      </c>
      <c r="E1111" s="3"/>
      <c r="F1111" s="3" t="s">
        <v>69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1576</v>
      </c>
      <c r="Q1111" s="22">
        <v>46219</v>
      </c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x14ac:dyDescent="0.25">
      <c r="B1112" s="4">
        <v>30040334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/>
      <c r="V1112" s="1"/>
      <c r="W1112" s="1"/>
      <c r="X1112" s="1"/>
      <c r="Y1112" s="1"/>
    </row>
    <row r="1113" spans="2:25" x14ac:dyDescent="0.25">
      <c r="B1113" s="4">
        <v>30040335</v>
      </c>
      <c r="C1113" s="1" t="s">
        <v>675</v>
      </c>
      <c r="D1113" s="4" t="s">
        <v>89</v>
      </c>
      <c r="E1113" s="3"/>
      <c r="F1113" s="3" t="s">
        <v>69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/>
      <c r="V1113" s="1"/>
      <c r="W1113" s="1"/>
      <c r="X1113" s="1"/>
      <c r="Y1113" s="1"/>
    </row>
    <row r="1114" spans="2:25" x14ac:dyDescent="0.25">
      <c r="B1114" s="4">
        <v>30040399</v>
      </c>
      <c r="C1114" s="1" t="s">
        <v>676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/>
      <c r="V1114" s="1"/>
      <c r="W1114" s="1"/>
      <c r="X1114" s="1"/>
      <c r="Y1114" s="1"/>
    </row>
    <row r="1115" spans="2:25" x14ac:dyDescent="0.25">
      <c r="B1115" s="4">
        <v>30040401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73</v>
      </c>
      <c r="U1115" s="1"/>
      <c r="V1115" s="1"/>
      <c r="W1115" s="1"/>
      <c r="X1115" s="1"/>
      <c r="Y1115" s="1"/>
    </row>
    <row r="1116" spans="2:25" x14ac:dyDescent="0.25">
      <c r="B1116" s="4">
        <v>30040531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/>
      <c r="V1116" s="1"/>
      <c r="W1116" s="1"/>
      <c r="X1116" s="1"/>
      <c r="Y1116" s="1"/>
    </row>
    <row r="1117" spans="2:25" x14ac:dyDescent="0.25">
      <c r="B1117" s="4">
        <v>30040533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25">
      <c r="B1118" s="4">
        <v>30040586</v>
      </c>
      <c r="C1118" s="1" t="s">
        <v>59</v>
      </c>
      <c r="D1118" s="4" t="s">
        <v>89</v>
      </c>
      <c r="E1118" s="3"/>
      <c r="F1118" s="3" t="s">
        <v>69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25">
      <c r="B1119" s="4">
        <v>30040587</v>
      </c>
      <c r="C1119" s="1" t="s">
        <v>60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/>
      <c r="V1119" s="1"/>
      <c r="W1119" s="1"/>
      <c r="X1119" s="1"/>
      <c r="Y1119" s="1"/>
    </row>
    <row r="1120" spans="2:25" x14ac:dyDescent="0.25">
      <c r="B1120" s="4">
        <v>30040717</v>
      </c>
      <c r="C1120" s="1" t="s">
        <v>680</v>
      </c>
      <c r="D1120" s="4" t="s">
        <v>89</v>
      </c>
      <c r="E1120" s="3"/>
      <c r="F1120" s="3" t="s">
        <v>69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25">
      <c r="B1121" s="4">
        <v>30040761</v>
      </c>
      <c r="C1121" s="1" t="s">
        <v>681</v>
      </c>
      <c r="D1121" s="4" t="s">
        <v>89</v>
      </c>
      <c r="E1121" s="3"/>
      <c r="F1121" s="3" t="s">
        <v>69</v>
      </c>
      <c r="G1121" s="4">
        <v>3</v>
      </c>
      <c r="H1121" s="4">
        <v>5</v>
      </c>
      <c r="I1121" s="4">
        <v>7</v>
      </c>
      <c r="J1121" s="4" t="s">
        <v>8</v>
      </c>
      <c r="K1121" s="4" t="s">
        <v>7</v>
      </c>
      <c r="L1121" s="11"/>
      <c r="M1121" s="3"/>
      <c r="N1121">
        <v>4502682357</v>
      </c>
      <c r="O1121" s="4">
        <v>10</v>
      </c>
      <c r="P1121" s="1" t="s">
        <v>1522</v>
      </c>
      <c r="Q1121" s="22">
        <v>46224</v>
      </c>
      <c r="R1121"/>
      <c r="S1121" s="11"/>
      <c r="T1121" s="4" t="s">
        <v>73</v>
      </c>
      <c r="U1121" s="1"/>
      <c r="V1121" s="1"/>
      <c r="W1121" s="1"/>
      <c r="X1121" s="1"/>
      <c r="Y1121" s="1"/>
    </row>
    <row r="1122" spans="2:25" x14ac:dyDescent="0.25">
      <c r="B1122" s="4">
        <v>30040762</v>
      </c>
      <c r="C1122" s="1" t="s">
        <v>682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>
        <v>4502682357</v>
      </c>
      <c r="O1122" s="4">
        <v>6</v>
      </c>
      <c r="P1122" s="1" t="s">
        <v>1522</v>
      </c>
      <c r="Q1122" s="22">
        <v>46224</v>
      </c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25">
      <c r="B1123" s="4">
        <v>30040974</v>
      </c>
      <c r="C1123" s="1" t="s">
        <v>683</v>
      </c>
      <c r="D1123" s="4" t="s">
        <v>89</v>
      </c>
      <c r="E1123" s="3"/>
      <c r="F1123" s="3" t="s">
        <v>69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25">
      <c r="B1124" s="4">
        <v>30040976</v>
      </c>
      <c r="C1124" s="1" t="s">
        <v>684</v>
      </c>
      <c r="D1124" s="4" t="s">
        <v>89</v>
      </c>
      <c r="E1124" s="3"/>
      <c r="F1124" s="3" t="s">
        <v>69</v>
      </c>
      <c r="G1124" s="4">
        <v>6</v>
      </c>
      <c r="H1124" s="4">
        <v>6</v>
      </c>
      <c r="I1124" s="4">
        <v>9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25">
      <c r="B1125" s="4">
        <v>30041021</v>
      </c>
      <c r="C1125" s="1" t="s">
        <v>685</v>
      </c>
      <c r="D1125" s="4" t="s">
        <v>89</v>
      </c>
      <c r="E1125" s="3"/>
      <c r="F1125" s="3" t="s">
        <v>69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25">
      <c r="B1126" s="4">
        <v>30041025</v>
      </c>
      <c r="C1126" s="1" t="s">
        <v>1542</v>
      </c>
      <c r="D1126" s="4" t="s">
        <v>89</v>
      </c>
      <c r="E1126" s="3"/>
      <c r="F1126" s="3" t="s">
        <v>69</v>
      </c>
      <c r="G1126" s="4">
        <v>2</v>
      </c>
      <c r="H1126" s="4">
        <v>1</v>
      </c>
      <c r="I1126" s="4">
        <v>3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25">
      <c r="B1127" s="4">
        <v>30041026</v>
      </c>
      <c r="C1127" s="1" t="s">
        <v>1543</v>
      </c>
      <c r="D1127" s="4" t="s">
        <v>89</v>
      </c>
      <c r="E1127" s="3"/>
      <c r="F1127" s="3" t="s">
        <v>69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25">
      <c r="B1128" s="4">
        <v>30041029</v>
      </c>
      <c r="C1128" s="1" t="s">
        <v>686</v>
      </c>
      <c r="D1128" s="4" t="s">
        <v>89</v>
      </c>
      <c r="E1128" s="3"/>
      <c r="F1128" s="3" t="s">
        <v>69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1522</v>
      </c>
      <c r="Q1128" s="22">
        <v>45758</v>
      </c>
      <c r="R1128"/>
      <c r="S1128" s="11" t="s">
        <v>1618</v>
      </c>
      <c r="T1128" s="4" t="s">
        <v>73</v>
      </c>
      <c r="U1128" s="1"/>
      <c r="V1128" s="1"/>
      <c r="W1128" s="1"/>
      <c r="X1128" s="1"/>
      <c r="Y1128" s="1"/>
    </row>
    <row r="1129" spans="2:25" x14ac:dyDescent="0.25">
      <c r="B1129" s="4">
        <v>30041335</v>
      </c>
      <c r="C1129" s="1" t="s">
        <v>1526</v>
      </c>
      <c r="D1129" s="4" t="s">
        <v>89</v>
      </c>
      <c r="E1129" s="3"/>
      <c r="F1129" s="3" t="s">
        <v>69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1629</v>
      </c>
      <c r="Q1129" s="22">
        <v>46230</v>
      </c>
      <c r="R1129"/>
      <c r="S1129" s="11"/>
      <c r="T1129" s="4" t="s">
        <v>67</v>
      </c>
      <c r="U1129" s="1"/>
      <c r="V1129" s="1"/>
      <c r="W1129" s="1"/>
      <c r="X1129" s="1"/>
      <c r="Y1129" s="1"/>
    </row>
    <row r="1130" spans="2:25" x14ac:dyDescent="0.25">
      <c r="B1130" s="4">
        <v>30041344</v>
      </c>
      <c r="C1130" s="1" t="s">
        <v>687</v>
      </c>
      <c r="D1130" s="4" t="s">
        <v>89</v>
      </c>
      <c r="E1130" s="3"/>
      <c r="F1130" s="3" t="s">
        <v>69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73</v>
      </c>
      <c r="U1130" s="1"/>
      <c r="V1130" s="1"/>
      <c r="W1130" s="1"/>
      <c r="X1130" s="1"/>
      <c r="Y1130" s="1"/>
    </row>
    <row r="1131" spans="2:25" x14ac:dyDescent="0.25">
      <c r="B1131" s="4">
        <v>30041725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/>
      <c r="V1131" s="1"/>
      <c r="W1131" s="1"/>
      <c r="X1131" s="1"/>
      <c r="Y1131" s="1"/>
    </row>
    <row r="1132" spans="2:25" x14ac:dyDescent="0.25">
      <c r="B1132" s="4">
        <v>30041726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25">
      <c r="B1133" s="4">
        <v>30041727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25">
      <c r="B1134" s="4">
        <v>30041798</v>
      </c>
      <c r="C1134" s="1" t="s">
        <v>691</v>
      </c>
      <c r="D1134" s="4" t="s">
        <v>89</v>
      </c>
      <c r="E1134" s="3"/>
      <c r="F1134" s="3" t="s">
        <v>69</v>
      </c>
      <c r="G1134" s="4">
        <v>10</v>
      </c>
      <c r="H1134" s="4">
        <v>15</v>
      </c>
      <c r="I1134" s="4">
        <v>16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71</v>
      </c>
      <c r="U1134" s="1"/>
      <c r="V1134" s="1"/>
      <c r="W1134" s="1"/>
      <c r="X1134" s="1"/>
      <c r="Y1134" s="1"/>
    </row>
    <row r="1135" spans="2:25" x14ac:dyDescent="0.25">
      <c r="B1135" s="4">
        <v>30041812</v>
      </c>
      <c r="C1135" s="1" t="s">
        <v>692</v>
      </c>
      <c r="D1135" s="4" t="s">
        <v>89</v>
      </c>
      <c r="E1135" s="3"/>
      <c r="F1135" s="3" t="s">
        <v>69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67</v>
      </c>
      <c r="U1135" s="1"/>
      <c r="V1135" s="1"/>
      <c r="W1135" s="1"/>
      <c r="X1135" s="1"/>
      <c r="Y1135" s="1"/>
    </row>
    <row r="1136" spans="2:25" x14ac:dyDescent="0.25">
      <c r="B1136" s="4">
        <v>30042073</v>
      </c>
      <c r="C1136" s="1" t="s">
        <v>693</v>
      </c>
      <c r="D1136" s="4" t="s">
        <v>89</v>
      </c>
      <c r="E1136" s="3"/>
      <c r="F1136" s="3" t="s">
        <v>69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/>
      <c r="V1136" s="1"/>
      <c r="W1136" s="1"/>
      <c r="X1136" s="1"/>
      <c r="Y1136" s="1"/>
    </row>
    <row r="1137" spans="2:25" x14ac:dyDescent="0.25">
      <c r="B1137" s="4">
        <v>30042134</v>
      </c>
      <c r="C1137" s="1" t="s">
        <v>1263</v>
      </c>
      <c r="D1137" s="4" t="s">
        <v>89</v>
      </c>
      <c r="E1137" s="3" t="s">
        <v>1228</v>
      </c>
      <c r="F1137" s="3" t="s">
        <v>105</v>
      </c>
      <c r="G1137" s="4">
        <v>4</v>
      </c>
      <c r="H1137" s="4">
        <v>3</v>
      </c>
      <c r="I1137" s="4">
        <v>2</v>
      </c>
      <c r="J1137" s="4" t="s">
        <v>8</v>
      </c>
      <c r="K1137" s="4" t="s">
        <v>9</v>
      </c>
      <c r="L1137" s="11"/>
      <c r="M1137" s="3"/>
      <c r="N1137">
        <v>4700160563</v>
      </c>
      <c r="O1137" s="4">
        <v>3</v>
      </c>
      <c r="P1137" s="1" t="s">
        <v>1571</v>
      </c>
      <c r="Q1137" s="22">
        <v>46157</v>
      </c>
      <c r="R1137"/>
      <c r="S1137" s="11"/>
      <c r="T1137" s="4" t="s">
        <v>74</v>
      </c>
      <c r="U1137" s="1"/>
      <c r="V1137" s="1"/>
      <c r="W1137" s="1"/>
      <c r="X1137" s="1"/>
      <c r="Y1137" s="1"/>
    </row>
    <row r="1138" spans="2:25" x14ac:dyDescent="0.25">
      <c r="B1138" s="4">
        <v>30042139</v>
      </c>
      <c r="C1138" s="1" t="s">
        <v>694</v>
      </c>
      <c r="D1138" s="4" t="s">
        <v>89</v>
      </c>
      <c r="E1138" s="3"/>
      <c r="F1138" s="3" t="s">
        <v>69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25">
      <c r="B1139" s="4">
        <v>30042699</v>
      </c>
      <c r="C1139" s="1" t="s">
        <v>794</v>
      </c>
      <c r="D1139" s="4" t="s">
        <v>89</v>
      </c>
      <c r="E1139" s="3"/>
      <c r="F1139" s="3" t="s">
        <v>69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66</v>
      </c>
      <c r="U1139" s="1"/>
      <c r="V1139" s="1"/>
      <c r="W1139" s="1"/>
      <c r="X1139" s="1"/>
      <c r="Y1139" s="1"/>
    </row>
    <row r="1140" spans="2:25" x14ac:dyDescent="0.25">
      <c r="B1140" s="4">
        <v>30042701</v>
      </c>
      <c r="C1140" s="1" t="s">
        <v>695</v>
      </c>
      <c r="D1140" s="4" t="s">
        <v>89</v>
      </c>
      <c r="E1140" s="3"/>
      <c r="F1140" s="3" t="s">
        <v>69</v>
      </c>
      <c r="G1140" s="4">
        <v>4</v>
      </c>
      <c r="H1140" s="4">
        <v>10</v>
      </c>
      <c r="I1140" s="4">
        <v>9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25">
      <c r="B1141" s="4">
        <v>30042934</v>
      </c>
      <c r="C1141" s="1" t="s">
        <v>696</v>
      </c>
      <c r="D1141" s="4" t="s">
        <v>89</v>
      </c>
      <c r="E1141" s="3"/>
      <c r="F1141" s="3" t="s">
        <v>69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11"/>
      <c r="T1141" s="4" t="s">
        <v>73</v>
      </c>
      <c r="U1141" s="1"/>
      <c r="V1141" s="1"/>
      <c r="W1141" s="1"/>
      <c r="X1141" s="1"/>
      <c r="Y1141" s="1"/>
    </row>
    <row r="1142" spans="2:25" x14ac:dyDescent="0.25">
      <c r="B1142" s="4">
        <v>30042935</v>
      </c>
      <c r="C1142" s="1" t="s">
        <v>697</v>
      </c>
      <c r="D1142" s="4" t="s">
        <v>89</v>
      </c>
      <c r="E1142" s="3"/>
      <c r="F1142" s="3" t="s">
        <v>69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25">
      <c r="B1143" s="4">
        <v>30042937</v>
      </c>
      <c r="C1143" s="1" t="s">
        <v>1544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25">
      <c r="B1144" s="4">
        <v>30042938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25">
      <c r="B1145" s="4">
        <v>30042939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25">
      <c r="B1146" s="4">
        <v>30042940</v>
      </c>
      <c r="C1146" s="1" t="s">
        <v>1545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25">
      <c r="B1147" s="4">
        <v>30042942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25">
      <c r="B1148" s="4">
        <v>30042943</v>
      </c>
      <c r="C1148" s="1" t="s">
        <v>61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29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25">
      <c r="B1149" s="4">
        <v>30042944</v>
      </c>
      <c r="C1149" s="1" t="s">
        <v>1272</v>
      </c>
      <c r="D1149" s="4" t="s">
        <v>89</v>
      </c>
      <c r="E1149" s="3"/>
      <c r="F1149" s="3" t="s">
        <v>69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1619</v>
      </c>
      <c r="T1149" s="4" t="s">
        <v>73</v>
      </c>
      <c r="U1149" s="1"/>
      <c r="V1149" s="1"/>
      <c r="W1149" s="1"/>
      <c r="X1149" s="1"/>
      <c r="Y1149" s="1"/>
    </row>
    <row r="1150" spans="2:25" x14ac:dyDescent="0.25">
      <c r="B1150" s="4">
        <v>30042945</v>
      </c>
      <c r="C1150" s="1" t="s">
        <v>700</v>
      </c>
      <c r="D1150" s="4" t="s">
        <v>89</v>
      </c>
      <c r="E1150" s="3"/>
      <c r="F1150" s="3" t="s">
        <v>69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25">
      <c r="B1151" s="4">
        <v>30042946</v>
      </c>
      <c r="C1151" s="1" t="s">
        <v>701</v>
      </c>
      <c r="D1151" s="4" t="s">
        <v>89</v>
      </c>
      <c r="E1151" s="3"/>
      <c r="F1151" s="3" t="s">
        <v>69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/>
      <c r="V1151" s="1"/>
      <c r="W1151" s="1"/>
      <c r="X1151" s="1"/>
      <c r="Y1151" s="1"/>
    </row>
    <row r="1152" spans="2:25" x14ac:dyDescent="0.25">
      <c r="B1152" s="4">
        <v>30042947</v>
      </c>
      <c r="C1152" s="1" t="s">
        <v>62</v>
      </c>
      <c r="D1152" s="4" t="s">
        <v>89</v>
      </c>
      <c r="E1152" s="3"/>
      <c r="F1152" s="3" t="s">
        <v>69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25">
      <c r="B1153" s="4">
        <v>30042948</v>
      </c>
      <c r="C1153" s="1" t="s">
        <v>1547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25">
      <c r="B1154" s="4">
        <v>30042949</v>
      </c>
      <c r="C1154" s="1" t="s">
        <v>702</v>
      </c>
      <c r="D1154" s="4" t="s">
        <v>89</v>
      </c>
      <c r="E1154" s="3"/>
      <c r="F1154" s="3" t="s">
        <v>69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25">
      <c r="B1155" s="4">
        <v>30042950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25">
      <c r="B1156" s="4">
        <v>30042951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1620</v>
      </c>
      <c r="T1156" s="4" t="s">
        <v>73</v>
      </c>
      <c r="U1156" s="1"/>
      <c r="V1156" s="1"/>
      <c r="W1156" s="1"/>
      <c r="X1156" s="1"/>
      <c r="Y1156" s="1"/>
    </row>
    <row r="1157" spans="2:25" x14ac:dyDescent="0.25">
      <c r="B1157" s="4">
        <v>30042953</v>
      </c>
      <c r="C1157" s="1" t="s">
        <v>63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25">
      <c r="B1158" s="4">
        <v>30042954</v>
      </c>
      <c r="C1158" s="1" t="s">
        <v>1549</v>
      </c>
      <c r="D1158" s="4" t="s">
        <v>89</v>
      </c>
      <c r="E1158" s="3"/>
      <c r="F1158" s="3" t="s">
        <v>69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/>
      <c r="V1158" s="1"/>
      <c r="W1158" s="1"/>
      <c r="X1158" s="1"/>
      <c r="Y1158" s="1"/>
    </row>
    <row r="1159" spans="2:25" x14ac:dyDescent="0.25">
      <c r="B1159" s="4">
        <v>30042955</v>
      </c>
      <c r="C1159" s="1" t="s">
        <v>704</v>
      </c>
      <c r="D1159" s="4" t="s">
        <v>89</v>
      </c>
      <c r="E1159" s="3"/>
      <c r="F1159" s="3" t="s">
        <v>69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25">
      <c r="B1160" s="4">
        <v>30042956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25">
      <c r="B1161" s="4">
        <v>30042957</v>
      </c>
      <c r="C1161" s="1" t="s">
        <v>1550</v>
      </c>
      <c r="D1161" s="4" t="s">
        <v>89</v>
      </c>
      <c r="E1161" s="3"/>
      <c r="F1161" s="3" t="s">
        <v>69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25">
      <c r="B1162" s="4">
        <v>30043014</v>
      </c>
      <c r="C1162" s="1" t="s">
        <v>706</v>
      </c>
      <c r="D1162" s="4" t="s">
        <v>89</v>
      </c>
      <c r="E1162" s="3"/>
      <c r="F1162" s="3" t="s">
        <v>69</v>
      </c>
      <c r="G1162" s="4">
        <v>2</v>
      </c>
      <c r="H1162" s="4">
        <v>1</v>
      </c>
      <c r="I1162" s="4">
        <v>21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25">
      <c r="B1163" s="4">
        <v>30043017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25">
      <c r="B1164" s="4">
        <v>30043067</v>
      </c>
      <c r="C1164" s="1" t="s">
        <v>708</v>
      </c>
      <c r="D1164" s="4" t="s">
        <v>89</v>
      </c>
      <c r="E1164" s="3"/>
      <c r="F1164" s="3" t="s">
        <v>69</v>
      </c>
      <c r="G1164" s="4">
        <v>4</v>
      </c>
      <c r="H1164" s="4">
        <v>6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71</v>
      </c>
      <c r="U1164" s="1"/>
      <c r="V1164" s="1"/>
      <c r="W1164" s="1"/>
      <c r="X1164" s="1"/>
      <c r="Y1164" s="1"/>
    </row>
    <row r="1165" spans="2:25" x14ac:dyDescent="0.25">
      <c r="B1165" s="4">
        <v>30043291</v>
      </c>
      <c r="C1165" s="1" t="s">
        <v>709</v>
      </c>
      <c r="D1165" s="4" t="s">
        <v>89</v>
      </c>
      <c r="E1165" s="3"/>
      <c r="F1165" s="3" t="s">
        <v>69</v>
      </c>
      <c r="G1165" s="4">
        <v>5</v>
      </c>
      <c r="H1165" s="4">
        <v>2</v>
      </c>
      <c r="I1165" s="4">
        <v>3</v>
      </c>
      <c r="J1165" s="4" t="s">
        <v>8</v>
      </c>
      <c r="K1165" s="4" t="s">
        <v>9</v>
      </c>
      <c r="L1165" s="11" t="s">
        <v>1661</v>
      </c>
      <c r="M1165" s="3">
        <v>4</v>
      </c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25">
      <c r="B1166" s="4">
        <v>30043292</v>
      </c>
      <c r="C1166" s="1" t="s">
        <v>710</v>
      </c>
      <c r="D1166" s="4" t="s">
        <v>89</v>
      </c>
      <c r="E1166" s="3"/>
      <c r="F1166" s="3" t="s">
        <v>69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x14ac:dyDescent="0.25">
      <c r="B1167" s="4">
        <v>30043306</v>
      </c>
      <c r="C1167" s="1" t="s">
        <v>711</v>
      </c>
      <c r="D1167" s="4" t="s">
        <v>89</v>
      </c>
      <c r="E1167" s="3"/>
      <c r="F1167" s="3" t="s">
        <v>69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25">
      <c r="B1168" s="4">
        <v>30043323</v>
      </c>
      <c r="C1168" s="1" t="s">
        <v>712</v>
      </c>
      <c r="D1168" s="4" t="s">
        <v>89</v>
      </c>
      <c r="E1168" s="3"/>
      <c r="F1168" s="3" t="s">
        <v>69</v>
      </c>
      <c r="G1168" s="4">
        <v>12</v>
      </c>
      <c r="H1168" s="4">
        <v>4</v>
      </c>
      <c r="I1168" s="4">
        <v>40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25">
      <c r="B1169" s="4">
        <v>30043361</v>
      </c>
      <c r="C1169" s="1" t="s">
        <v>713</v>
      </c>
      <c r="D1169" s="4" t="s">
        <v>89</v>
      </c>
      <c r="E1169" s="3"/>
      <c r="F1169" s="3" t="s">
        <v>69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25">
      <c r="B1170" s="4">
        <v>30043362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25">
      <c r="B1171" s="4">
        <v>30043478</v>
      </c>
      <c r="C1171" s="1" t="s">
        <v>715</v>
      </c>
      <c r="D1171" s="4" t="s">
        <v>89</v>
      </c>
      <c r="E1171" s="3"/>
      <c r="F1171" s="3" t="s">
        <v>69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25">
      <c r="B1172" s="4">
        <v>30043585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2</v>
      </c>
      <c r="J1172" s="4" t="s">
        <v>8</v>
      </c>
      <c r="K1172" s="4" t="s">
        <v>9</v>
      </c>
      <c r="L1172" s="11"/>
      <c r="M1172" s="3"/>
      <c r="N1172">
        <v>4502676871</v>
      </c>
      <c r="O1172" s="4">
        <v>5</v>
      </c>
      <c r="P1172" s="1" t="s">
        <v>1647</v>
      </c>
      <c r="Q1172" s="22">
        <v>46192</v>
      </c>
      <c r="R1172"/>
      <c r="S1172" s="11"/>
      <c r="T1172" s="4" t="s">
        <v>74</v>
      </c>
      <c r="U1172" s="1"/>
      <c r="V1172" s="1"/>
      <c r="W1172" s="1"/>
      <c r="X1172" s="1"/>
      <c r="Y1172" s="1"/>
    </row>
    <row r="1173" spans="2:25" x14ac:dyDescent="0.25">
      <c r="B1173" s="4">
        <v>30043588</v>
      </c>
      <c r="C1173" s="1" t="s">
        <v>717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25">
      <c r="B1174" s="4">
        <v>30043637</v>
      </c>
      <c r="C1174" s="1" t="s">
        <v>920</v>
      </c>
      <c r="D1174" s="4" t="s">
        <v>89</v>
      </c>
      <c r="E1174" s="3" t="s">
        <v>1228</v>
      </c>
      <c r="F1174" s="3" t="s">
        <v>105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25">
      <c r="B1175" s="4">
        <v>30043639</v>
      </c>
      <c r="C1175" s="1" t="s">
        <v>718</v>
      </c>
      <c r="D1175" s="4" t="s">
        <v>89</v>
      </c>
      <c r="E1175" s="3"/>
      <c r="F1175" s="3" t="s">
        <v>69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25">
      <c r="B1176" s="4">
        <v>30043647</v>
      </c>
      <c r="C1176" s="1" t="s">
        <v>865</v>
      </c>
      <c r="D1176" s="4" t="s">
        <v>89</v>
      </c>
      <c r="E1176" s="3"/>
      <c r="F1176" s="3" t="s">
        <v>105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1"/>
      <c r="V1176" s="11"/>
      <c r="W1176" s="11"/>
      <c r="X1176" s="11"/>
      <c r="Y1176" s="1"/>
    </row>
    <row r="1177" spans="2:25" x14ac:dyDescent="0.25">
      <c r="B1177" s="4">
        <v>30043656</v>
      </c>
      <c r="C1177" s="1" t="s">
        <v>719</v>
      </c>
      <c r="D1177" s="4" t="s">
        <v>89</v>
      </c>
      <c r="E1177" s="3"/>
      <c r="F1177" s="3" t="s">
        <v>69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66</v>
      </c>
      <c r="U1177" s="11"/>
      <c r="V1177" s="11"/>
      <c r="W1177" s="11"/>
      <c r="X1177" s="11"/>
      <c r="Y1177" s="1"/>
    </row>
    <row r="1178" spans="2:25" x14ac:dyDescent="0.25">
      <c r="B1178" s="4">
        <v>30043661</v>
      </c>
      <c r="C1178" s="1" t="s">
        <v>720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1585</v>
      </c>
      <c r="Q1178" s="22">
        <v>46161</v>
      </c>
      <c r="R1178"/>
      <c r="S1178" s="11" t="s">
        <v>1621</v>
      </c>
      <c r="T1178" s="4" t="s">
        <v>67</v>
      </c>
      <c r="U1178" s="11"/>
      <c r="V1178" s="11"/>
      <c r="W1178" s="11"/>
      <c r="X1178" s="11"/>
      <c r="Y1178" s="11"/>
    </row>
    <row r="1179" spans="2:25" x14ac:dyDescent="0.25">
      <c r="B1179" s="4">
        <v>30043663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1"/>
      <c r="V1179" s="11"/>
      <c r="W1179" s="11"/>
      <c r="X1179" s="11"/>
      <c r="Y1179" s="11"/>
    </row>
    <row r="1180" spans="2:25" x14ac:dyDescent="0.25">
      <c r="B1180" s="4">
        <v>30043665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1"/>
      <c r="V1180" s="11"/>
      <c r="W1180" s="11"/>
      <c r="X1180" s="11"/>
      <c r="Y1180" s="11"/>
    </row>
    <row r="1181" spans="2:25" x14ac:dyDescent="0.25">
      <c r="B1181" s="4">
        <v>30043667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25">
      <c r="B1182" s="4">
        <v>30043762</v>
      </c>
      <c r="C1182" s="1" t="s">
        <v>724</v>
      </c>
      <c r="D1182" s="4" t="s">
        <v>89</v>
      </c>
      <c r="E1182" s="73"/>
      <c r="F1182" s="3" t="s">
        <v>69</v>
      </c>
      <c r="G1182" s="4">
        <v>3</v>
      </c>
      <c r="H1182" s="4">
        <v>5</v>
      </c>
      <c r="I1182" s="4">
        <v>5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25">
      <c r="B1183" s="4">
        <v>30043767</v>
      </c>
      <c r="C1183" s="1" t="s">
        <v>725</v>
      </c>
      <c r="D1183" s="4" t="s">
        <v>89</v>
      </c>
      <c r="E1183" s="3"/>
      <c r="F1183" s="3" t="s">
        <v>69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25">
      <c r="B1184" s="4">
        <v>30043820</v>
      </c>
      <c r="C1184" s="1" t="s">
        <v>726</v>
      </c>
      <c r="D1184" s="4" t="s">
        <v>89</v>
      </c>
      <c r="E1184" s="3"/>
      <c r="F1184" s="3" t="s">
        <v>69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25">
      <c r="B1185" s="4">
        <v>30043856</v>
      </c>
      <c r="C1185" s="1" t="s">
        <v>727</v>
      </c>
      <c r="D1185" s="4" t="s">
        <v>89</v>
      </c>
      <c r="E1185" s="3"/>
      <c r="F1185" s="3" t="s">
        <v>69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1656</v>
      </c>
      <c r="M1185" s="3"/>
      <c r="N1185"/>
      <c r="O1185" s="4"/>
      <c r="P1185" s="1"/>
      <c r="Q1185" s="22"/>
      <c r="R1185"/>
      <c r="S1185" s="11" t="s">
        <v>1622</v>
      </c>
      <c r="T1185" s="4" t="s">
        <v>73</v>
      </c>
      <c r="U1185" s="11"/>
      <c r="V1185" s="11"/>
      <c r="W1185" s="11"/>
      <c r="X1185" s="11"/>
      <c r="Y1185" s="11"/>
    </row>
    <row r="1186" spans="2:25" x14ac:dyDescent="0.25">
      <c r="B1186" s="4">
        <v>30043879</v>
      </c>
      <c r="C1186" s="1" t="s">
        <v>728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25">
      <c r="B1187" s="4">
        <v>30043884</v>
      </c>
      <c r="C1187" s="1" t="s">
        <v>729</v>
      </c>
      <c r="D1187" s="4" t="s">
        <v>89</v>
      </c>
      <c r="E1187" s="73"/>
      <c r="F1187" s="3" t="s">
        <v>69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1"/>
      <c r="V1187" s="11"/>
      <c r="W1187" s="11"/>
      <c r="X1187" s="11"/>
      <c r="Y1187" s="11"/>
    </row>
    <row r="1188" spans="2:25" x14ac:dyDescent="0.25">
      <c r="B1188" s="4">
        <v>30044002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23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25">
      <c r="B1189" s="4">
        <v>30045704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25">
      <c r="B1190" s="4">
        <v>30046862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1656</v>
      </c>
      <c r="M1190" s="3"/>
      <c r="N1190"/>
      <c r="O1190" s="4"/>
      <c r="P1190" s="1"/>
      <c r="Q1190" s="22"/>
      <c r="R1190"/>
      <c r="S1190" s="11" t="s">
        <v>1623</v>
      </c>
      <c r="T1190" s="4" t="s">
        <v>73</v>
      </c>
      <c r="U1190" s="11"/>
      <c r="V1190" s="11"/>
      <c r="W1190" s="11"/>
      <c r="X1190" s="11"/>
      <c r="Y1190" s="11"/>
    </row>
    <row r="1191" spans="2:25" x14ac:dyDescent="0.25">
      <c r="B1191" s="4">
        <v>30048788</v>
      </c>
      <c r="C1191" s="1" t="s">
        <v>733</v>
      </c>
      <c r="D1191" s="4" t="s">
        <v>89</v>
      </c>
      <c r="E1191" s="3"/>
      <c r="F1191" s="3" t="s">
        <v>69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66</v>
      </c>
      <c r="U1191" s="11"/>
      <c r="V1191" s="11"/>
      <c r="W1191" s="11"/>
      <c r="X1191" s="11"/>
      <c r="Y1191" s="11"/>
    </row>
    <row r="1192" spans="2:25" x14ac:dyDescent="0.25">
      <c r="B1192" s="4">
        <v>30050566</v>
      </c>
      <c r="C1192" s="1" t="s">
        <v>734</v>
      </c>
      <c r="D1192" s="4" t="s">
        <v>89</v>
      </c>
      <c r="E1192" s="3"/>
      <c r="F1192" s="3" t="s">
        <v>69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1"/>
      <c r="V1192" s="11"/>
      <c r="W1192" s="11"/>
      <c r="X1192" s="11"/>
      <c r="Y1192" s="11"/>
    </row>
    <row r="1193" spans="2:25" x14ac:dyDescent="0.25">
      <c r="B1193" s="4">
        <v>30050573</v>
      </c>
      <c r="C1193" s="1" t="s">
        <v>1092</v>
      </c>
      <c r="D1193" s="4" t="s">
        <v>89</v>
      </c>
      <c r="E1193" s="3"/>
      <c r="F1193" s="3" t="s">
        <v>105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1"/>
      <c r="V1193" s="11"/>
      <c r="W1193" s="11"/>
      <c r="X1193" s="11"/>
      <c r="Y1193" s="11"/>
    </row>
    <row r="1194" spans="2:25" x14ac:dyDescent="0.25">
      <c r="B1194" s="4">
        <v>30050574</v>
      </c>
      <c r="C1194" s="1" t="s">
        <v>735</v>
      </c>
      <c r="D1194" s="4" t="s">
        <v>89</v>
      </c>
      <c r="E1194" s="3"/>
      <c r="F1194" s="3" t="s">
        <v>69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25">
      <c r="B1195" s="4">
        <v>30050579</v>
      </c>
      <c r="C1195" s="1" t="s">
        <v>736</v>
      </c>
      <c r="D1195" s="4" t="s">
        <v>89</v>
      </c>
      <c r="E1195" s="3"/>
      <c r="F1195" s="3" t="s">
        <v>69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1"/>
      <c r="V1195" s="11"/>
      <c r="W1195" s="11"/>
      <c r="X1195" s="11"/>
      <c r="Y1195" s="11"/>
    </row>
    <row r="1196" spans="2:25" x14ac:dyDescent="0.25">
      <c r="B1196" s="4">
        <v>30050583</v>
      </c>
      <c r="C1196" s="1" t="s">
        <v>737</v>
      </c>
      <c r="D1196" s="4" t="s">
        <v>89</v>
      </c>
      <c r="E1196" s="73"/>
      <c r="F1196" s="3" t="s">
        <v>69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25">
      <c r="B1197" s="4">
        <v>30050586</v>
      </c>
      <c r="C1197" s="1" t="s">
        <v>1093</v>
      </c>
      <c r="D1197" s="4" t="s">
        <v>89</v>
      </c>
      <c r="E1197" s="3"/>
      <c r="F1197" s="3" t="s">
        <v>105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1"/>
      <c r="V1197" s="11"/>
      <c r="W1197" s="11"/>
      <c r="X1197" s="11"/>
      <c r="Y1197" s="11"/>
    </row>
    <row r="1198" spans="2:25" x14ac:dyDescent="0.25">
      <c r="B1198" s="4">
        <v>30050731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25">
      <c r="B1199" s="4">
        <v>30050757</v>
      </c>
      <c r="C1199" s="1" t="s">
        <v>1094</v>
      </c>
      <c r="D1199" s="4" t="s">
        <v>89</v>
      </c>
      <c r="E1199" s="3"/>
      <c r="F1199" s="3" t="s">
        <v>69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1656</v>
      </c>
      <c r="M1199" s="3"/>
      <c r="N1199"/>
      <c r="O1199" s="4"/>
      <c r="P1199" s="1"/>
      <c r="Q1199" s="22"/>
      <c r="R1199"/>
      <c r="S1199" s="11" t="s">
        <v>1624</v>
      </c>
      <c r="T1199" s="4" t="s">
        <v>68</v>
      </c>
      <c r="U1199" s="11"/>
      <c r="V1199" s="11"/>
      <c r="W1199" s="11"/>
      <c r="X1199" s="11"/>
      <c r="Y1199" s="11"/>
    </row>
    <row r="1200" spans="2:25" x14ac:dyDescent="0.25">
      <c r="B1200" s="4">
        <v>30050887</v>
      </c>
      <c r="C1200" s="1" t="s">
        <v>866</v>
      </c>
      <c r="D1200" s="4" t="s">
        <v>89</v>
      </c>
      <c r="E1200" s="3"/>
      <c r="F1200" s="3" t="s">
        <v>105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25">
      <c r="B1201" s="4">
        <v>30050889</v>
      </c>
      <c r="C1201" s="1" t="s">
        <v>867</v>
      </c>
      <c r="D1201" s="4" t="s">
        <v>89</v>
      </c>
      <c r="E1201" s="3"/>
      <c r="F1201" s="3" t="s">
        <v>105</v>
      </c>
      <c r="G1201" s="4">
        <v>1</v>
      </c>
      <c r="H1201" s="4">
        <v>2</v>
      </c>
      <c r="I1201" s="4">
        <v>2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73</v>
      </c>
      <c r="U1201" s="11"/>
      <c r="V1201" s="11"/>
      <c r="W1201" s="11"/>
      <c r="X1201" s="11"/>
      <c r="Y1201" s="11"/>
    </row>
    <row r="1202" spans="2:25" x14ac:dyDescent="0.25">
      <c r="B1202" s="4">
        <v>30050922</v>
      </c>
      <c r="C1202" s="1" t="s">
        <v>921</v>
      </c>
      <c r="D1202" s="4" t="s">
        <v>89</v>
      </c>
      <c r="E1202" s="3"/>
      <c r="F1202" s="3" t="s">
        <v>105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66</v>
      </c>
      <c r="U1202" s="11"/>
      <c r="V1202" s="11"/>
      <c r="W1202" s="11"/>
      <c r="X1202" s="11"/>
      <c r="Y1202" s="11"/>
    </row>
    <row r="1203" spans="2:25" x14ac:dyDescent="0.25">
      <c r="B1203" s="4">
        <v>30050978</v>
      </c>
      <c r="C1203" s="1" t="s">
        <v>739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25">
      <c r="B1204" s="4">
        <v>30050979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1"/>
      <c r="V1204" s="11"/>
      <c r="W1204" s="11"/>
      <c r="X1204" s="11"/>
      <c r="Y1204" s="11"/>
    </row>
    <row r="1205" spans="2:25" x14ac:dyDescent="0.25">
      <c r="B1205" s="4">
        <v>30050981</v>
      </c>
      <c r="C1205" s="1" t="s">
        <v>742</v>
      </c>
      <c r="D1205" s="4" t="s">
        <v>89</v>
      </c>
      <c r="E1205" s="3"/>
      <c r="F1205" s="3" t="s">
        <v>69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25">
      <c r="B1206" s="4">
        <v>30051087</v>
      </c>
      <c r="C1206" s="1" t="s">
        <v>743</v>
      </c>
      <c r="D1206" s="4" t="s">
        <v>89</v>
      </c>
      <c r="E1206" s="3"/>
      <c r="F1206" s="3" t="s">
        <v>69</v>
      </c>
      <c r="G1206" s="4">
        <v>6</v>
      </c>
      <c r="H1206" s="4">
        <v>4</v>
      </c>
      <c r="I1206" s="4">
        <v>7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25">
      <c r="B1207" s="4">
        <v>30051088</v>
      </c>
      <c r="C1207" s="1" t="s">
        <v>744</v>
      </c>
      <c r="D1207" s="4" t="s">
        <v>89</v>
      </c>
      <c r="E1207" s="3"/>
      <c r="F1207" s="3" t="s">
        <v>69</v>
      </c>
      <c r="G1207" s="4">
        <v>5</v>
      </c>
      <c r="H1207" s="4">
        <v>3</v>
      </c>
      <c r="I1207" s="4">
        <v>6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1"/>
      <c r="V1207" s="11"/>
      <c r="W1207" s="11"/>
      <c r="X1207" s="11"/>
      <c r="Y1207" s="11"/>
    </row>
    <row r="1208" spans="2:25" x14ac:dyDescent="0.25">
      <c r="B1208" s="4">
        <v>30051089</v>
      </c>
      <c r="C1208" s="1" t="s">
        <v>745</v>
      </c>
      <c r="D1208" s="4" t="s">
        <v>89</v>
      </c>
      <c r="E1208" s="3"/>
      <c r="F1208" s="3" t="s">
        <v>69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25">
      <c r="B1209" s="4">
        <v>30051090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5</v>
      </c>
      <c r="J1209" s="4" t="s">
        <v>8</v>
      </c>
      <c r="K1209" s="4" t="s">
        <v>9</v>
      </c>
      <c r="L1209" s="11">
        <v>1002637281</v>
      </c>
      <c r="M1209" s="3">
        <v>4</v>
      </c>
      <c r="N1209"/>
      <c r="O1209" s="4"/>
      <c r="P1209" s="1"/>
      <c r="Q1209" s="22"/>
      <c r="R1209"/>
      <c r="S1209" s="11"/>
      <c r="T1209" s="4" t="s">
        <v>73</v>
      </c>
      <c r="U1209" s="11"/>
      <c r="V1209" s="11"/>
      <c r="W1209" s="11"/>
      <c r="X1209" s="11"/>
      <c r="Y1209" s="11"/>
    </row>
    <row r="1210" spans="2:25" x14ac:dyDescent="0.25">
      <c r="B1210" s="4">
        <v>30051091</v>
      </c>
      <c r="C1210" s="1" t="s">
        <v>747</v>
      </c>
      <c r="D1210" s="4" t="s">
        <v>89</v>
      </c>
      <c r="E1210" s="3"/>
      <c r="F1210" s="3" t="s">
        <v>69</v>
      </c>
      <c r="G1210" s="4">
        <v>9</v>
      </c>
      <c r="H1210" s="4">
        <v>4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25">
      <c r="B1211" s="4">
        <v>30051092</v>
      </c>
      <c r="C1211" s="1" t="s">
        <v>748</v>
      </c>
      <c r="D1211" s="4" t="s">
        <v>89</v>
      </c>
      <c r="E1211" s="3"/>
      <c r="F1211" s="3" t="s">
        <v>69</v>
      </c>
      <c r="G1211" s="4">
        <v>11</v>
      </c>
      <c r="H1211" s="4">
        <v>5</v>
      </c>
      <c r="I1211" s="4">
        <v>8</v>
      </c>
      <c r="J1211" s="4" t="s">
        <v>8</v>
      </c>
      <c r="K1211" s="4" t="s">
        <v>9</v>
      </c>
      <c r="L1211" s="11"/>
      <c r="M1211" s="3"/>
      <c r="N1211">
        <v>4502674968</v>
      </c>
      <c r="O1211" s="4">
        <v>5</v>
      </c>
      <c r="P1211" s="1" t="s">
        <v>1632</v>
      </c>
      <c r="Q1211" s="22">
        <v>46177</v>
      </c>
      <c r="R1211"/>
      <c r="S1211" s="11"/>
      <c r="T1211" s="4" t="s">
        <v>74</v>
      </c>
      <c r="U1211" s="11"/>
      <c r="V1211" s="11"/>
      <c r="W1211" s="11"/>
      <c r="X1211" s="11"/>
      <c r="Y1211" s="11"/>
    </row>
    <row r="1212" spans="2:25" x14ac:dyDescent="0.25">
      <c r="B1212" s="4">
        <v>30051123</v>
      </c>
      <c r="C1212" s="1" t="s">
        <v>749</v>
      </c>
      <c r="D1212" s="4" t="s">
        <v>89</v>
      </c>
      <c r="E1212" s="3"/>
      <c r="F1212" s="3" t="s">
        <v>69</v>
      </c>
      <c r="G1212" s="4">
        <v>9</v>
      </c>
      <c r="H1212" s="4">
        <v>6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25">
      <c r="B1213" s="4">
        <v>30051124</v>
      </c>
      <c r="C1213" s="1" t="s">
        <v>750</v>
      </c>
      <c r="D1213" s="4" t="s">
        <v>89</v>
      </c>
      <c r="E1213" s="73"/>
      <c r="F1213" s="3" t="s">
        <v>69</v>
      </c>
      <c r="G1213" s="4">
        <v>16</v>
      </c>
      <c r="H1213" s="4">
        <v>16</v>
      </c>
      <c r="I1213" s="4">
        <v>18</v>
      </c>
      <c r="J1213" s="4" t="s">
        <v>8</v>
      </c>
      <c r="K1213" s="4" t="s">
        <v>7</v>
      </c>
      <c r="L1213" s="11">
        <v>1002637281</v>
      </c>
      <c r="M1213" s="3">
        <v>14</v>
      </c>
      <c r="N1213"/>
      <c r="O1213" s="4"/>
      <c r="P1213" s="1"/>
      <c r="Q1213" s="22"/>
      <c r="R1213"/>
      <c r="S1213" s="11"/>
      <c r="T1213" s="4" t="s">
        <v>73</v>
      </c>
      <c r="U1213" s="11"/>
      <c r="V1213" s="11"/>
      <c r="W1213" s="11"/>
      <c r="X1213" s="11"/>
      <c r="Y1213" s="11"/>
    </row>
    <row r="1214" spans="2:25" x14ac:dyDescent="0.25">
      <c r="B1214" s="4">
        <v>30051126</v>
      </c>
      <c r="C1214" s="1" t="s">
        <v>1256</v>
      </c>
      <c r="D1214" s="4" t="s">
        <v>89</v>
      </c>
      <c r="E1214" s="3"/>
      <c r="F1214" s="3" t="s">
        <v>69</v>
      </c>
      <c r="G1214" s="4">
        <v>7</v>
      </c>
      <c r="H1214" s="4">
        <v>4</v>
      </c>
      <c r="I1214" s="4">
        <v>8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25">
      <c r="B1215" s="4">
        <v>30051127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10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25">
      <c r="B1216" s="4">
        <v>30051148</v>
      </c>
      <c r="C1216" s="1" t="s">
        <v>751</v>
      </c>
      <c r="D1216" s="4" t="s">
        <v>89</v>
      </c>
      <c r="E1216" s="3"/>
      <c r="F1216" s="3" t="s">
        <v>69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1625</v>
      </c>
      <c r="T1216" s="4" t="s">
        <v>73</v>
      </c>
      <c r="U1216" s="11"/>
      <c r="V1216" s="11"/>
      <c r="W1216" s="11"/>
      <c r="X1216" s="11"/>
      <c r="Y1216" s="11"/>
    </row>
    <row r="1217" spans="2:25" x14ac:dyDescent="0.25">
      <c r="B1217" s="4">
        <v>30051149</v>
      </c>
      <c r="C1217" s="1" t="s">
        <v>873</v>
      </c>
      <c r="D1217" s="4" t="s">
        <v>89</v>
      </c>
      <c r="E1217" s="3"/>
      <c r="F1217" s="3" t="s">
        <v>105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25">
      <c r="B1218" s="4">
        <v>30051151</v>
      </c>
      <c r="C1218" s="1" t="s">
        <v>922</v>
      </c>
      <c r="D1218" s="4" t="s">
        <v>89</v>
      </c>
      <c r="E1218" s="3" t="s">
        <v>1228</v>
      </c>
      <c r="F1218" s="3" t="s">
        <v>105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1"/>
      <c r="V1218" s="11"/>
      <c r="W1218" s="11"/>
      <c r="X1218" s="11"/>
      <c r="Y1218" s="11"/>
    </row>
    <row r="1219" spans="2:25" x14ac:dyDescent="0.25">
      <c r="B1219" s="4">
        <v>30051303</v>
      </c>
      <c r="C1219" s="1" t="s">
        <v>752</v>
      </c>
      <c r="D1219" s="4" t="s">
        <v>89</v>
      </c>
      <c r="E1219" s="3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25">
      <c r="B1220" s="4">
        <v>30051390</v>
      </c>
      <c r="C1220" s="1" t="s">
        <v>753</v>
      </c>
      <c r="D1220" s="4" t="s">
        <v>89</v>
      </c>
      <c r="E1220" s="3"/>
      <c r="F1220" s="3" t="s">
        <v>69</v>
      </c>
      <c r="G1220" s="4">
        <v>54</v>
      </c>
      <c r="H1220" s="4">
        <v>54</v>
      </c>
      <c r="I1220" s="4">
        <v>49</v>
      </c>
      <c r="J1220" s="4" t="s">
        <v>25</v>
      </c>
      <c r="K1220" s="4" t="s">
        <v>9</v>
      </c>
      <c r="L1220" s="11" t="s">
        <v>1666</v>
      </c>
      <c r="M1220" s="3">
        <v>54</v>
      </c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25">
      <c r="B1221" s="4">
        <v>30051434</v>
      </c>
      <c r="C1221" s="1" t="s">
        <v>754</v>
      </c>
      <c r="D1221" s="4" t="s">
        <v>89</v>
      </c>
      <c r="E1221" s="3"/>
      <c r="F1221" s="3" t="s">
        <v>69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25">
      <c r="B1222" s="4">
        <v>30051435</v>
      </c>
      <c r="C1222" s="1" t="s">
        <v>755</v>
      </c>
      <c r="D1222" s="4" t="s">
        <v>89</v>
      </c>
      <c r="E1222" s="3"/>
      <c r="F1222" s="3" t="s">
        <v>69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1"/>
      <c r="V1222" s="11"/>
      <c r="W1222" s="11"/>
      <c r="X1222" s="11"/>
      <c r="Y1222" s="11"/>
    </row>
    <row r="1223" spans="2:25" x14ac:dyDescent="0.25">
      <c r="B1223" s="4">
        <v>30051440</v>
      </c>
      <c r="C1223" s="1" t="s">
        <v>756</v>
      </c>
      <c r="D1223" s="4" t="s">
        <v>89</v>
      </c>
      <c r="E1223" s="3"/>
      <c r="F1223" s="3" t="s">
        <v>69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25">
      <c r="B1224" s="4">
        <v>30051455</v>
      </c>
      <c r="C1224" s="1" t="s">
        <v>757</v>
      </c>
      <c r="D1224" s="4" t="s">
        <v>89</v>
      </c>
      <c r="E1224" s="3"/>
      <c r="F1224" s="3" t="s">
        <v>69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25">
      <c r="B1225" s="4">
        <v>30051537</v>
      </c>
      <c r="C1225" s="1" t="s">
        <v>758</v>
      </c>
      <c r="D1225" s="4" t="s">
        <v>89</v>
      </c>
      <c r="E1225" s="3"/>
      <c r="F1225" s="3" t="s">
        <v>69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>
        <v>4502674443</v>
      </c>
      <c r="O1225" s="4">
        <v>300</v>
      </c>
      <c r="P1225" s="1" t="s">
        <v>1513</v>
      </c>
      <c r="Q1225" s="22">
        <v>46169</v>
      </c>
      <c r="R1225"/>
      <c r="S1225" s="11"/>
      <c r="T1225" s="4" t="s">
        <v>71</v>
      </c>
      <c r="U1225" s="11"/>
      <c r="V1225" s="11"/>
      <c r="W1225" s="11"/>
      <c r="X1225" s="11"/>
      <c r="Y1225" s="11"/>
    </row>
    <row r="1226" spans="2:25" x14ac:dyDescent="0.25">
      <c r="B1226" s="4">
        <v>30051538</v>
      </c>
      <c r="C1226" s="1" t="s">
        <v>759</v>
      </c>
      <c r="D1226" s="4" t="s">
        <v>89</v>
      </c>
      <c r="E1226" s="3"/>
      <c r="F1226" s="3" t="s">
        <v>69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/>
      <c r="M1226" s="3"/>
      <c r="N1226">
        <v>4502674443</v>
      </c>
      <c r="O1226" s="4">
        <v>200</v>
      </c>
      <c r="P1226" s="1" t="s">
        <v>1513</v>
      </c>
      <c r="Q1226" s="22">
        <v>46169</v>
      </c>
      <c r="R1226"/>
      <c r="S1226" s="11"/>
      <c r="T1226" s="4" t="s">
        <v>71</v>
      </c>
      <c r="U1226" s="11"/>
      <c r="V1226" s="11"/>
      <c r="W1226" s="11"/>
      <c r="X1226" s="11"/>
      <c r="Y1226" s="11"/>
    </row>
    <row r="1227" spans="2:25" x14ac:dyDescent="0.25">
      <c r="B1227" s="4">
        <v>30051539</v>
      </c>
      <c r="C1227" s="1" t="s">
        <v>1510</v>
      </c>
      <c r="D1227" s="4" t="s">
        <v>89</v>
      </c>
      <c r="E1227" s="3"/>
      <c r="F1227" s="3" t="s">
        <v>69</v>
      </c>
      <c r="G1227" s="4">
        <v>100</v>
      </c>
      <c r="H1227" s="4">
        <v>300</v>
      </c>
      <c r="I1227" s="4">
        <v>500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25">
      <c r="B1228" s="4">
        <v>30051540</v>
      </c>
      <c r="C1228" s="1" t="s">
        <v>760</v>
      </c>
      <c r="D1228" s="4" t="s">
        <v>89</v>
      </c>
      <c r="E1228" s="3"/>
      <c r="F1228" s="3" t="s">
        <v>69</v>
      </c>
      <c r="G1228" s="4">
        <v>150</v>
      </c>
      <c r="H1228" s="4">
        <v>300</v>
      </c>
      <c r="I1228" s="4">
        <v>500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25">
      <c r="B1229" s="4">
        <v>30051541</v>
      </c>
      <c r="C1229" s="1" t="s">
        <v>761</v>
      </c>
      <c r="D1229" s="4" t="s">
        <v>89</v>
      </c>
      <c r="E1229" s="3"/>
      <c r="F1229" s="3" t="s">
        <v>69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x14ac:dyDescent="0.25">
      <c r="B1230" s="4">
        <v>30051542</v>
      </c>
      <c r="C1230" s="1" t="s">
        <v>1346</v>
      </c>
      <c r="D1230" s="4" t="s">
        <v>89</v>
      </c>
      <c r="E1230" s="3"/>
      <c r="F1230" s="3" t="s">
        <v>69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66</v>
      </c>
      <c r="U1230" s="11"/>
      <c r="V1230" s="11"/>
      <c r="W1230" s="11"/>
      <c r="X1230" s="11"/>
      <c r="Y1230" s="11"/>
    </row>
    <row r="1231" spans="2:25" x14ac:dyDescent="0.25">
      <c r="B1231" s="4">
        <v>30051548</v>
      </c>
      <c r="C1231" s="1" t="s">
        <v>1172</v>
      </c>
      <c r="D1231" s="4" t="s">
        <v>89</v>
      </c>
      <c r="E1231" s="3" t="s">
        <v>1228</v>
      </c>
      <c r="F1231" s="3" t="s">
        <v>105</v>
      </c>
      <c r="G1231" s="4">
        <v>3</v>
      </c>
      <c r="H1231" s="4">
        <v>2</v>
      </c>
      <c r="I1231" s="4">
        <v>2</v>
      </c>
      <c r="J1231" s="4" t="s">
        <v>8</v>
      </c>
      <c r="K1231" s="4" t="s">
        <v>9</v>
      </c>
      <c r="L1231" s="11">
        <v>1002620017</v>
      </c>
      <c r="M1231" s="3">
        <v>3</v>
      </c>
      <c r="N1231"/>
      <c r="O1231" s="4"/>
      <c r="P1231" s="1"/>
      <c r="Q1231" s="22"/>
      <c r="R1231"/>
      <c r="S1231" s="11" t="s">
        <v>1639</v>
      </c>
      <c r="T1231" s="4" t="s">
        <v>73</v>
      </c>
      <c r="U1231" s="11"/>
      <c r="V1231" s="11"/>
      <c r="W1231" s="11"/>
      <c r="X1231" s="11"/>
      <c r="Y1231" s="11"/>
    </row>
    <row r="1232" spans="2:25" x14ac:dyDescent="0.25">
      <c r="B1232" s="4">
        <v>30051604</v>
      </c>
      <c r="C1232" s="1" t="s">
        <v>762</v>
      </c>
      <c r="D1232" s="4" t="s">
        <v>89</v>
      </c>
      <c r="E1232" s="3"/>
      <c r="F1232" s="3" t="s">
        <v>69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25">
      <c r="B1233" s="4">
        <v>30051653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3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66</v>
      </c>
      <c r="U1233" s="11"/>
      <c r="V1233" s="11"/>
      <c r="W1233" s="11"/>
      <c r="X1233" s="11"/>
      <c r="Y1233" s="11"/>
    </row>
    <row r="1234" spans="2:25" x14ac:dyDescent="0.25">
      <c r="B1234" s="4">
        <v>30051659</v>
      </c>
      <c r="C1234" s="1" t="s">
        <v>764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74</v>
      </c>
      <c r="U1234" s="11"/>
      <c r="V1234" s="11"/>
      <c r="W1234" s="11"/>
      <c r="X1234" s="11"/>
      <c r="Y1234" s="11"/>
    </row>
    <row r="1235" spans="2:25" x14ac:dyDescent="0.25">
      <c r="B1235" s="4">
        <v>30051725</v>
      </c>
      <c r="C1235" s="1" t="s">
        <v>765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25">
      <c r="B1236" s="4">
        <v>30051767</v>
      </c>
      <c r="C1236" s="1" t="s">
        <v>766</v>
      </c>
      <c r="D1236" s="4" t="s">
        <v>89</v>
      </c>
      <c r="E1236" s="3"/>
      <c r="F1236" s="3" t="s">
        <v>69</v>
      </c>
      <c r="G1236" s="4">
        <v>20</v>
      </c>
      <c r="H1236" s="4">
        <v>20</v>
      </c>
      <c r="I1236" s="4">
        <v>38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1"/>
      <c r="V1236" s="11"/>
      <c r="W1236" s="11"/>
      <c r="X1236" s="11"/>
      <c r="Y1236" s="11"/>
    </row>
    <row r="1237" spans="2:25" x14ac:dyDescent="0.25">
      <c r="B1237" s="4">
        <v>30052253</v>
      </c>
      <c r="C1237" s="1" t="s">
        <v>767</v>
      </c>
      <c r="D1237" s="4" t="s">
        <v>89</v>
      </c>
      <c r="E1237" s="3"/>
      <c r="F1237" s="3" t="s">
        <v>69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>
        <v>1002648063</v>
      </c>
      <c r="M1237" s="3">
        <v>5</v>
      </c>
      <c r="N1237"/>
      <c r="O1237" s="4"/>
      <c r="P1237" s="1"/>
      <c r="Q1237" s="22"/>
      <c r="R1237"/>
      <c r="S1237" s="11"/>
      <c r="T1237" s="4" t="s">
        <v>73</v>
      </c>
      <c r="U1237" s="11"/>
      <c r="V1237" s="11"/>
      <c r="W1237" s="11"/>
      <c r="X1237" s="11"/>
      <c r="Y1237" s="11"/>
    </row>
    <row r="1238" spans="2:25" x14ac:dyDescent="0.25">
      <c r="B1238" s="4">
        <v>30052303</v>
      </c>
      <c r="C1238" s="1" t="s">
        <v>768</v>
      </c>
      <c r="D1238" s="4" t="s">
        <v>89</v>
      </c>
      <c r="E1238" s="3"/>
      <c r="F1238" s="3" t="s">
        <v>69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1"/>
      <c r="V1238" s="11"/>
      <c r="W1238" s="11"/>
      <c r="X1238" s="11"/>
      <c r="Y1238" s="11"/>
    </row>
    <row r="1239" spans="2:25" x14ac:dyDescent="0.25">
      <c r="B1239" s="4">
        <v>30052311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1"/>
      <c r="V1239" s="11"/>
      <c r="W1239" s="11"/>
      <c r="X1239" s="11"/>
      <c r="Y1239" s="11"/>
    </row>
    <row r="1240" spans="2:25" x14ac:dyDescent="0.25">
      <c r="B1240" s="4">
        <v>30052324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67</v>
      </c>
      <c r="U1240" s="11"/>
      <c r="V1240" s="11"/>
      <c r="W1240" s="11"/>
      <c r="X1240" s="11"/>
      <c r="Y1240" s="11"/>
    </row>
    <row r="1241" spans="2:25" x14ac:dyDescent="0.25">
      <c r="B1241" s="4">
        <v>30052991</v>
      </c>
      <c r="C1241" s="1" t="s">
        <v>1095</v>
      </c>
      <c r="D1241" s="4" t="s">
        <v>89</v>
      </c>
      <c r="E1241" s="3"/>
      <c r="F1241" s="3" t="s">
        <v>105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1"/>
      <c r="V1241" s="11"/>
      <c r="W1241" s="11"/>
      <c r="X1241" s="11"/>
      <c r="Y1241" s="11"/>
    </row>
    <row r="1242" spans="2:25" x14ac:dyDescent="0.25">
      <c r="B1242" s="4">
        <v>30053002</v>
      </c>
      <c r="C1242" s="1" t="s">
        <v>923</v>
      </c>
      <c r="D1242" s="4" t="s">
        <v>89</v>
      </c>
      <c r="E1242" s="3" t="s">
        <v>1228</v>
      </c>
      <c r="F1242" s="3" t="s">
        <v>105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74</v>
      </c>
      <c r="U1242" s="11"/>
      <c r="V1242" s="11"/>
      <c r="W1242" s="11"/>
      <c r="X1242" s="11"/>
      <c r="Y1242" s="11"/>
    </row>
    <row r="1243" spans="2:25" x14ac:dyDescent="0.25">
      <c r="B1243" s="4">
        <v>30053005</v>
      </c>
      <c r="C1243" s="1" t="s">
        <v>924</v>
      </c>
      <c r="D1243" s="4" t="s">
        <v>89</v>
      </c>
      <c r="E1243" s="3" t="s">
        <v>1228</v>
      </c>
      <c r="F1243" s="3" t="s">
        <v>105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1"/>
      <c r="V1243" s="11"/>
      <c r="W1243" s="11"/>
      <c r="X1243" s="11"/>
      <c r="Y1243" s="11"/>
    </row>
    <row r="1244" spans="2:25" x14ac:dyDescent="0.25">
      <c r="B1244" s="4">
        <v>30053006</v>
      </c>
      <c r="C1244" s="1" t="s">
        <v>925</v>
      </c>
      <c r="D1244" s="4" t="s">
        <v>89</v>
      </c>
      <c r="E1244" s="3" t="s">
        <v>1228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25">
      <c r="B1245" s="4">
        <v>30053007</v>
      </c>
      <c r="C1245" s="1" t="s">
        <v>926</v>
      </c>
      <c r="D1245" s="4" t="s">
        <v>89</v>
      </c>
      <c r="E1245" s="3" t="s">
        <v>1228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25">
      <c r="B1246" s="4">
        <v>30053069</v>
      </c>
      <c r="C1246" s="1" t="s">
        <v>1379</v>
      </c>
      <c r="D1246" s="4" t="s">
        <v>89</v>
      </c>
      <c r="E1246" s="3"/>
      <c r="F1246" s="3" t="s">
        <v>69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68</v>
      </c>
      <c r="U1246" s="11"/>
      <c r="V1246" s="11"/>
      <c r="W1246" s="11"/>
      <c r="X1246" s="11"/>
      <c r="Y1246" s="11"/>
    </row>
    <row r="1247" spans="2:25" x14ac:dyDescent="0.25">
      <c r="B1247" s="4">
        <v>30053076</v>
      </c>
      <c r="C1247" s="1" t="s">
        <v>771</v>
      </c>
      <c r="D1247" s="4" t="s">
        <v>89</v>
      </c>
      <c r="E1247" s="3"/>
      <c r="F1247" s="3" t="s">
        <v>69</v>
      </c>
      <c r="G1247" s="4">
        <v>5</v>
      </c>
      <c r="H1247" s="4">
        <v>4</v>
      </c>
      <c r="I1247" s="4">
        <v>4</v>
      </c>
      <c r="J1247" s="4" t="s">
        <v>8</v>
      </c>
      <c r="K1247" s="4" t="s">
        <v>9</v>
      </c>
      <c r="L1247" s="11">
        <v>1002648063</v>
      </c>
      <c r="M1247" s="3">
        <v>4</v>
      </c>
      <c r="N1247"/>
      <c r="O1247" s="4"/>
      <c r="P1247" s="1"/>
      <c r="Q1247" s="22"/>
      <c r="R1247"/>
      <c r="S1247" s="11"/>
      <c r="T1247" s="4" t="s">
        <v>73</v>
      </c>
      <c r="U1247" s="11"/>
      <c r="V1247" s="11"/>
      <c r="W1247" s="11"/>
      <c r="X1247" s="11"/>
      <c r="Y1247" s="11"/>
    </row>
    <row r="1248" spans="2:25" x14ac:dyDescent="0.25">
      <c r="B1248" s="4">
        <v>30053079</v>
      </c>
      <c r="C1248" s="1" t="s">
        <v>772</v>
      </c>
      <c r="D1248" s="4" t="s">
        <v>89</v>
      </c>
      <c r="E1248" s="3"/>
      <c r="F1248" s="3" t="s">
        <v>69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1"/>
      <c r="V1248" s="11"/>
      <c r="W1248" s="11"/>
      <c r="X1248" s="11"/>
      <c r="Y1248" s="11"/>
    </row>
    <row r="1249" spans="2:25" x14ac:dyDescent="0.25">
      <c r="B1249" s="4">
        <v>30053405</v>
      </c>
      <c r="C1249" s="1" t="s">
        <v>773</v>
      </c>
      <c r="D1249" s="4" t="s">
        <v>89</v>
      </c>
      <c r="E1249" s="3"/>
      <c r="F1249" s="3" t="s">
        <v>69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25">
      <c r="B1250" s="4">
        <v>30053646</v>
      </c>
      <c r="C1250" s="1" t="s">
        <v>774</v>
      </c>
      <c r="D1250" s="4" t="s">
        <v>89</v>
      </c>
      <c r="E1250" s="3"/>
      <c r="F1250" s="3" t="s">
        <v>69</v>
      </c>
      <c r="G1250" s="4">
        <v>6</v>
      </c>
      <c r="H1250" s="4">
        <v>8</v>
      </c>
      <c r="I1250" s="4">
        <v>5</v>
      </c>
      <c r="J1250" s="4" t="s">
        <v>8</v>
      </c>
      <c r="K1250" s="4" t="s">
        <v>9</v>
      </c>
      <c r="L1250" s="11">
        <v>1002637281</v>
      </c>
      <c r="M1250" s="3">
        <v>8</v>
      </c>
      <c r="N1250"/>
      <c r="O1250" s="4"/>
      <c r="P1250" s="1"/>
      <c r="Q1250" s="22"/>
      <c r="R1250"/>
      <c r="S1250" s="11"/>
      <c r="T1250" s="4" t="s">
        <v>73</v>
      </c>
      <c r="U1250" s="11"/>
      <c r="V1250" s="11"/>
      <c r="W1250" s="11"/>
      <c r="X1250" s="11"/>
      <c r="Y1250" s="11"/>
    </row>
    <row r="1251" spans="2:25" x14ac:dyDescent="0.25">
      <c r="B1251" s="4">
        <v>30053650</v>
      </c>
      <c r="C1251" s="1" t="s">
        <v>775</v>
      </c>
      <c r="D1251" s="4" t="s">
        <v>89</v>
      </c>
      <c r="E1251" s="3"/>
      <c r="F1251" s="3" t="s">
        <v>69</v>
      </c>
      <c r="G1251" s="4">
        <v>5</v>
      </c>
      <c r="H1251" s="4">
        <v>8</v>
      </c>
      <c r="I1251" s="4">
        <v>10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25">
      <c r="B1252" s="4">
        <v>30053694</v>
      </c>
      <c r="C1252" s="1" t="s">
        <v>776</v>
      </c>
      <c r="D1252" s="4" t="s">
        <v>89</v>
      </c>
      <c r="E1252" s="3"/>
      <c r="F1252" s="3" t="s">
        <v>69</v>
      </c>
      <c r="G1252" s="4">
        <v>8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1"/>
      <c r="V1252" s="11"/>
      <c r="W1252" s="11"/>
      <c r="X1252" s="11"/>
      <c r="Y1252" s="11"/>
    </row>
    <row r="1253" spans="2:25" x14ac:dyDescent="0.25">
      <c r="B1253" s="4">
        <v>30060410</v>
      </c>
      <c r="C1253" s="1" t="s">
        <v>1422</v>
      </c>
      <c r="D1253" s="4" t="s">
        <v>89</v>
      </c>
      <c r="E1253" s="3"/>
      <c r="F1253" s="3" t="s">
        <v>69</v>
      </c>
      <c r="G1253" s="4">
        <v>2</v>
      </c>
      <c r="H1253" s="4">
        <v>4</v>
      </c>
      <c r="I1253" s="4">
        <v>7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67</v>
      </c>
      <c r="U1253" s="11"/>
      <c r="V1253" s="11"/>
      <c r="W1253" s="11"/>
      <c r="X1253" s="11"/>
      <c r="Y1253" s="11"/>
    </row>
    <row r="1254" spans="2:25" x14ac:dyDescent="0.25">
      <c r="B1254" s="4">
        <v>30060836</v>
      </c>
      <c r="C1254" s="1" t="s">
        <v>777</v>
      </c>
      <c r="D1254" s="4" t="s">
        <v>89</v>
      </c>
      <c r="E1254" s="3"/>
      <c r="F1254" s="3" t="s">
        <v>69</v>
      </c>
      <c r="G1254" s="4">
        <v>32</v>
      </c>
      <c r="H1254" s="4">
        <v>32</v>
      </c>
      <c r="I1254" s="4">
        <v>0</v>
      </c>
      <c r="J1254" s="4" t="s">
        <v>8</v>
      </c>
      <c r="K1254" s="4" t="s">
        <v>13</v>
      </c>
      <c r="L1254" s="11"/>
      <c r="M1254" s="3"/>
      <c r="N1254">
        <v>4502509866</v>
      </c>
      <c r="O1254" s="4">
        <v>32</v>
      </c>
      <c r="P1254" s="1" t="s">
        <v>1363</v>
      </c>
      <c r="Q1254" s="22">
        <v>46030</v>
      </c>
      <c r="R1254"/>
      <c r="S1254" s="11" t="s">
        <v>1618</v>
      </c>
      <c r="T1254" s="4" t="s">
        <v>73</v>
      </c>
      <c r="U1254" s="11"/>
      <c r="V1254" s="11"/>
      <c r="W1254" s="11"/>
      <c r="X1254" s="11"/>
      <c r="Y1254" s="11"/>
    </row>
    <row r="1255" spans="2:25" x14ac:dyDescent="0.25">
      <c r="B1255" s="4">
        <v>30063224</v>
      </c>
      <c r="C1255" s="1" t="s">
        <v>778</v>
      </c>
      <c r="D1255" s="4" t="s">
        <v>89</v>
      </c>
      <c r="E1255" s="3"/>
      <c r="F1255" s="3" t="s">
        <v>69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66</v>
      </c>
      <c r="U1255" s="11"/>
      <c r="V1255" s="11"/>
      <c r="W1255" s="11"/>
      <c r="X1255" s="11"/>
      <c r="Y1255" s="11"/>
    </row>
    <row r="1256" spans="2:25" x14ac:dyDescent="0.25">
      <c r="B1256" s="4">
        <v>30063274</v>
      </c>
      <c r="C1256" s="1" t="s">
        <v>927</v>
      </c>
      <c r="D1256" s="4" t="s">
        <v>89</v>
      </c>
      <c r="E1256" s="3" t="s">
        <v>1228</v>
      </c>
      <c r="F1256" s="3" t="s">
        <v>105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1633</v>
      </c>
      <c r="M1256" s="3"/>
      <c r="N1256"/>
      <c r="O1256" s="4"/>
      <c r="P1256" s="1"/>
      <c r="Q1256" s="22"/>
      <c r="R1256"/>
      <c r="S1256" s="11" t="s">
        <v>1607</v>
      </c>
      <c r="T1256" s="4" t="s">
        <v>74</v>
      </c>
      <c r="U1256" s="11"/>
      <c r="V1256" s="11"/>
      <c r="W1256" s="11"/>
      <c r="X1256" s="11"/>
      <c r="Y1256" s="11"/>
    </row>
    <row r="1257" spans="2:25" x14ac:dyDescent="0.25">
      <c r="B1257" s="4">
        <v>30063455</v>
      </c>
      <c r="C1257" s="1" t="s">
        <v>1255</v>
      </c>
      <c r="D1257" s="4" t="s">
        <v>89</v>
      </c>
      <c r="E1257" s="3"/>
      <c r="F1257" s="3" t="s">
        <v>69</v>
      </c>
      <c r="G1257" s="4">
        <v>500</v>
      </c>
      <c r="H1257" s="4">
        <v>200</v>
      </c>
      <c r="I1257" s="4">
        <v>638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25">
      <c r="B1258" s="4">
        <v>30063479</v>
      </c>
      <c r="C1258" s="1" t="s">
        <v>779</v>
      </c>
      <c r="D1258" s="4" t="s">
        <v>89</v>
      </c>
      <c r="E1258" s="3"/>
      <c r="F1258" s="3" t="s">
        <v>69</v>
      </c>
      <c r="G1258" s="4">
        <v>50</v>
      </c>
      <c r="H1258" s="4">
        <v>30</v>
      </c>
      <c r="I1258" s="4">
        <v>69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1"/>
      <c r="V1258" s="11"/>
      <c r="W1258" s="11"/>
      <c r="X1258" s="11"/>
      <c r="Y1258" s="11"/>
    </row>
    <row r="1259" spans="2:25" x14ac:dyDescent="0.25">
      <c r="B1259" s="4">
        <v>30063480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52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25">
      <c r="B1260" s="4">
        <v>30063865</v>
      </c>
      <c r="C1260" s="1" t="s">
        <v>781</v>
      </c>
      <c r="D1260" s="4" t="s">
        <v>89</v>
      </c>
      <c r="E1260" s="3"/>
      <c r="F1260" s="3" t="s">
        <v>69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25">
      <c r="B1261" s="4">
        <v>30063866</v>
      </c>
      <c r="C1261" s="1" t="s">
        <v>782</v>
      </c>
      <c r="D1261" s="4" t="s">
        <v>89</v>
      </c>
      <c r="E1261" s="3"/>
      <c r="F1261" s="3" t="s">
        <v>69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1"/>
      <c r="V1261" s="11"/>
      <c r="W1261" s="11"/>
      <c r="X1261" s="11"/>
      <c r="Y1261" s="11"/>
    </row>
    <row r="1262" spans="2:25" x14ac:dyDescent="0.25">
      <c r="B1262" s="4">
        <v>30063870</v>
      </c>
      <c r="C1262" s="1" t="s">
        <v>1322</v>
      </c>
      <c r="D1262" s="4" t="s">
        <v>89</v>
      </c>
      <c r="E1262" s="3"/>
      <c r="F1262" s="3" t="s">
        <v>69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1"/>
      <c r="V1262" s="11"/>
      <c r="W1262" s="11"/>
      <c r="X1262" s="11"/>
      <c r="Y1262" s="11"/>
    </row>
    <row r="1263" spans="2:25" x14ac:dyDescent="0.25">
      <c r="B1263" s="4">
        <v>30063922</v>
      </c>
      <c r="C1263" s="1" t="s">
        <v>783</v>
      </c>
      <c r="D1263" s="4" t="s">
        <v>89</v>
      </c>
      <c r="E1263" s="3"/>
      <c r="F1263" s="3" t="s">
        <v>69</v>
      </c>
      <c r="G1263" s="4">
        <v>8</v>
      </c>
      <c r="H1263" s="4">
        <v>5</v>
      </c>
      <c r="I1263" s="4">
        <v>12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1"/>
      <c r="V1263" s="11"/>
      <c r="W1263" s="11"/>
      <c r="X1263" s="11"/>
      <c r="Y1263" s="11"/>
    </row>
    <row r="1264" spans="2:25" x14ac:dyDescent="0.25">
      <c r="B1264" s="4">
        <v>30064038</v>
      </c>
      <c r="C1264" s="1" t="s">
        <v>928</v>
      </c>
      <c r="D1264" s="4" t="s">
        <v>89</v>
      </c>
      <c r="E1264" s="3"/>
      <c r="F1264" s="3" t="s">
        <v>105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66</v>
      </c>
      <c r="U1264" s="11"/>
      <c r="V1264" s="11"/>
      <c r="W1264" s="11"/>
      <c r="X1264" s="11"/>
      <c r="Y1264" s="11"/>
    </row>
    <row r="1265" spans="2:25" x14ac:dyDescent="0.25">
      <c r="B1265" s="4">
        <v>30064039</v>
      </c>
      <c r="C1265" s="1" t="s">
        <v>868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1</v>
      </c>
      <c r="J1265" s="4" t="s">
        <v>784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74</v>
      </c>
      <c r="U1265" s="11"/>
      <c r="V1265" s="11"/>
      <c r="W1265" s="11"/>
      <c r="X1265" s="11"/>
      <c r="Y1265" s="11"/>
    </row>
    <row r="1266" spans="2:25" x14ac:dyDescent="0.25">
      <c r="B1266" s="4">
        <v>30064145</v>
      </c>
      <c r="C1266" s="1" t="s">
        <v>1340</v>
      </c>
      <c r="D1266" s="4" t="s">
        <v>89</v>
      </c>
      <c r="E1266" s="3"/>
      <c r="F1266" s="3" t="s">
        <v>69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1"/>
      <c r="V1266" s="11"/>
      <c r="W1266" s="11"/>
      <c r="X1266" s="11"/>
      <c r="Y1266" s="11"/>
    </row>
    <row r="1267" spans="2:25" x14ac:dyDescent="0.25">
      <c r="B1267" s="4">
        <v>30064192</v>
      </c>
      <c r="C1267" s="1" t="s">
        <v>869</v>
      </c>
      <c r="D1267" s="4" t="s">
        <v>89</v>
      </c>
      <c r="E1267" s="3"/>
      <c r="F1267" s="3" t="s">
        <v>105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25">
      <c r="B1268" s="4">
        <v>30064435</v>
      </c>
      <c r="C1268" s="1" t="s">
        <v>1062</v>
      </c>
      <c r="D1268" s="4" t="s">
        <v>89</v>
      </c>
      <c r="E1268" s="3"/>
      <c r="F1268" s="3" t="s">
        <v>69</v>
      </c>
      <c r="G1268" s="4">
        <v>3</v>
      </c>
      <c r="H1268" s="4">
        <v>2</v>
      </c>
      <c r="I1268" s="4">
        <v>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25">
      <c r="B1269" s="4">
        <v>30064436</v>
      </c>
      <c r="C1269" s="1" t="s">
        <v>870</v>
      </c>
      <c r="D1269" s="4" t="s">
        <v>89</v>
      </c>
      <c r="E1269" s="3"/>
      <c r="F1269" s="3" t="s">
        <v>69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1"/>
      <c r="V1269" s="11"/>
      <c r="W1269" s="11"/>
      <c r="X1269" s="11"/>
      <c r="Y1269" s="11"/>
    </row>
    <row r="1270" spans="2:25" x14ac:dyDescent="0.25">
      <c r="B1270" s="4">
        <v>30064437</v>
      </c>
      <c r="C1270" s="1" t="s">
        <v>871</v>
      </c>
      <c r="D1270" s="4" t="s">
        <v>89</v>
      </c>
      <c r="E1270" s="3"/>
      <c r="F1270" s="3" t="s">
        <v>69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25">
      <c r="B1271" s="4">
        <v>30064456</v>
      </c>
      <c r="C1271" s="1" t="s">
        <v>1259</v>
      </c>
      <c r="D1271" s="4" t="s">
        <v>89</v>
      </c>
      <c r="E1271" s="3"/>
      <c r="F1271" s="3" t="s">
        <v>69</v>
      </c>
      <c r="G1271" s="4">
        <v>5</v>
      </c>
      <c r="H1271" s="4">
        <v>8</v>
      </c>
      <c r="I1271" s="4">
        <v>12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 t="s">
        <v>1626</v>
      </c>
      <c r="T1271" s="4" t="s">
        <v>73</v>
      </c>
      <c r="U1271" s="11"/>
      <c r="V1271" s="11"/>
      <c r="W1271" s="11"/>
      <c r="X1271" s="11"/>
      <c r="Y1271" s="11"/>
    </row>
    <row r="1272" spans="2:25" x14ac:dyDescent="0.25">
      <c r="B1272" s="4">
        <v>30064643</v>
      </c>
      <c r="C1272" s="1" t="s">
        <v>785</v>
      </c>
      <c r="D1272" s="4" t="s">
        <v>89</v>
      </c>
      <c r="E1272" s="3"/>
      <c r="F1272" s="3" t="s">
        <v>69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1"/>
      <c r="V1272" s="11"/>
      <c r="W1272" s="11"/>
      <c r="X1272" s="11"/>
      <c r="Y1272" s="11"/>
    </row>
    <row r="1273" spans="2:25" x14ac:dyDescent="0.25">
      <c r="B1273" s="4">
        <v>30064717</v>
      </c>
      <c r="C1273" s="1" t="s">
        <v>1443</v>
      </c>
      <c r="D1273" s="4" t="s">
        <v>89</v>
      </c>
      <c r="E1273" s="3"/>
      <c r="F1273" s="3" t="s">
        <v>69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1"/>
      <c r="V1273" s="11"/>
      <c r="W1273" s="11"/>
      <c r="X1273" s="11"/>
      <c r="Y1273" s="11"/>
    </row>
    <row r="1274" spans="2:25" x14ac:dyDescent="0.25">
      <c r="B1274" s="4">
        <v>30064722</v>
      </c>
      <c r="C1274" s="1" t="s">
        <v>1323</v>
      </c>
      <c r="D1274" s="4" t="s">
        <v>89</v>
      </c>
      <c r="E1274" s="3"/>
      <c r="F1274" s="3" t="s">
        <v>69</v>
      </c>
      <c r="G1274" s="4">
        <v>10</v>
      </c>
      <c r="H1274" s="4">
        <v>20</v>
      </c>
      <c r="I1274" s="4">
        <v>0</v>
      </c>
      <c r="J1274" s="4" t="s">
        <v>8</v>
      </c>
      <c r="K1274" s="4" t="s">
        <v>13</v>
      </c>
      <c r="L1274" s="11">
        <v>1002651054</v>
      </c>
      <c r="M1274" s="3">
        <v>20</v>
      </c>
      <c r="N1274"/>
      <c r="O1274" s="4"/>
      <c r="P1274" s="1"/>
      <c r="Q1274" s="22"/>
      <c r="R1274"/>
      <c r="S1274" s="11"/>
      <c r="T1274" s="4" t="s">
        <v>66</v>
      </c>
      <c r="U1274" s="11"/>
      <c r="V1274" s="11"/>
      <c r="W1274" s="11"/>
      <c r="X1274" s="11"/>
      <c r="Y1274" s="11"/>
    </row>
    <row r="1275" spans="2:25" x14ac:dyDescent="0.25">
      <c r="B1275" s="4">
        <v>30064723</v>
      </c>
      <c r="C1275" s="1" t="s">
        <v>1219</v>
      </c>
      <c r="D1275" s="4" t="s">
        <v>89</v>
      </c>
      <c r="E1275" s="3"/>
      <c r="F1275" s="3" t="s">
        <v>92</v>
      </c>
      <c r="G1275" s="4">
        <v>11</v>
      </c>
      <c r="H1275" s="4">
        <v>18</v>
      </c>
      <c r="I1275" s="4">
        <v>21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66</v>
      </c>
      <c r="U1275" s="11"/>
      <c r="V1275" s="11"/>
      <c r="W1275" s="11"/>
      <c r="X1275" s="11"/>
      <c r="Y1275" s="11"/>
    </row>
    <row r="1276" spans="2:25" x14ac:dyDescent="0.25">
      <c r="B1276" s="4">
        <v>30064984</v>
      </c>
      <c r="C1276" s="1" t="s">
        <v>786</v>
      </c>
      <c r="D1276" s="4" t="s">
        <v>89</v>
      </c>
      <c r="E1276" s="3"/>
      <c r="F1276" s="3" t="s">
        <v>69</v>
      </c>
      <c r="G1276" s="4">
        <v>2</v>
      </c>
      <c r="H1276" s="4">
        <v>1</v>
      </c>
      <c r="I1276" s="4">
        <v>2</v>
      </c>
      <c r="J1276" s="4" t="s">
        <v>784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74</v>
      </c>
      <c r="U1276" s="11"/>
      <c r="V1276" s="11"/>
      <c r="W1276" s="11"/>
      <c r="X1276" s="11"/>
      <c r="Y1276" s="11"/>
    </row>
    <row r="1277" spans="2:25" x14ac:dyDescent="0.25">
      <c r="B1277" s="4">
        <v>30065038</v>
      </c>
      <c r="C1277" s="1" t="s">
        <v>1374</v>
      </c>
      <c r="D1277" s="4" t="s">
        <v>89</v>
      </c>
      <c r="E1277" s="3"/>
      <c r="F1277" s="3" t="s">
        <v>69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25">
      <c r="B1278" s="4">
        <v>30065415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67</v>
      </c>
      <c r="U1278" s="11"/>
      <c r="V1278" s="11"/>
      <c r="W1278" s="11"/>
      <c r="X1278" s="11"/>
      <c r="Y1278" s="11"/>
    </row>
    <row r="1279" spans="2:25" x14ac:dyDescent="0.25">
      <c r="B1279" s="4">
        <v>30065416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x14ac:dyDescent="0.25">
      <c r="B1280" s="4">
        <v>30066447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66</v>
      </c>
      <c r="U1280" s="11"/>
      <c r="V1280" s="11"/>
      <c r="W1280" s="11"/>
      <c r="X1280" s="11"/>
      <c r="Y1280" s="11"/>
    </row>
    <row r="1281" spans="2:25" x14ac:dyDescent="0.25">
      <c r="B1281" s="4">
        <v>30066732</v>
      </c>
      <c r="C1281" s="1" t="s">
        <v>1423</v>
      </c>
      <c r="D1281" s="4" t="s">
        <v>89</v>
      </c>
      <c r="E1281" s="3"/>
      <c r="F1281" s="3" t="s">
        <v>69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25">
      <c r="B1282" s="4">
        <v>30066759</v>
      </c>
      <c r="C1282" s="1" t="s">
        <v>1324</v>
      </c>
      <c r="D1282" s="4" t="s">
        <v>89</v>
      </c>
      <c r="E1282" s="3"/>
      <c r="F1282" s="3" t="s">
        <v>69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73</v>
      </c>
      <c r="U1282" s="11"/>
      <c r="V1282" s="11"/>
      <c r="W1282" s="11"/>
      <c r="X1282" s="11"/>
      <c r="Y1282" s="11"/>
    </row>
    <row r="1283" spans="2:25" x14ac:dyDescent="0.25">
      <c r="B1283" s="4">
        <v>30067046</v>
      </c>
      <c r="C1283" s="1" t="s">
        <v>790</v>
      </c>
      <c r="D1283" s="4" t="s">
        <v>89</v>
      </c>
      <c r="E1283" s="3"/>
      <c r="F1283" s="3" t="s">
        <v>69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1"/>
      <c r="V1283" s="11"/>
      <c r="W1283" s="11"/>
      <c r="X1283" s="11"/>
      <c r="Y1283" s="11"/>
    </row>
    <row r="1284" spans="2:25" x14ac:dyDescent="0.25">
      <c r="B1284" s="4">
        <v>30067094</v>
      </c>
      <c r="C1284" s="1" t="s">
        <v>791</v>
      </c>
      <c r="D1284" s="4" t="s">
        <v>89</v>
      </c>
      <c r="E1284" s="3"/>
      <c r="F1284" s="3" t="s">
        <v>69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25">
      <c r="B1285" s="4">
        <v>30067253</v>
      </c>
      <c r="C1285" s="1" t="s">
        <v>872</v>
      </c>
      <c r="D1285" s="4" t="s">
        <v>89</v>
      </c>
      <c r="E1285" s="3"/>
      <c r="F1285" s="3" t="s">
        <v>69</v>
      </c>
      <c r="G1285" s="4">
        <v>3</v>
      </c>
      <c r="H1285" s="4">
        <v>3</v>
      </c>
      <c r="I1285" s="4">
        <v>2</v>
      </c>
      <c r="J1285" s="4" t="s">
        <v>8</v>
      </c>
      <c r="K1285" s="4" t="s">
        <v>9</v>
      </c>
      <c r="L1285" s="11"/>
      <c r="M1285" s="3"/>
      <c r="N1285">
        <v>4502677979</v>
      </c>
      <c r="O1285" s="4">
        <v>4</v>
      </c>
      <c r="P1285" s="1" t="s">
        <v>1653</v>
      </c>
      <c r="Q1285" s="22">
        <v>46195</v>
      </c>
      <c r="R1285"/>
      <c r="S1285" s="11"/>
      <c r="T1285" s="4" t="s">
        <v>67</v>
      </c>
      <c r="U1285" s="11"/>
      <c r="V1285" s="11"/>
      <c r="W1285" s="11"/>
      <c r="X1285" s="11"/>
      <c r="Y1285" s="11"/>
    </row>
    <row r="1286" spans="2:25" x14ac:dyDescent="0.25">
      <c r="B1286" s="4">
        <v>30067420</v>
      </c>
      <c r="C1286" s="1" t="s">
        <v>1515</v>
      </c>
      <c r="D1286" s="4" t="s">
        <v>89</v>
      </c>
      <c r="E1286" s="3" t="s">
        <v>1228</v>
      </c>
      <c r="F1286" s="3" t="s">
        <v>105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/>
      <c r="M1286" s="3"/>
      <c r="N1286">
        <v>4502667945</v>
      </c>
      <c r="O1286" s="4">
        <v>1</v>
      </c>
      <c r="P1286" s="1" t="s">
        <v>1567</v>
      </c>
      <c r="Q1286" s="22">
        <v>46164</v>
      </c>
      <c r="R1286"/>
      <c r="S1286" s="11"/>
      <c r="T1286" s="4" t="s">
        <v>74</v>
      </c>
      <c r="U1286" s="11"/>
      <c r="V1286" s="11"/>
      <c r="W1286" s="11"/>
      <c r="X1286" s="11"/>
      <c r="Y1286" s="11"/>
    </row>
    <row r="1287" spans="2:25" x14ac:dyDescent="0.25">
      <c r="B1287" s="4">
        <v>30067433</v>
      </c>
      <c r="C1287" s="1" t="s">
        <v>1516</v>
      </c>
      <c r="D1287" s="4" t="s">
        <v>89</v>
      </c>
      <c r="E1287" s="3" t="s">
        <v>1228</v>
      </c>
      <c r="F1287" s="3" t="s">
        <v>105</v>
      </c>
      <c r="G1287" s="4">
        <v>1</v>
      </c>
      <c r="H1287" s="4">
        <v>1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74</v>
      </c>
      <c r="U1287" s="11"/>
      <c r="V1287" s="11"/>
      <c r="W1287" s="11"/>
      <c r="X1287" s="11"/>
      <c r="Y1287" s="11"/>
    </row>
    <row r="1288" spans="2:25" x14ac:dyDescent="0.25">
      <c r="B1288" s="4">
        <v>30067445</v>
      </c>
      <c r="C1288" s="1" t="s">
        <v>1517</v>
      </c>
      <c r="D1288" s="4" t="s">
        <v>89</v>
      </c>
      <c r="E1288" s="3" t="s">
        <v>1228</v>
      </c>
      <c r="F1288" s="3" t="s">
        <v>105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25">
      <c r="B1289" s="4">
        <v>30067446</v>
      </c>
      <c r="C1289" s="1" t="s">
        <v>1518</v>
      </c>
      <c r="D1289" s="4" t="s">
        <v>89</v>
      </c>
      <c r="E1289" s="3" t="s">
        <v>1228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25">
      <c r="B1290" s="4">
        <v>30067449</v>
      </c>
      <c r="C1290" s="1" t="s">
        <v>1519</v>
      </c>
      <c r="D1290" s="4" t="s">
        <v>89</v>
      </c>
      <c r="E1290" s="3" t="s">
        <v>1228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25">
      <c r="B1291" s="4">
        <v>30067450</v>
      </c>
      <c r="C1291" s="1" t="s">
        <v>1294</v>
      </c>
      <c r="D1291" s="4" t="s">
        <v>89</v>
      </c>
      <c r="E1291" s="3" t="s">
        <v>1228</v>
      </c>
      <c r="F1291" s="3" t="s">
        <v>105</v>
      </c>
      <c r="G1291" s="4">
        <v>2</v>
      </c>
      <c r="H1291" s="4">
        <v>1</v>
      </c>
      <c r="I1291" s="4">
        <v>1</v>
      </c>
      <c r="J1291" s="4" t="s">
        <v>8</v>
      </c>
      <c r="K1291" s="4" t="s">
        <v>9</v>
      </c>
      <c r="L1291" s="11"/>
      <c r="M1291" s="3"/>
      <c r="N1291">
        <v>4502638730</v>
      </c>
      <c r="O1291" s="4">
        <v>1</v>
      </c>
      <c r="P1291" s="1" t="s">
        <v>1567</v>
      </c>
      <c r="Q1291" s="22">
        <v>46216</v>
      </c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2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7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1"/>
      <c r="V1292" s="11"/>
      <c r="W1292" s="11"/>
      <c r="X1292" s="11"/>
      <c r="Y1292" s="11"/>
    </row>
    <row r="1293" spans="2:25" x14ac:dyDescent="0.2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16</v>
      </c>
      <c r="J1293" s="4" t="s">
        <v>8</v>
      </c>
      <c r="K1293" s="4" t="s">
        <v>14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1"/>
      <c r="V1293" s="11"/>
      <c r="W1293" s="11"/>
      <c r="X1293" s="11"/>
      <c r="Y1293" s="11"/>
    </row>
    <row r="1294" spans="2:25" x14ac:dyDescent="0.2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1"/>
      <c r="V1294" s="11"/>
      <c r="W1294" s="11"/>
      <c r="X1294" s="11"/>
      <c r="Y1294" s="11"/>
    </row>
    <row r="1295" spans="2:25" x14ac:dyDescent="0.2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2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2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6000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1"/>
      <c r="V1297" s="11"/>
      <c r="W1297" s="11"/>
      <c r="X1297" s="11"/>
      <c r="Y1297" s="11"/>
    </row>
    <row r="1298" spans="2:25" x14ac:dyDescent="0.2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2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2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73</v>
      </c>
      <c r="U1300" s="11"/>
      <c r="V1300" s="11"/>
      <c r="W1300" s="11"/>
      <c r="X1300" s="11"/>
      <c r="Y1300" s="11"/>
    </row>
    <row r="1301" spans="2:25" x14ac:dyDescent="0.2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2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2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1"/>
      <c r="V1303" s="11"/>
      <c r="W1303" s="11"/>
      <c r="X1303" s="11"/>
      <c r="Y1303" s="11"/>
    </row>
    <row r="1304" spans="2:25" x14ac:dyDescent="0.2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2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1"/>
      <c r="V1305" s="11"/>
      <c r="W1305" s="11"/>
      <c r="X1305" s="11"/>
      <c r="Y1305" s="11"/>
    </row>
    <row r="1306" spans="2:25" x14ac:dyDescent="0.2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1"/>
      <c r="V1306" s="11"/>
      <c r="W1306" s="11"/>
      <c r="X1306" s="11"/>
      <c r="Y1306" s="11"/>
    </row>
    <row r="1307" spans="2:25" x14ac:dyDescent="0.2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1"/>
      <c r="V1307" s="11"/>
      <c r="W1307" s="11"/>
      <c r="X1307" s="11"/>
      <c r="Y1307" s="11"/>
    </row>
    <row r="1308" spans="2:25" x14ac:dyDescent="0.2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0</v>
      </c>
      <c r="J1308" s="4" t="s">
        <v>8</v>
      </c>
      <c r="K1308" s="4" t="s">
        <v>13</v>
      </c>
      <c r="L1308" s="11"/>
      <c r="M1308" s="3"/>
      <c r="N1308">
        <v>4700160501</v>
      </c>
      <c r="O1308" s="4">
        <v>4</v>
      </c>
      <c r="P1308" s="1" t="s">
        <v>1509</v>
      </c>
      <c r="Q1308" s="22">
        <v>46150</v>
      </c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x14ac:dyDescent="0.2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1"/>
      <c r="V1309" s="11"/>
      <c r="W1309" s="11"/>
      <c r="X1309" s="11"/>
      <c r="Y1309" s="11"/>
    </row>
    <row r="1310" spans="2:25" x14ac:dyDescent="0.2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1"/>
      <c r="V1310" s="11"/>
      <c r="W1310" s="11"/>
      <c r="X1310" s="11"/>
      <c r="Y1310" s="11"/>
    </row>
    <row r="1311" spans="2:25" x14ac:dyDescent="0.2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1"/>
      <c r="V1311" s="11"/>
      <c r="W1311" s="11"/>
      <c r="X1311" s="11"/>
      <c r="Y1311" s="11"/>
    </row>
    <row r="1312" spans="2:25" x14ac:dyDescent="0.2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2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1"/>
      <c r="V1313" s="11"/>
      <c r="W1313" s="11"/>
      <c r="X1313" s="11"/>
      <c r="Y1313" s="11"/>
    </row>
    <row r="1314" spans="2:25" x14ac:dyDescent="0.2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1"/>
      <c r="V1314" s="11"/>
      <c r="W1314" s="11"/>
      <c r="X1314" s="11"/>
      <c r="Y1314" s="11"/>
    </row>
    <row r="1315" spans="2:25" x14ac:dyDescent="0.2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1"/>
      <c r="V1315" s="11"/>
      <c r="W1315" s="11"/>
      <c r="X1315" s="11"/>
      <c r="Y1315" s="11"/>
    </row>
    <row r="1316" spans="2:25" x14ac:dyDescent="0.2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1"/>
      <c r="V1316" s="11"/>
      <c r="W1316" s="11"/>
      <c r="X1316" s="11"/>
      <c r="Y1316" s="11"/>
    </row>
    <row r="1317" spans="2:25" x14ac:dyDescent="0.2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x14ac:dyDescent="0.2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1579</v>
      </c>
      <c r="Q1318" s="22">
        <v>46139</v>
      </c>
      <c r="R1318"/>
      <c r="S1318" s="11"/>
      <c r="T1318" s="4" t="s">
        <v>71</v>
      </c>
      <c r="U1318" s="11"/>
      <c r="V1318" s="11"/>
      <c r="W1318" s="11"/>
      <c r="X1318" s="11"/>
      <c r="Y1318" s="11"/>
    </row>
    <row r="1319" spans="2:25" x14ac:dyDescent="0.2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7</v>
      </c>
      <c r="J1319" s="4" t="s">
        <v>8</v>
      </c>
      <c r="K1319" s="4" t="s">
        <v>9</v>
      </c>
      <c r="L1319" s="11"/>
      <c r="M1319" s="3"/>
      <c r="N1319">
        <v>4502682490</v>
      </c>
      <c r="O1319" s="4">
        <v>15</v>
      </c>
      <c r="P1319" s="1" t="s">
        <v>1660</v>
      </c>
      <c r="Q1319" s="22">
        <v>46217</v>
      </c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2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66</v>
      </c>
      <c r="U1320" s="11"/>
      <c r="V1320" s="11"/>
      <c r="W1320" s="11"/>
      <c r="X1320" s="11"/>
      <c r="Y1320" s="11"/>
    </row>
    <row r="1321" spans="2:25" x14ac:dyDescent="0.2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71</v>
      </c>
      <c r="U1321" s="11"/>
      <c r="V1321" s="11"/>
      <c r="W1321" s="11"/>
      <c r="X1321" s="11"/>
      <c r="Y1321" s="11"/>
    </row>
    <row r="1322" spans="2:25" x14ac:dyDescent="0.2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1569</v>
      </c>
      <c r="Q1322" s="22">
        <v>46066</v>
      </c>
      <c r="R1322"/>
      <c r="S1322" s="11" t="s">
        <v>1627</v>
      </c>
      <c r="T1322" s="4" t="s">
        <v>66</v>
      </c>
      <c r="U1322" s="11"/>
      <c r="V1322" s="11"/>
      <c r="W1322" s="11"/>
      <c r="X1322" s="11"/>
      <c r="Y1322" s="11"/>
    </row>
    <row r="1323" spans="2:25" x14ac:dyDescent="0.2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1569</v>
      </c>
      <c r="Q1323" s="22">
        <v>45701</v>
      </c>
      <c r="R1323"/>
      <c r="S1323" s="11" t="s">
        <v>1627</v>
      </c>
      <c r="T1323" s="4" t="s">
        <v>66</v>
      </c>
      <c r="U1323" s="11"/>
      <c r="V1323" s="11"/>
      <c r="W1323" s="11"/>
      <c r="X1323" s="11"/>
      <c r="Y1323" s="11"/>
    </row>
    <row r="1324" spans="2:25" x14ac:dyDescent="0.25">
      <c r="B1324" s="4">
        <v>30073849</v>
      </c>
      <c r="C1324" s="1" t="s">
        <v>1648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2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1"/>
      <c r="V1325" s="11"/>
      <c r="W1325" s="11"/>
      <c r="X1325" s="11"/>
      <c r="Y1325" s="11"/>
    </row>
    <row r="1326" spans="2:25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5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K2713" s="3"/>
    </row>
  </sheetData>
  <phoneticPr fontId="2" type="noConversion"/>
  <conditionalFormatting sqref="I2713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5 K16:K1325">
    <cfRule type="cellIs" dxfId="443" priority="2459" operator="equal">
      <formula>"Desactivado"</formula>
    </cfRule>
    <cfRule type="cellIs" dxfId="442" priority="2460" operator="equal">
      <formula>"Sobre Stock"</formula>
    </cfRule>
    <cfRule type="cellIs" dxfId="441" priority="2461" operator="equal">
      <formula>"Bajo Stock"</formula>
    </cfRule>
    <cfRule type="cellIs" dxfId="440" priority="2462" operator="equal">
      <formula>"Stock OK"</formula>
    </cfRule>
    <cfRule type="cellIs" dxfId="439" priority="2463" operator="equal">
      <formula>"Quiebre Stock"</formula>
    </cfRule>
  </conditionalFormatting>
  <conditionalFormatting pivot="1" sqref="G3:G14">
    <cfRule type="cellIs" dxfId="438" priority="2453" operator="lessThan">
      <formula>0.9</formula>
    </cfRule>
  </conditionalFormatting>
  <conditionalFormatting sqref="I3">
    <cfRule type="cellIs" dxfId="437" priority="2448" operator="equal">
      <formula>"Desactivado"</formula>
    </cfRule>
    <cfRule type="cellIs" dxfId="436" priority="2449" operator="equal">
      <formula>"Sobre Stock"</formula>
    </cfRule>
    <cfRule type="cellIs" dxfId="435" priority="2450" operator="equal">
      <formula>"Bajo Stock"</formula>
    </cfRule>
    <cfRule type="cellIs" dxfId="434" priority="2451" operator="equal">
      <formula>"Stock OK"</formula>
    </cfRule>
    <cfRule type="cellIs" dxfId="433" priority="2452" operator="equal">
      <formula>"Quiebre Stock"</formula>
    </cfRule>
  </conditionalFormatting>
  <conditionalFormatting sqref="I4">
    <cfRule type="cellIs" dxfId="432" priority="2443" operator="equal">
      <formula>"Desactivado"</formula>
    </cfRule>
    <cfRule type="cellIs" dxfId="431" priority="2444" operator="equal">
      <formula>"Sobre Stock"</formula>
    </cfRule>
    <cfRule type="cellIs" dxfId="430" priority="2445" operator="equal">
      <formula>"Bajo Stock"</formula>
    </cfRule>
    <cfRule type="cellIs" dxfId="429" priority="2446" operator="equal">
      <formula>"Stock OK"</formula>
    </cfRule>
    <cfRule type="cellIs" dxfId="428" priority="2447" operator="equal">
      <formula>"Quiebre Stock"</formula>
    </cfRule>
  </conditionalFormatting>
  <conditionalFormatting sqref="I6">
    <cfRule type="cellIs" dxfId="427" priority="2438" operator="equal">
      <formula>"Desactivado"</formula>
    </cfRule>
    <cfRule type="cellIs" dxfId="426" priority="2439" operator="equal">
      <formula>"Sobre Stock"</formula>
    </cfRule>
    <cfRule type="cellIs" dxfId="425" priority="2440" operator="equal">
      <formula>"Bajo Stock"</formula>
    </cfRule>
    <cfRule type="cellIs" dxfId="424" priority="2441" operator="equal">
      <formula>"Stock OK"</formula>
    </cfRule>
    <cfRule type="cellIs" dxfId="423" priority="2442" operator="equal">
      <formula>"Quiebre Stock"</formula>
    </cfRule>
  </conditionalFormatting>
  <conditionalFormatting sqref="I5">
    <cfRule type="cellIs" dxfId="422" priority="2433" operator="equal">
      <formula>"Desactivado"</formula>
    </cfRule>
    <cfRule type="cellIs" dxfId="421" priority="2434" operator="equal">
      <formula>"Sobre Stock"</formula>
    </cfRule>
    <cfRule type="cellIs" dxfId="420" priority="2435" operator="equal">
      <formula>"Bajo Stock"</formula>
    </cfRule>
    <cfRule type="cellIs" dxfId="419" priority="2436" operator="equal">
      <formula>"Stock OK"</formula>
    </cfRule>
    <cfRule type="cellIs" dxfId="418" priority="2437" operator="equal">
      <formula>"Quiebre Stock"</formula>
    </cfRule>
  </conditionalFormatting>
  <conditionalFormatting pivot="1" sqref="J3">
    <cfRule type="cellIs" dxfId="417" priority="2428" operator="equal">
      <formula>"Desactivado"</formula>
    </cfRule>
    <cfRule type="cellIs" dxfId="416" priority="2429" operator="equal">
      <formula>"Sobre Stock"</formula>
    </cfRule>
    <cfRule type="cellIs" dxfId="415" priority="2430" operator="equal">
      <formula>"Bajo Stock"</formula>
    </cfRule>
    <cfRule type="cellIs" dxfId="414" priority="2431" operator="equal">
      <formula>"Stock OK"</formula>
    </cfRule>
    <cfRule type="cellIs" dxfId="413" priority="2432" operator="equal">
      <formula>"Quiebre Stock"</formula>
    </cfRule>
  </conditionalFormatting>
  <conditionalFormatting sqref="N1326:N2096 R1076:R1077 Q517:R530 R516 Q532:R532 R531 R533:R536 Q537:R1075 Q17:R515 Q1078:R1325">
    <cfRule type="cellIs" dxfId="412" priority="2427" operator="lessThan">
      <formula>TODAY()</formula>
    </cfRule>
  </conditionalFormatting>
  <conditionalFormatting sqref="N547">
    <cfRule type="cellIs" dxfId="411" priority="2379" operator="equal">
      <formula>"Desactivado"</formula>
    </cfRule>
    <cfRule type="cellIs" dxfId="410" priority="2380" operator="equal">
      <formula>"Sobre Stock"</formula>
    </cfRule>
    <cfRule type="cellIs" dxfId="409" priority="2381" operator="equal">
      <formula>"Bajo Stock"</formula>
    </cfRule>
    <cfRule type="cellIs" dxfId="408" priority="2382" operator="equal">
      <formula>"Stock OK"</formula>
    </cfRule>
    <cfRule type="cellIs" dxfId="407" priority="2383" operator="equal">
      <formula>"Quiebre Stock"</formula>
    </cfRule>
  </conditionalFormatting>
  <conditionalFormatting sqref="N651">
    <cfRule type="cellIs" dxfId="406" priority="2373" operator="equal">
      <formula>"Desactivado"</formula>
    </cfRule>
    <cfRule type="cellIs" dxfId="405" priority="2374" operator="equal">
      <formula>"Sobre Stock"</formula>
    </cfRule>
    <cfRule type="cellIs" dxfId="404" priority="2375" operator="equal">
      <formula>"Bajo Stock"</formula>
    </cfRule>
    <cfRule type="cellIs" dxfId="403" priority="2376" operator="equal">
      <formula>"Stock OK"</formula>
    </cfRule>
    <cfRule type="cellIs" dxfId="402" priority="2377" operator="equal">
      <formula>"Quiebre Stock"</formula>
    </cfRule>
  </conditionalFormatting>
  <conditionalFormatting sqref="N652">
    <cfRule type="cellIs" dxfId="401" priority="2367" operator="equal">
      <formula>"Desactivado"</formula>
    </cfRule>
    <cfRule type="cellIs" dxfId="400" priority="2368" operator="equal">
      <formula>"Sobre Stock"</formula>
    </cfRule>
    <cfRule type="cellIs" dxfId="399" priority="2369" operator="equal">
      <formula>"Bajo Stock"</formula>
    </cfRule>
    <cfRule type="cellIs" dxfId="398" priority="2370" operator="equal">
      <formula>"Stock OK"</formula>
    </cfRule>
    <cfRule type="cellIs" dxfId="397" priority="2371" operator="equal">
      <formula>"Quiebre Stock"</formula>
    </cfRule>
  </conditionalFormatting>
  <conditionalFormatting sqref="M659:N659">
    <cfRule type="cellIs" dxfId="396" priority="2355" operator="equal">
      <formula>"Desactivado"</formula>
    </cfRule>
    <cfRule type="cellIs" dxfId="395" priority="2356" operator="equal">
      <formula>"Sobre Stock"</formula>
    </cfRule>
    <cfRule type="cellIs" dxfId="394" priority="2357" operator="equal">
      <formula>"Bajo Stock"</formula>
    </cfRule>
    <cfRule type="cellIs" dxfId="393" priority="2358" operator="equal">
      <formula>"Stock OK"</formula>
    </cfRule>
    <cfRule type="cellIs" dxfId="392" priority="2359" operator="equal">
      <formula>"Quiebre Stock"</formula>
    </cfRule>
  </conditionalFormatting>
  <conditionalFormatting sqref="M686:N686">
    <cfRule type="cellIs" dxfId="391" priority="2349" operator="equal">
      <formula>"Desactivado"</formula>
    </cfRule>
    <cfRule type="cellIs" dxfId="390" priority="2350" operator="equal">
      <formula>"Sobre Stock"</formula>
    </cfRule>
    <cfRule type="cellIs" dxfId="389" priority="2351" operator="equal">
      <formula>"Bajo Stock"</formula>
    </cfRule>
    <cfRule type="cellIs" dxfId="388" priority="2352" operator="equal">
      <formula>"Stock OK"</formula>
    </cfRule>
    <cfRule type="cellIs" dxfId="387" priority="2353" operator="equal">
      <formula>"Quiebre Stock"</formula>
    </cfRule>
  </conditionalFormatting>
  <conditionalFormatting sqref="M689:N689">
    <cfRule type="cellIs" dxfId="386" priority="2343" operator="equal">
      <formula>"Desactivado"</formula>
    </cfRule>
    <cfRule type="cellIs" dxfId="385" priority="2344" operator="equal">
      <formula>"Sobre Stock"</formula>
    </cfRule>
    <cfRule type="cellIs" dxfId="384" priority="2345" operator="equal">
      <formula>"Bajo Stock"</formula>
    </cfRule>
    <cfRule type="cellIs" dxfId="383" priority="2346" operator="equal">
      <formula>"Stock OK"</formula>
    </cfRule>
    <cfRule type="cellIs" dxfId="382" priority="2347" operator="equal">
      <formula>"Quiebre Stock"</formula>
    </cfRule>
  </conditionalFormatting>
  <conditionalFormatting sqref="M658:N658">
    <cfRule type="cellIs" dxfId="381" priority="2337" operator="equal">
      <formula>"Desactivado"</formula>
    </cfRule>
    <cfRule type="cellIs" dxfId="380" priority="2338" operator="equal">
      <formula>"Sobre Stock"</formula>
    </cfRule>
    <cfRule type="cellIs" dxfId="379" priority="2339" operator="equal">
      <formula>"Bajo Stock"</formula>
    </cfRule>
    <cfRule type="cellIs" dxfId="378" priority="2340" operator="equal">
      <formula>"Stock OK"</formula>
    </cfRule>
    <cfRule type="cellIs" dxfId="377" priority="2341" operator="equal">
      <formula>"Quiebre Stock"</formula>
    </cfRule>
  </conditionalFormatting>
  <conditionalFormatting sqref="M691:N691">
    <cfRule type="cellIs" dxfId="376" priority="2331" operator="equal">
      <formula>"Desactivado"</formula>
    </cfRule>
    <cfRule type="cellIs" dxfId="375" priority="2332" operator="equal">
      <formula>"Sobre Stock"</formula>
    </cfRule>
    <cfRule type="cellIs" dxfId="374" priority="2333" operator="equal">
      <formula>"Bajo Stock"</formula>
    </cfRule>
    <cfRule type="cellIs" dxfId="373" priority="2334" operator="equal">
      <formula>"Stock OK"</formula>
    </cfRule>
    <cfRule type="cellIs" dxfId="372" priority="2335" operator="equal">
      <formula>"Quiebre Stock"</formula>
    </cfRule>
  </conditionalFormatting>
  <conditionalFormatting sqref="M694:N694">
    <cfRule type="cellIs" dxfId="371" priority="2325" operator="equal">
      <formula>"Desactivado"</formula>
    </cfRule>
    <cfRule type="cellIs" dxfId="370" priority="2326" operator="equal">
      <formula>"Sobre Stock"</formula>
    </cfRule>
    <cfRule type="cellIs" dxfId="369" priority="2327" operator="equal">
      <formula>"Bajo Stock"</formula>
    </cfRule>
    <cfRule type="cellIs" dxfId="368" priority="2328" operator="equal">
      <formula>"Stock OK"</formula>
    </cfRule>
    <cfRule type="cellIs" dxfId="367" priority="2329" operator="equal">
      <formula>"Quiebre Stock"</formula>
    </cfRule>
  </conditionalFormatting>
  <conditionalFormatting sqref="M705:N705">
    <cfRule type="cellIs" dxfId="366" priority="2319" operator="equal">
      <formula>"Desactivado"</formula>
    </cfRule>
    <cfRule type="cellIs" dxfId="365" priority="2320" operator="equal">
      <formula>"Sobre Stock"</formula>
    </cfRule>
    <cfRule type="cellIs" dxfId="364" priority="2321" operator="equal">
      <formula>"Bajo Stock"</formula>
    </cfRule>
    <cfRule type="cellIs" dxfId="363" priority="2322" operator="equal">
      <formula>"Stock OK"</formula>
    </cfRule>
    <cfRule type="cellIs" dxfId="362" priority="2323" operator="equal">
      <formula>"Quiebre Stock"</formula>
    </cfRule>
  </conditionalFormatting>
  <conditionalFormatting sqref="M706:N706">
    <cfRule type="cellIs" dxfId="361" priority="2313" operator="equal">
      <formula>"Desactivado"</formula>
    </cfRule>
    <cfRule type="cellIs" dxfId="360" priority="2314" operator="equal">
      <formula>"Sobre Stock"</formula>
    </cfRule>
    <cfRule type="cellIs" dxfId="359" priority="2315" operator="equal">
      <formula>"Bajo Stock"</formula>
    </cfRule>
    <cfRule type="cellIs" dxfId="358" priority="2316" operator="equal">
      <formula>"Stock OK"</formula>
    </cfRule>
    <cfRule type="cellIs" dxfId="357" priority="2317" operator="equal">
      <formula>"Quiebre Stock"</formula>
    </cfRule>
  </conditionalFormatting>
  <conditionalFormatting sqref="M772:N772">
    <cfRule type="cellIs" dxfId="356" priority="2307" operator="equal">
      <formula>"Desactivado"</formula>
    </cfRule>
    <cfRule type="cellIs" dxfId="355" priority="2308" operator="equal">
      <formula>"Sobre Stock"</formula>
    </cfRule>
    <cfRule type="cellIs" dxfId="354" priority="2309" operator="equal">
      <formula>"Bajo Stock"</formula>
    </cfRule>
    <cfRule type="cellIs" dxfId="353" priority="2310" operator="equal">
      <formula>"Stock OK"</formula>
    </cfRule>
    <cfRule type="cellIs" dxfId="352" priority="2311" operator="equal">
      <formula>"Quiebre Stock"</formula>
    </cfRule>
  </conditionalFormatting>
  <conditionalFormatting sqref="N717">
    <cfRule type="cellIs" dxfId="351" priority="2295" operator="equal">
      <formula>"Desactivado"</formula>
    </cfRule>
    <cfRule type="cellIs" dxfId="350" priority="2296" operator="equal">
      <formula>"Sobre Stock"</formula>
    </cfRule>
    <cfRule type="cellIs" dxfId="349" priority="2297" operator="equal">
      <formula>"Bajo Stock"</formula>
    </cfRule>
    <cfRule type="cellIs" dxfId="348" priority="2298" operator="equal">
      <formula>"Stock OK"</formula>
    </cfRule>
    <cfRule type="cellIs" dxfId="347" priority="2299" operator="equal">
      <formula>"Quiebre Stock"</formula>
    </cfRule>
  </conditionalFormatting>
  <conditionalFormatting sqref="M739:N739">
    <cfRule type="cellIs" dxfId="346" priority="2289" operator="equal">
      <formula>"Desactivado"</formula>
    </cfRule>
    <cfRule type="cellIs" dxfId="345" priority="2290" operator="equal">
      <formula>"Sobre Stock"</formula>
    </cfRule>
    <cfRule type="cellIs" dxfId="344" priority="2291" operator="equal">
      <formula>"Bajo Stock"</formula>
    </cfRule>
    <cfRule type="cellIs" dxfId="343" priority="2292" operator="equal">
      <formula>"Stock OK"</formula>
    </cfRule>
    <cfRule type="cellIs" dxfId="342" priority="2293" operator="equal">
      <formula>"Quiebre Stock"</formula>
    </cfRule>
  </conditionalFormatting>
  <conditionalFormatting sqref="M823:N823">
    <cfRule type="cellIs" dxfId="341" priority="2283" operator="equal">
      <formula>"Desactivado"</formula>
    </cfRule>
    <cfRule type="cellIs" dxfId="340" priority="2284" operator="equal">
      <formula>"Sobre Stock"</formula>
    </cfRule>
    <cfRule type="cellIs" dxfId="339" priority="2285" operator="equal">
      <formula>"Bajo Stock"</formula>
    </cfRule>
    <cfRule type="cellIs" dxfId="338" priority="2286" operator="equal">
      <formula>"Stock OK"</formula>
    </cfRule>
    <cfRule type="cellIs" dxfId="337" priority="2287" operator="equal">
      <formula>"Quiebre Stock"</formula>
    </cfRule>
  </conditionalFormatting>
  <conditionalFormatting sqref="M846:N846">
    <cfRule type="cellIs" dxfId="336" priority="2277" operator="equal">
      <formula>"Desactivado"</formula>
    </cfRule>
    <cfRule type="cellIs" dxfId="335" priority="2278" operator="equal">
      <formula>"Sobre Stock"</formula>
    </cfRule>
    <cfRule type="cellIs" dxfId="334" priority="2279" operator="equal">
      <formula>"Bajo Stock"</formula>
    </cfRule>
    <cfRule type="cellIs" dxfId="333" priority="2280" operator="equal">
      <formula>"Stock OK"</formula>
    </cfRule>
    <cfRule type="cellIs" dxfId="332" priority="2281" operator="equal">
      <formula>"Quiebre Stock"</formula>
    </cfRule>
  </conditionalFormatting>
  <conditionalFormatting sqref="M847:N847">
    <cfRule type="cellIs" dxfId="331" priority="2271" operator="equal">
      <formula>"Desactivado"</formula>
    </cfRule>
    <cfRule type="cellIs" dxfId="330" priority="2272" operator="equal">
      <formula>"Sobre Stock"</formula>
    </cfRule>
    <cfRule type="cellIs" dxfId="329" priority="2273" operator="equal">
      <formula>"Bajo Stock"</formula>
    </cfRule>
    <cfRule type="cellIs" dxfId="328" priority="2274" operator="equal">
      <formula>"Stock OK"</formula>
    </cfRule>
    <cfRule type="cellIs" dxfId="327" priority="2275" operator="equal">
      <formula>"Quiebre Stock"</formula>
    </cfRule>
  </conditionalFormatting>
  <conditionalFormatting sqref="N848">
    <cfRule type="cellIs" dxfId="326" priority="2265" operator="equal">
      <formula>"Desactivado"</formula>
    </cfRule>
    <cfRule type="cellIs" dxfId="325" priority="2266" operator="equal">
      <formula>"Sobre Stock"</formula>
    </cfRule>
    <cfRule type="cellIs" dxfId="324" priority="2267" operator="equal">
      <formula>"Bajo Stock"</formula>
    </cfRule>
    <cfRule type="cellIs" dxfId="323" priority="2268" operator="equal">
      <formula>"Stock OK"</formula>
    </cfRule>
    <cfRule type="cellIs" dxfId="322" priority="2269" operator="equal">
      <formula>"Quiebre Stock"</formula>
    </cfRule>
  </conditionalFormatting>
  <conditionalFormatting sqref="M849:N849">
    <cfRule type="cellIs" dxfId="321" priority="2259" operator="equal">
      <formula>"Desactivado"</formula>
    </cfRule>
    <cfRule type="cellIs" dxfId="320" priority="2260" operator="equal">
      <formula>"Sobre Stock"</formula>
    </cfRule>
    <cfRule type="cellIs" dxfId="319" priority="2261" operator="equal">
      <formula>"Bajo Stock"</formula>
    </cfRule>
    <cfRule type="cellIs" dxfId="318" priority="2262" operator="equal">
      <formula>"Stock OK"</formula>
    </cfRule>
    <cfRule type="cellIs" dxfId="317" priority="2263" operator="equal">
      <formula>"Quiebre Stock"</formula>
    </cfRule>
  </conditionalFormatting>
  <conditionalFormatting sqref="M872:N872">
    <cfRule type="cellIs" dxfId="316" priority="2223" operator="equal">
      <formula>"Desactivado"</formula>
    </cfRule>
    <cfRule type="cellIs" dxfId="315" priority="2224" operator="equal">
      <formula>"Sobre Stock"</formula>
    </cfRule>
    <cfRule type="cellIs" dxfId="314" priority="2225" operator="equal">
      <formula>"Bajo Stock"</formula>
    </cfRule>
    <cfRule type="cellIs" dxfId="313" priority="2226" operator="equal">
      <formula>"Stock OK"</formula>
    </cfRule>
    <cfRule type="cellIs" dxfId="312" priority="2227" operator="equal">
      <formula>"Quiebre Stock"</formula>
    </cfRule>
  </conditionalFormatting>
  <conditionalFormatting sqref="M873:N873">
    <cfRule type="cellIs" dxfId="311" priority="2217" operator="equal">
      <formula>"Desactivado"</formula>
    </cfRule>
    <cfRule type="cellIs" dxfId="310" priority="2218" operator="equal">
      <formula>"Sobre Stock"</formula>
    </cfRule>
    <cfRule type="cellIs" dxfId="309" priority="2219" operator="equal">
      <formula>"Bajo Stock"</formula>
    </cfRule>
    <cfRule type="cellIs" dxfId="308" priority="2220" operator="equal">
      <formula>"Stock OK"</formula>
    </cfRule>
    <cfRule type="cellIs" dxfId="307" priority="2221" operator="equal">
      <formula>"Quiebre Stock"</formula>
    </cfRule>
  </conditionalFormatting>
  <conditionalFormatting sqref="M364:N364">
    <cfRule type="cellIs" dxfId="306" priority="2181" operator="equal">
      <formula>"Desactivado"</formula>
    </cfRule>
    <cfRule type="cellIs" dxfId="305" priority="2182" operator="equal">
      <formula>"Sobre Stock"</formula>
    </cfRule>
    <cfRule type="cellIs" dxfId="304" priority="2183" operator="equal">
      <formula>"Bajo Stock"</formula>
    </cfRule>
    <cfRule type="cellIs" dxfId="303" priority="2184" operator="equal">
      <formula>"Stock OK"</formula>
    </cfRule>
    <cfRule type="cellIs" dxfId="302" priority="2185" operator="equal">
      <formula>"Quiebre Stock"</formula>
    </cfRule>
  </conditionalFormatting>
  <conditionalFormatting sqref="M467:N467">
    <cfRule type="cellIs" dxfId="301" priority="2175" operator="equal">
      <formula>"Desactivado"</formula>
    </cfRule>
    <cfRule type="cellIs" dxfId="300" priority="2176" operator="equal">
      <formula>"Sobre Stock"</formula>
    </cfRule>
    <cfRule type="cellIs" dxfId="299" priority="2177" operator="equal">
      <formula>"Bajo Stock"</formula>
    </cfRule>
    <cfRule type="cellIs" dxfId="298" priority="2178" operator="equal">
      <formula>"Stock OK"</formula>
    </cfRule>
    <cfRule type="cellIs" dxfId="297" priority="2179" operator="equal">
      <formula>"Quiebre Stock"</formula>
    </cfRule>
  </conditionalFormatting>
  <conditionalFormatting sqref="M78">
    <cfRule type="cellIs" dxfId="296" priority="2047" operator="equal">
      <formula>"Desactivado"</formula>
    </cfRule>
    <cfRule type="cellIs" dxfId="295" priority="2048" operator="equal">
      <formula>"Sobre Stock"</formula>
    </cfRule>
    <cfRule type="cellIs" dxfId="294" priority="2049" operator="equal">
      <formula>"Bajo Stock"</formula>
    </cfRule>
    <cfRule type="cellIs" dxfId="293" priority="2050" operator="equal">
      <formula>"Stock OK"</formula>
    </cfRule>
    <cfRule type="cellIs" dxfId="292" priority="2051" operator="equal">
      <formula>"Quiebre Stock"</formula>
    </cfRule>
  </conditionalFormatting>
  <conditionalFormatting sqref="N532">
    <cfRule type="cellIs" dxfId="291" priority="1818" operator="equal">
      <formula>"Desactivado"</formula>
    </cfRule>
    <cfRule type="cellIs" dxfId="290" priority="1819" operator="equal">
      <formula>"Sobre Stock"</formula>
    </cfRule>
    <cfRule type="cellIs" dxfId="289" priority="1820" operator="equal">
      <formula>"Bajo Stock"</formula>
    </cfRule>
    <cfRule type="cellIs" dxfId="288" priority="1821" operator="equal">
      <formula>"Stock OK"</formula>
    </cfRule>
    <cfRule type="cellIs" dxfId="287" priority="1822" operator="equal">
      <formula>"Quiebre Stock"</formula>
    </cfRule>
  </conditionalFormatting>
  <conditionalFormatting sqref="M532">
    <cfRule type="cellIs" dxfId="286" priority="1812" operator="equal">
      <formula>"Desactivado"</formula>
    </cfRule>
    <cfRule type="cellIs" dxfId="285" priority="1813" operator="equal">
      <formula>"Sobre Stock"</formula>
    </cfRule>
    <cfRule type="cellIs" dxfId="284" priority="1814" operator="equal">
      <formula>"Bajo Stock"</formula>
    </cfRule>
    <cfRule type="cellIs" dxfId="283" priority="1815" operator="equal">
      <formula>"Stock OK"</formula>
    </cfRule>
    <cfRule type="cellIs" dxfId="282" priority="1816" operator="equal">
      <formula>"Quiebre Stock"</formula>
    </cfRule>
  </conditionalFormatting>
  <conditionalFormatting sqref="M536">
    <cfRule type="cellIs" dxfId="281" priority="1797" operator="equal">
      <formula>"Desactivado"</formula>
    </cfRule>
    <cfRule type="cellIs" dxfId="280" priority="1798" operator="equal">
      <formula>"Sobre Stock"</formula>
    </cfRule>
    <cfRule type="cellIs" dxfId="279" priority="1799" operator="equal">
      <formula>"Bajo Stock"</formula>
    </cfRule>
    <cfRule type="cellIs" dxfId="278" priority="1800" operator="equal">
      <formula>"Stock OK"</formula>
    </cfRule>
    <cfRule type="cellIs" dxfId="277" priority="1801" operator="equal">
      <formula>"Quiebre Stock"</formula>
    </cfRule>
  </conditionalFormatting>
  <conditionalFormatting sqref="M537:N537">
    <cfRule type="cellIs" dxfId="276" priority="1786" operator="equal">
      <formula>"Desactivado"</formula>
    </cfRule>
    <cfRule type="cellIs" dxfId="275" priority="1787" operator="equal">
      <formula>"Sobre Stock"</formula>
    </cfRule>
    <cfRule type="cellIs" dxfId="274" priority="1788" operator="equal">
      <formula>"Bajo Stock"</formula>
    </cfRule>
    <cfRule type="cellIs" dxfId="273" priority="1789" operator="equal">
      <formula>"Stock OK"</formula>
    </cfRule>
    <cfRule type="cellIs" dxfId="272" priority="1790" operator="equal">
      <formula>"Quiebre Stock"</formula>
    </cfRule>
  </conditionalFormatting>
  <conditionalFormatting sqref="M538:N538">
    <cfRule type="cellIs" dxfId="271" priority="1775" operator="equal">
      <formula>"Desactivado"</formula>
    </cfRule>
    <cfRule type="cellIs" dxfId="270" priority="1776" operator="equal">
      <formula>"Sobre Stock"</formula>
    </cfRule>
    <cfRule type="cellIs" dxfId="269" priority="1777" operator="equal">
      <formula>"Bajo Stock"</formula>
    </cfRule>
    <cfRule type="cellIs" dxfId="268" priority="1778" operator="equal">
      <formula>"Stock OK"</formula>
    </cfRule>
    <cfRule type="cellIs" dxfId="267" priority="1779" operator="equal">
      <formula>"Quiebre Stock"</formula>
    </cfRule>
  </conditionalFormatting>
  <conditionalFormatting sqref="M541:N541">
    <cfRule type="cellIs" dxfId="266" priority="1764" operator="equal">
      <formula>"Desactivado"</formula>
    </cfRule>
    <cfRule type="cellIs" dxfId="265" priority="1765" operator="equal">
      <formula>"Sobre Stock"</formula>
    </cfRule>
    <cfRule type="cellIs" dxfId="264" priority="1766" operator="equal">
      <formula>"Bajo Stock"</formula>
    </cfRule>
    <cfRule type="cellIs" dxfId="263" priority="1767" operator="equal">
      <formula>"Stock OK"</formula>
    </cfRule>
    <cfRule type="cellIs" dxfId="262" priority="1768" operator="equal">
      <formula>"Quiebre Stock"</formula>
    </cfRule>
  </conditionalFormatting>
  <conditionalFormatting sqref="M545:N545">
    <cfRule type="cellIs" dxfId="261" priority="1753" operator="equal">
      <formula>"Desactivado"</formula>
    </cfRule>
    <cfRule type="cellIs" dxfId="260" priority="1754" operator="equal">
      <formula>"Sobre Stock"</formula>
    </cfRule>
    <cfRule type="cellIs" dxfId="259" priority="1755" operator="equal">
      <formula>"Bajo Stock"</formula>
    </cfRule>
    <cfRule type="cellIs" dxfId="258" priority="1756" operator="equal">
      <formula>"Stock OK"</formula>
    </cfRule>
    <cfRule type="cellIs" dxfId="257" priority="1757" operator="equal">
      <formula>"Quiebre Stock"</formula>
    </cfRule>
  </conditionalFormatting>
  <conditionalFormatting sqref="M547">
    <cfRule type="cellIs" dxfId="256" priority="1732" operator="equal">
      <formula>"Desactivado"</formula>
    </cfRule>
    <cfRule type="cellIs" dxfId="255" priority="1733" operator="equal">
      <formula>"Sobre Stock"</formula>
    </cfRule>
    <cfRule type="cellIs" dxfId="254" priority="1734" operator="equal">
      <formula>"Bajo Stock"</formula>
    </cfRule>
    <cfRule type="cellIs" dxfId="253" priority="1735" operator="equal">
      <formula>"Stock OK"</formula>
    </cfRule>
    <cfRule type="cellIs" dxfId="252" priority="1736" operator="equal">
      <formula>"Quiebre Stock"</formula>
    </cfRule>
  </conditionalFormatting>
  <conditionalFormatting sqref="N548">
    <cfRule type="cellIs" dxfId="251" priority="1727" operator="equal">
      <formula>"Desactivado"</formula>
    </cfRule>
    <cfRule type="cellIs" dxfId="250" priority="1728" operator="equal">
      <formula>"Sobre Stock"</formula>
    </cfRule>
    <cfRule type="cellIs" dxfId="249" priority="1729" operator="equal">
      <formula>"Bajo Stock"</formula>
    </cfRule>
    <cfRule type="cellIs" dxfId="248" priority="1730" operator="equal">
      <formula>"Stock OK"</formula>
    </cfRule>
    <cfRule type="cellIs" dxfId="247" priority="1731" operator="equal">
      <formula>"Quiebre Stock"</formula>
    </cfRule>
  </conditionalFormatting>
  <conditionalFormatting sqref="M548">
    <cfRule type="cellIs" dxfId="246" priority="1716" operator="equal">
      <formula>"Desactivado"</formula>
    </cfRule>
    <cfRule type="cellIs" dxfId="245" priority="1717" operator="equal">
      <formula>"Sobre Stock"</formula>
    </cfRule>
    <cfRule type="cellIs" dxfId="244" priority="1718" operator="equal">
      <formula>"Bajo Stock"</formula>
    </cfRule>
    <cfRule type="cellIs" dxfId="243" priority="1719" operator="equal">
      <formula>"Stock OK"</formula>
    </cfRule>
    <cfRule type="cellIs" dxfId="242" priority="1720" operator="equal">
      <formula>"Quiebre Stock"</formula>
    </cfRule>
  </conditionalFormatting>
  <conditionalFormatting sqref="M558:N558">
    <cfRule type="cellIs" dxfId="241" priority="1701" operator="equal">
      <formula>"Desactivado"</formula>
    </cfRule>
    <cfRule type="cellIs" dxfId="240" priority="1702" operator="equal">
      <formula>"Sobre Stock"</formula>
    </cfRule>
    <cfRule type="cellIs" dxfId="239" priority="1703" operator="equal">
      <formula>"Bajo Stock"</formula>
    </cfRule>
    <cfRule type="cellIs" dxfId="238" priority="1704" operator="equal">
      <formula>"Stock OK"</formula>
    </cfRule>
    <cfRule type="cellIs" dxfId="237" priority="1705" operator="equal">
      <formula>"Quiebre Stock"</formula>
    </cfRule>
  </conditionalFormatting>
  <conditionalFormatting sqref="M565:N565">
    <cfRule type="cellIs" dxfId="236" priority="1676" operator="equal">
      <formula>"Desactivado"</formula>
    </cfRule>
    <cfRule type="cellIs" dxfId="235" priority="1677" operator="equal">
      <formula>"Sobre Stock"</formula>
    </cfRule>
    <cfRule type="cellIs" dxfId="234" priority="1678" operator="equal">
      <formula>"Bajo Stock"</formula>
    </cfRule>
    <cfRule type="cellIs" dxfId="233" priority="1679" operator="equal">
      <formula>"Stock OK"</formula>
    </cfRule>
    <cfRule type="cellIs" dxfId="232" priority="1680" operator="equal">
      <formula>"Quiebre Stock"</formula>
    </cfRule>
  </conditionalFormatting>
  <conditionalFormatting sqref="M568:N568">
    <cfRule type="cellIs" dxfId="231" priority="1665" operator="equal">
      <formula>"Desactivado"</formula>
    </cfRule>
    <cfRule type="cellIs" dxfId="230" priority="1666" operator="equal">
      <formula>"Sobre Stock"</formula>
    </cfRule>
    <cfRule type="cellIs" dxfId="229" priority="1667" operator="equal">
      <formula>"Bajo Stock"</formula>
    </cfRule>
    <cfRule type="cellIs" dxfId="228" priority="1668" operator="equal">
      <formula>"Stock OK"</formula>
    </cfRule>
    <cfRule type="cellIs" dxfId="227" priority="1669" operator="equal">
      <formula>"Quiebre Stock"</formula>
    </cfRule>
  </conditionalFormatting>
  <conditionalFormatting sqref="M569:N569">
    <cfRule type="cellIs" dxfId="226" priority="1654" operator="equal">
      <formula>"Desactivado"</formula>
    </cfRule>
    <cfRule type="cellIs" dxfId="225" priority="1655" operator="equal">
      <formula>"Sobre Stock"</formula>
    </cfRule>
    <cfRule type="cellIs" dxfId="224" priority="1656" operator="equal">
      <formula>"Bajo Stock"</formula>
    </cfRule>
    <cfRule type="cellIs" dxfId="223" priority="1657" operator="equal">
      <formula>"Stock OK"</formula>
    </cfRule>
    <cfRule type="cellIs" dxfId="222" priority="1658" operator="equal">
      <formula>"Quiebre Stock"</formula>
    </cfRule>
  </conditionalFormatting>
  <conditionalFormatting sqref="M571:N571">
    <cfRule type="cellIs" dxfId="221" priority="1643" operator="equal">
      <formula>"Desactivado"</formula>
    </cfRule>
    <cfRule type="cellIs" dxfId="220" priority="1644" operator="equal">
      <formula>"Sobre Stock"</formula>
    </cfRule>
    <cfRule type="cellIs" dxfId="219" priority="1645" operator="equal">
      <formula>"Bajo Stock"</formula>
    </cfRule>
    <cfRule type="cellIs" dxfId="218" priority="1646" operator="equal">
      <formula>"Stock OK"</formula>
    </cfRule>
    <cfRule type="cellIs" dxfId="217" priority="1647" operator="equal">
      <formula>"Quiebre Stock"</formula>
    </cfRule>
  </conditionalFormatting>
  <conditionalFormatting sqref="M572:N572">
    <cfRule type="cellIs" dxfId="216" priority="1632" operator="equal">
      <formula>"Desactivado"</formula>
    </cfRule>
    <cfRule type="cellIs" dxfId="215" priority="1633" operator="equal">
      <formula>"Sobre Stock"</formula>
    </cfRule>
    <cfRule type="cellIs" dxfId="214" priority="1634" operator="equal">
      <formula>"Bajo Stock"</formula>
    </cfRule>
    <cfRule type="cellIs" dxfId="213" priority="1635" operator="equal">
      <formula>"Stock OK"</formula>
    </cfRule>
    <cfRule type="cellIs" dxfId="212" priority="1636" operator="equal">
      <formula>"Quiebre Stock"</formula>
    </cfRule>
  </conditionalFormatting>
  <conditionalFormatting sqref="M574:N574">
    <cfRule type="cellIs" dxfId="211" priority="1621" operator="equal">
      <formula>"Desactivado"</formula>
    </cfRule>
    <cfRule type="cellIs" dxfId="210" priority="1622" operator="equal">
      <formula>"Sobre Stock"</formula>
    </cfRule>
    <cfRule type="cellIs" dxfId="209" priority="1623" operator="equal">
      <formula>"Bajo Stock"</formula>
    </cfRule>
    <cfRule type="cellIs" dxfId="208" priority="1624" operator="equal">
      <formula>"Stock OK"</formula>
    </cfRule>
    <cfRule type="cellIs" dxfId="207" priority="1625" operator="equal">
      <formula>"Quiebre Stock"</formula>
    </cfRule>
  </conditionalFormatting>
  <conditionalFormatting sqref="M587:N587">
    <cfRule type="cellIs" dxfId="206" priority="1600" operator="equal">
      <formula>"Desactivado"</formula>
    </cfRule>
    <cfRule type="cellIs" dxfId="205" priority="1601" operator="equal">
      <formula>"Sobre Stock"</formula>
    </cfRule>
    <cfRule type="cellIs" dxfId="204" priority="1602" operator="equal">
      <formula>"Bajo Stock"</formula>
    </cfRule>
    <cfRule type="cellIs" dxfId="203" priority="1603" operator="equal">
      <formula>"Stock OK"</formula>
    </cfRule>
    <cfRule type="cellIs" dxfId="202" priority="1604" operator="equal">
      <formula>"Quiebre Stock"</formula>
    </cfRule>
  </conditionalFormatting>
  <conditionalFormatting sqref="M590:N590">
    <cfRule type="cellIs" dxfId="201" priority="1589" operator="equal">
      <formula>"Desactivado"</formula>
    </cfRule>
    <cfRule type="cellIs" dxfId="200" priority="1590" operator="equal">
      <formula>"Sobre Stock"</formula>
    </cfRule>
    <cfRule type="cellIs" dxfId="199" priority="1591" operator="equal">
      <formula>"Bajo Stock"</formula>
    </cfRule>
    <cfRule type="cellIs" dxfId="198" priority="1592" operator="equal">
      <formula>"Stock OK"</formula>
    </cfRule>
    <cfRule type="cellIs" dxfId="197" priority="1593" operator="equal">
      <formula>"Quiebre Stock"</formula>
    </cfRule>
  </conditionalFormatting>
  <conditionalFormatting sqref="M604:N604">
    <cfRule type="cellIs" dxfId="196" priority="1553" operator="equal">
      <formula>"Desactivado"</formula>
    </cfRule>
    <cfRule type="cellIs" dxfId="195" priority="1554" operator="equal">
      <formula>"Sobre Stock"</formula>
    </cfRule>
    <cfRule type="cellIs" dxfId="194" priority="1555" operator="equal">
      <formula>"Bajo Stock"</formula>
    </cfRule>
    <cfRule type="cellIs" dxfId="193" priority="1556" operator="equal">
      <formula>"Stock OK"</formula>
    </cfRule>
    <cfRule type="cellIs" dxfId="192" priority="1557" operator="equal">
      <formula>"Quiebre Stock"</formula>
    </cfRule>
  </conditionalFormatting>
  <conditionalFormatting sqref="M631:N631">
    <cfRule type="cellIs" dxfId="191" priority="1527" operator="equal">
      <formula>"Desactivado"</formula>
    </cfRule>
    <cfRule type="cellIs" dxfId="190" priority="1528" operator="equal">
      <formula>"Sobre Stock"</formula>
    </cfRule>
    <cfRule type="cellIs" dxfId="189" priority="1529" operator="equal">
      <formula>"Bajo Stock"</formula>
    </cfRule>
    <cfRule type="cellIs" dxfId="188" priority="1530" operator="equal">
      <formula>"Stock OK"</formula>
    </cfRule>
    <cfRule type="cellIs" dxfId="187" priority="1531" operator="equal">
      <formula>"Quiebre Stock"</formula>
    </cfRule>
  </conditionalFormatting>
  <conditionalFormatting sqref="M637:N637">
    <cfRule type="cellIs" dxfId="186" priority="1516" operator="equal">
      <formula>"Desactivado"</formula>
    </cfRule>
    <cfRule type="cellIs" dxfId="185" priority="1517" operator="equal">
      <formula>"Sobre Stock"</formula>
    </cfRule>
    <cfRule type="cellIs" dxfId="184" priority="1518" operator="equal">
      <formula>"Bajo Stock"</formula>
    </cfRule>
    <cfRule type="cellIs" dxfId="183" priority="1519" operator="equal">
      <formula>"Stock OK"</formula>
    </cfRule>
    <cfRule type="cellIs" dxfId="182" priority="1520" operator="equal">
      <formula>"Quiebre Stock"</formula>
    </cfRule>
  </conditionalFormatting>
  <conditionalFormatting sqref="M638:N638">
    <cfRule type="cellIs" dxfId="181" priority="1505" operator="equal">
      <formula>"Desactivado"</formula>
    </cfRule>
    <cfRule type="cellIs" dxfId="180" priority="1506" operator="equal">
      <formula>"Sobre Stock"</formula>
    </cfRule>
    <cfRule type="cellIs" dxfId="179" priority="1507" operator="equal">
      <formula>"Bajo Stock"</formula>
    </cfRule>
    <cfRule type="cellIs" dxfId="178" priority="1508" operator="equal">
      <formula>"Stock OK"</formula>
    </cfRule>
    <cfRule type="cellIs" dxfId="177" priority="1509" operator="equal">
      <formula>"Quiebre Stock"</formula>
    </cfRule>
  </conditionalFormatting>
  <conditionalFormatting sqref="M639:N639">
    <cfRule type="cellIs" dxfId="176" priority="1494" operator="equal">
      <formula>"Desactivado"</formula>
    </cfRule>
    <cfRule type="cellIs" dxfId="175" priority="1495" operator="equal">
      <formula>"Sobre Stock"</formula>
    </cfRule>
    <cfRule type="cellIs" dxfId="174" priority="1496" operator="equal">
      <formula>"Bajo Stock"</formula>
    </cfRule>
    <cfRule type="cellIs" dxfId="173" priority="1497" operator="equal">
      <formula>"Stock OK"</formula>
    </cfRule>
    <cfRule type="cellIs" dxfId="172" priority="1498" operator="equal">
      <formula>"Quiebre Stock"</formula>
    </cfRule>
  </conditionalFormatting>
  <conditionalFormatting sqref="N750">
    <cfRule type="cellIs" dxfId="171" priority="1428" operator="equal">
      <formula>"Desactivado"</formula>
    </cfRule>
    <cfRule type="cellIs" dxfId="170" priority="1429" operator="equal">
      <formula>"Sobre Stock"</formula>
    </cfRule>
    <cfRule type="cellIs" dxfId="169" priority="1430" operator="equal">
      <formula>"Bajo Stock"</formula>
    </cfRule>
    <cfRule type="cellIs" dxfId="168" priority="1431" operator="equal">
      <formula>"Stock OK"</formula>
    </cfRule>
    <cfRule type="cellIs" dxfId="167" priority="1432" operator="equal">
      <formula>"Quiebre Stock"</formula>
    </cfRule>
  </conditionalFormatting>
  <conditionalFormatting sqref="M768:N768">
    <cfRule type="cellIs" dxfId="166" priority="1417" operator="equal">
      <formula>"Desactivado"</formula>
    </cfRule>
    <cfRule type="cellIs" dxfId="165" priority="1418" operator="equal">
      <formula>"Sobre Stock"</formula>
    </cfRule>
    <cfRule type="cellIs" dxfId="164" priority="1419" operator="equal">
      <formula>"Bajo Stock"</formula>
    </cfRule>
    <cfRule type="cellIs" dxfId="163" priority="1420" operator="equal">
      <formula>"Stock OK"</formula>
    </cfRule>
    <cfRule type="cellIs" dxfId="162" priority="1421" operator="equal">
      <formula>"Quiebre Stock"</formula>
    </cfRule>
  </conditionalFormatting>
  <conditionalFormatting sqref="M937:N937">
    <cfRule type="cellIs" dxfId="161" priority="1366" operator="equal">
      <formula>"Desactivado"</formula>
    </cfRule>
    <cfRule type="cellIs" dxfId="160" priority="1367" operator="equal">
      <formula>"Sobre Stock"</formula>
    </cfRule>
    <cfRule type="cellIs" dxfId="159" priority="1368" operator="equal">
      <formula>"Bajo Stock"</formula>
    </cfRule>
    <cfRule type="cellIs" dxfId="158" priority="1369" operator="equal">
      <formula>"Stock OK"</formula>
    </cfRule>
    <cfRule type="cellIs" dxfId="157" priority="1370" operator="equal">
      <formula>"Quiebre Stock"</formula>
    </cfRule>
  </conditionalFormatting>
  <conditionalFormatting sqref="M938:N938">
    <cfRule type="cellIs" dxfId="156" priority="1355" operator="equal">
      <formula>"Desactivado"</formula>
    </cfRule>
    <cfRule type="cellIs" dxfId="155" priority="1356" operator="equal">
      <formula>"Sobre Stock"</formula>
    </cfRule>
    <cfRule type="cellIs" dxfId="154" priority="1357" operator="equal">
      <formula>"Bajo Stock"</formula>
    </cfRule>
    <cfRule type="cellIs" dxfId="153" priority="1358" operator="equal">
      <formula>"Stock OK"</formula>
    </cfRule>
    <cfRule type="cellIs" dxfId="152" priority="1359" operator="equal">
      <formula>"Quiebre Stock"</formula>
    </cfRule>
  </conditionalFormatting>
  <conditionalFormatting sqref="M939:N939">
    <cfRule type="cellIs" dxfId="151" priority="1344" operator="equal">
      <formula>"Desactivado"</formula>
    </cfRule>
    <cfRule type="cellIs" dxfId="150" priority="1345" operator="equal">
      <formula>"Sobre Stock"</formula>
    </cfRule>
    <cfRule type="cellIs" dxfId="149" priority="1346" operator="equal">
      <formula>"Bajo Stock"</formula>
    </cfRule>
    <cfRule type="cellIs" dxfId="148" priority="1347" operator="equal">
      <formula>"Stock OK"</formula>
    </cfRule>
    <cfRule type="cellIs" dxfId="147" priority="1348" operator="equal">
      <formula>"Quiebre Stock"</formula>
    </cfRule>
  </conditionalFormatting>
  <conditionalFormatting sqref="M717 M651">
    <cfRule type="cellIs" dxfId="146" priority="1043" operator="equal">
      <formula>"Desactivado"</formula>
    </cfRule>
    <cfRule type="cellIs" dxfId="145" priority="1044" operator="equal">
      <formula>"Sobre Stock"</formula>
    </cfRule>
    <cfRule type="cellIs" dxfId="144" priority="1045" operator="equal">
      <formula>"Bajo Stock"</formula>
    </cfRule>
    <cfRule type="cellIs" dxfId="143" priority="1046" operator="equal">
      <formula>"Stock OK"</formula>
    </cfRule>
    <cfRule type="cellIs" dxfId="142" priority="1047" operator="equal">
      <formula>"Quiebre Stock"</formula>
    </cfRule>
  </conditionalFormatting>
  <conditionalFormatting sqref="M652">
    <cfRule type="cellIs" dxfId="141" priority="1038" operator="equal">
      <formula>"Desactivado"</formula>
    </cfRule>
    <cfRule type="cellIs" dxfId="140" priority="1039" operator="equal">
      <formula>"Sobre Stock"</formula>
    </cfRule>
    <cfRule type="cellIs" dxfId="139" priority="1040" operator="equal">
      <formula>"Bajo Stock"</formula>
    </cfRule>
    <cfRule type="cellIs" dxfId="138" priority="1041" operator="equal">
      <formula>"Stock OK"</formula>
    </cfRule>
    <cfRule type="cellIs" dxfId="137" priority="1042" operator="equal">
      <formula>"Quiebre Stock"</formula>
    </cfRule>
  </conditionalFormatting>
  <conditionalFormatting sqref="M4">
    <cfRule type="cellIs" dxfId="136" priority="1008" operator="equal">
      <formula>"Desactivado"</formula>
    </cfRule>
    <cfRule type="cellIs" dxfId="135" priority="1009" operator="equal">
      <formula>"Sobre Stock"</formula>
    </cfRule>
    <cfRule type="cellIs" dxfId="134" priority="1010" operator="equal">
      <formula>"Bajo Stock"</formula>
    </cfRule>
    <cfRule type="cellIs" dxfId="133" priority="1011" operator="equal">
      <formula>"Stock OK"</formula>
    </cfRule>
    <cfRule type="cellIs" dxfId="132" priority="1012" operator="equal">
      <formula>"Quiebre Stock"</formula>
    </cfRule>
  </conditionalFormatting>
  <conditionalFormatting sqref="M5">
    <cfRule type="cellIs" dxfId="131" priority="1003" operator="equal">
      <formula>"Desactivado"</formula>
    </cfRule>
    <cfRule type="cellIs" dxfId="130" priority="1004" operator="equal">
      <formula>"Sobre Stock"</formula>
    </cfRule>
    <cfRule type="cellIs" dxfId="129" priority="1005" operator="equal">
      <formula>"Bajo Stock"</formula>
    </cfRule>
    <cfRule type="cellIs" dxfId="128" priority="1006" operator="equal">
      <formula>"Stock OK"</formula>
    </cfRule>
    <cfRule type="cellIs" dxfId="127" priority="1007" operator="equal">
      <formula>"Quiebre Stock"</formula>
    </cfRule>
  </conditionalFormatting>
  <conditionalFormatting sqref="M7">
    <cfRule type="cellIs" dxfId="126" priority="998" operator="equal">
      <formula>"Desactivado"</formula>
    </cfRule>
    <cfRule type="cellIs" dxfId="125" priority="999" operator="equal">
      <formula>"Sobre Stock"</formula>
    </cfRule>
    <cfRule type="cellIs" dxfId="124" priority="1000" operator="equal">
      <formula>"Bajo Stock"</formula>
    </cfRule>
    <cfRule type="cellIs" dxfId="123" priority="1001" operator="equal">
      <formula>"Stock OK"</formula>
    </cfRule>
    <cfRule type="cellIs" dxfId="122" priority="1002" operator="equal">
      <formula>"Quiebre Stock"</formula>
    </cfRule>
  </conditionalFormatting>
  <conditionalFormatting sqref="M6">
    <cfRule type="cellIs" dxfId="121" priority="993" operator="equal">
      <formula>"Desactivado"</formula>
    </cfRule>
    <cfRule type="cellIs" dxfId="120" priority="994" operator="equal">
      <formula>"Sobre Stock"</formula>
    </cfRule>
    <cfRule type="cellIs" dxfId="119" priority="995" operator="equal">
      <formula>"Bajo Stock"</formula>
    </cfRule>
    <cfRule type="cellIs" dxfId="118" priority="996" operator="equal">
      <formula>"Stock OK"</formula>
    </cfRule>
    <cfRule type="cellIs" dxfId="117" priority="997" operator="equal">
      <formula>"Quiebre Stock"</formula>
    </cfRule>
  </conditionalFormatting>
  <conditionalFormatting pivot="1" sqref="N4">
    <cfRule type="cellIs" dxfId="116" priority="988" operator="equal">
      <formula>"Desactivado"</formula>
    </cfRule>
    <cfRule type="cellIs" dxfId="115" priority="989" operator="equal">
      <formula>"Sobre Stock"</formula>
    </cfRule>
    <cfRule type="cellIs" dxfId="114" priority="990" operator="equal">
      <formula>"Bajo Stock"</formula>
    </cfRule>
    <cfRule type="cellIs" dxfId="113" priority="991" operator="equal">
      <formula>"Stock OK"</formula>
    </cfRule>
    <cfRule type="cellIs" dxfId="112" priority="992" operator="equal">
      <formula>"Quiebre Stock"</formula>
    </cfRule>
  </conditionalFormatting>
  <conditionalFormatting sqref="M848">
    <cfRule type="cellIs" dxfId="111" priority="668" operator="equal">
      <formula>"Desactivado"</formula>
    </cfRule>
    <cfRule type="cellIs" dxfId="110" priority="669" operator="equal">
      <formula>"Sobre Stock"</formula>
    </cfRule>
    <cfRule type="cellIs" dxfId="109" priority="670" operator="equal">
      <formula>"Bajo Stock"</formula>
    </cfRule>
    <cfRule type="cellIs" dxfId="108" priority="671" operator="equal">
      <formula>"Stock OK"</formula>
    </cfRule>
    <cfRule type="cellIs" dxfId="107" priority="672" operator="equal">
      <formula>"Quiebre Stock"</formula>
    </cfRule>
  </conditionalFormatting>
  <conditionalFormatting sqref="M866">
    <cfRule type="cellIs" dxfId="106" priority="658" operator="equal">
      <formula>"Desactivado"</formula>
    </cfRule>
    <cfRule type="cellIs" dxfId="105" priority="659" operator="equal">
      <formula>"Sobre Stock"</formula>
    </cfRule>
    <cfRule type="cellIs" dxfId="104" priority="660" operator="equal">
      <formula>"Bajo Stock"</formula>
    </cfRule>
    <cfRule type="cellIs" dxfId="103" priority="661" operator="equal">
      <formula>"Stock OK"</formula>
    </cfRule>
    <cfRule type="cellIs" dxfId="102" priority="662" operator="equal">
      <formula>"Quiebre Stock"</formula>
    </cfRule>
  </conditionalFormatting>
  <conditionalFormatting sqref="M948">
    <cfRule type="cellIs" dxfId="101" priority="498" operator="equal">
      <formula>"Desactivado"</formula>
    </cfRule>
    <cfRule type="cellIs" dxfId="100" priority="499" operator="equal">
      <formula>"Sobre Stock"</formula>
    </cfRule>
    <cfRule type="cellIs" dxfId="99" priority="500" operator="equal">
      <formula>"Bajo Stock"</formula>
    </cfRule>
    <cfRule type="cellIs" dxfId="98" priority="501" operator="equal">
      <formula>"Stock OK"</formula>
    </cfRule>
    <cfRule type="cellIs" dxfId="97" priority="502" operator="equal">
      <formula>"Quiebre Stock"</formula>
    </cfRule>
  </conditionalFormatting>
  <conditionalFormatting sqref="N1076:N1077">
    <cfRule type="cellIs" dxfId="96" priority="84" operator="equal">
      <formula>"Desactivado"</formula>
    </cfRule>
    <cfRule type="cellIs" dxfId="95" priority="85" operator="equal">
      <formula>"Sobre Stock"</formula>
    </cfRule>
    <cfRule type="cellIs" dxfId="94" priority="86" operator="equal">
      <formula>"Bajo Stock"</formula>
    </cfRule>
    <cfRule type="cellIs" dxfId="93" priority="87" operator="equal">
      <formula>"Stock OK"</formula>
    </cfRule>
    <cfRule type="cellIs" dxfId="92" priority="88" operator="equal">
      <formula>"Quiebre Stock"</formula>
    </cfRule>
  </conditionalFormatting>
  <conditionalFormatting sqref="Q1076:Q1077">
    <cfRule type="cellIs" dxfId="91" priority="83" operator="lessThan">
      <formula>TODAY()</formula>
    </cfRule>
  </conditionalFormatting>
  <conditionalFormatting sqref="N531">
    <cfRule type="cellIs" dxfId="90" priority="72" operator="equal">
      <formula>"Desactivado"</formula>
    </cfRule>
    <cfRule type="cellIs" dxfId="89" priority="73" operator="equal">
      <formula>"Sobre Stock"</formula>
    </cfRule>
    <cfRule type="cellIs" dxfId="88" priority="74" operator="equal">
      <formula>"Bajo Stock"</formula>
    </cfRule>
    <cfRule type="cellIs" dxfId="87" priority="75" operator="equal">
      <formula>"Stock OK"</formula>
    </cfRule>
    <cfRule type="cellIs" dxfId="86" priority="76" operator="equal">
      <formula>"Quiebre Stock"</formula>
    </cfRule>
  </conditionalFormatting>
  <conditionalFormatting sqref="Q531">
    <cfRule type="cellIs" dxfId="85" priority="71" operator="lessThan">
      <formula>TODAY()</formula>
    </cfRule>
  </conditionalFormatting>
  <conditionalFormatting sqref="N533">
    <cfRule type="cellIs" dxfId="84" priority="66" operator="equal">
      <formula>"Desactivado"</formula>
    </cfRule>
    <cfRule type="cellIs" dxfId="83" priority="67" operator="equal">
      <formula>"Sobre Stock"</formula>
    </cfRule>
    <cfRule type="cellIs" dxfId="82" priority="68" operator="equal">
      <formula>"Bajo Stock"</formula>
    </cfRule>
    <cfRule type="cellIs" dxfId="81" priority="69" operator="equal">
      <formula>"Stock OK"</formula>
    </cfRule>
    <cfRule type="cellIs" dxfId="80" priority="70" operator="equal">
      <formula>"Quiebre Stock"</formula>
    </cfRule>
  </conditionalFormatting>
  <conditionalFormatting sqref="Q533">
    <cfRule type="cellIs" dxfId="79" priority="65" operator="lessThan">
      <formula>TODAY()</formula>
    </cfRule>
  </conditionalFormatting>
  <conditionalFormatting sqref="N534">
    <cfRule type="cellIs" dxfId="78" priority="60" operator="equal">
      <formula>"Desactivado"</formula>
    </cfRule>
    <cfRule type="cellIs" dxfId="77" priority="61" operator="equal">
      <formula>"Sobre Stock"</formula>
    </cfRule>
    <cfRule type="cellIs" dxfId="76" priority="62" operator="equal">
      <formula>"Bajo Stock"</formula>
    </cfRule>
    <cfRule type="cellIs" dxfId="75" priority="63" operator="equal">
      <formula>"Stock OK"</formula>
    </cfRule>
    <cfRule type="cellIs" dxfId="74" priority="64" operator="equal">
      <formula>"Quiebre Stock"</formula>
    </cfRule>
  </conditionalFormatting>
  <conditionalFormatting sqref="Q534">
    <cfRule type="cellIs" dxfId="73" priority="59" operator="lessThan">
      <formula>TODAY()</formula>
    </cfRule>
  </conditionalFormatting>
  <conditionalFormatting sqref="N535">
    <cfRule type="cellIs" dxfId="72" priority="54" operator="equal">
      <formula>"Desactivado"</formula>
    </cfRule>
    <cfRule type="cellIs" dxfId="71" priority="55" operator="equal">
      <formula>"Sobre Stock"</formula>
    </cfRule>
    <cfRule type="cellIs" dxfId="70" priority="56" operator="equal">
      <formula>"Bajo Stock"</formula>
    </cfRule>
    <cfRule type="cellIs" dxfId="69" priority="57" operator="equal">
      <formula>"Stock OK"</formula>
    </cfRule>
    <cfRule type="cellIs" dxfId="68" priority="58" operator="equal">
      <formula>"Quiebre Stock"</formula>
    </cfRule>
  </conditionalFormatting>
  <conditionalFormatting sqref="Q535:Q536">
    <cfRule type="cellIs" dxfId="67" priority="53" operator="lessThan">
      <formula>TODAY()</formula>
    </cfRule>
  </conditionalFormatting>
  <conditionalFormatting sqref="N536">
    <cfRule type="cellIs" dxfId="66" priority="48" operator="equal">
      <formula>"Desactivado"</formula>
    </cfRule>
    <cfRule type="cellIs" dxfId="65" priority="49" operator="equal">
      <formula>"Sobre Stock"</formula>
    </cfRule>
    <cfRule type="cellIs" dxfId="64" priority="50" operator="equal">
      <formula>"Bajo Stock"</formula>
    </cfRule>
    <cfRule type="cellIs" dxfId="63" priority="51" operator="equal">
      <formula>"Stock OK"</formula>
    </cfRule>
    <cfRule type="cellIs" dxfId="62" priority="52" operator="equal">
      <formula>"Quiebre Stock"</formula>
    </cfRule>
  </conditionalFormatting>
  <conditionalFormatting sqref="N516">
    <cfRule type="cellIs" dxfId="61" priority="43" operator="equal">
      <formula>"Desactivado"</formula>
    </cfRule>
    <cfRule type="cellIs" dxfId="60" priority="44" operator="equal">
      <formula>"Sobre Stock"</formula>
    </cfRule>
    <cfRule type="cellIs" dxfId="59" priority="45" operator="equal">
      <formula>"Bajo Stock"</formula>
    </cfRule>
    <cfRule type="cellIs" dxfId="58" priority="46" operator="equal">
      <formula>"Stock OK"</formula>
    </cfRule>
    <cfRule type="cellIs" dxfId="57" priority="47" operator="equal">
      <formula>"Quiebre Stock"</formula>
    </cfRule>
  </conditionalFormatting>
  <conditionalFormatting sqref="Q516">
    <cfRule type="cellIs" dxfId="56" priority="42" operator="lessThan">
      <formula>TODAY()</formula>
    </cfRule>
  </conditionalFormatting>
  <conditionalFormatting sqref="M531">
    <cfRule type="cellIs" dxfId="55" priority="34" operator="equal">
      <formula>"Desactivado"</formula>
    </cfRule>
    <cfRule type="cellIs" dxfId="54" priority="35" operator="equal">
      <formula>"Sobre Stock"</formula>
    </cfRule>
    <cfRule type="cellIs" dxfId="53" priority="36" operator="equal">
      <formula>"Bajo Stock"</formula>
    </cfRule>
    <cfRule type="cellIs" dxfId="52" priority="37" operator="equal">
      <formula>"Stock OK"</formula>
    </cfRule>
    <cfRule type="cellIs" dxfId="51" priority="38" operator="equal">
      <formula>"Quiebre Stock"</formula>
    </cfRule>
  </conditionalFormatting>
  <conditionalFormatting sqref="M597:M599">
    <cfRule type="cellIs" dxfId="50" priority="29" operator="equal">
      <formula>"Desactivado"</formula>
    </cfRule>
    <cfRule type="cellIs" dxfId="49" priority="30" operator="equal">
      <formula>"Sobre Stock"</formula>
    </cfRule>
    <cfRule type="cellIs" dxfId="48" priority="31" operator="equal">
      <formula>"Bajo Stock"</formula>
    </cfRule>
    <cfRule type="cellIs" dxfId="47" priority="32" operator="equal">
      <formula>"Stock OK"</formula>
    </cfRule>
    <cfRule type="cellIs" dxfId="46" priority="33" operator="equal">
      <formula>"Quiebre Stock"</formula>
    </cfRule>
  </conditionalFormatting>
  <conditionalFormatting sqref="L1111">
    <cfRule type="expression" dxfId="45" priority="16">
      <formula>AND($M1111&lt;&gt;"",$Q1111&lt;TODAY(),$E1111="A",$J1111="Quiebre Stock")</formula>
    </cfRule>
  </conditionalFormatting>
  <conditionalFormatting sqref="L1195">
    <cfRule type="expression" dxfId="44" priority="14">
      <formula>AND($M1195&lt;&gt;"",$Q1195&lt;TODAY(),$E1195="A",$J1195="Quiebre Stock")</formula>
    </cfRule>
  </conditionalFormatting>
  <conditionalFormatting sqref="B17:B1325">
    <cfRule type="duplicateValues" dxfId="19" priority="6563"/>
    <cfRule type="duplicateValues" dxfId="18" priority="6564"/>
    <cfRule type="duplicateValues" dxfId="17" priority="65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43" priority="1"/>
    <cfRule type="duplicateValues" dxfId="42" priority="2"/>
    <cfRule type="duplicateValues" dxfId="41" priority="3"/>
  </conditionalFormatting>
  <conditionalFormatting sqref="J7:J1318">
    <cfRule type="cellIs" dxfId="40" priority="4" operator="equal">
      <formula>"Desactivado"</formula>
    </cfRule>
    <cfRule type="cellIs" dxfId="39" priority="5" operator="equal">
      <formula>"Sobre Stock"</formula>
    </cfRule>
    <cfRule type="cellIs" dxfId="38" priority="6" operator="equal">
      <formula>"Bajo Stock"</formula>
    </cfRule>
    <cfRule type="cellIs" dxfId="37" priority="7" operator="equal">
      <formula>"Stock OK"</formula>
    </cfRule>
    <cfRule type="cellIs" dxfId="36" priority="8" operator="equal">
      <formula>"Quiebre Stock"</formula>
    </cfRule>
  </conditionalFormatting>
  <conditionalFormatting sqref="K7">
    <cfRule type="cellIs" dxfId="35" priority="14" operator="equal">
      <formula>"Desactivado"</formula>
    </cfRule>
    <cfRule type="cellIs" dxfId="34" priority="15" operator="equal">
      <formula>"Sobre Stock"</formula>
    </cfRule>
    <cfRule type="cellIs" dxfId="33" priority="16" operator="equal">
      <formula>"Bajo Stock"</formula>
    </cfRule>
    <cfRule type="cellIs" dxfId="32" priority="17" operator="equal">
      <formula>"Stock OK"</formula>
    </cfRule>
    <cfRule type="cellIs" dxfId="31" priority="18" operator="equal">
      <formula>"Quiebre Stock"</formula>
    </cfRule>
  </conditionalFormatting>
  <conditionalFormatting sqref="K8:K1318">
    <cfRule type="cellIs" dxfId="30" priority="12" operator="lessThan">
      <formula>0.499</formula>
    </cfRule>
    <cfRule type="cellIs" dxfId="2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28" priority="36"/>
    <cfRule type="duplicateValues" dxfId="27" priority="37"/>
    <cfRule type="duplicateValues" dxfId="26" priority="38"/>
  </conditionalFormatting>
  <conditionalFormatting sqref="J1:M253">
    <cfRule type="cellIs" dxfId="25" priority="2" operator="equal">
      <formula>"Desactivado"</formula>
    </cfRule>
    <cfRule type="cellIs" dxfId="24" priority="3" operator="equal">
      <formula>"Sobre Stock"</formula>
    </cfRule>
    <cfRule type="cellIs" dxfId="23" priority="4" operator="equal">
      <formula>"Bajo Stock"</formula>
    </cfRule>
    <cfRule type="cellIs" dxfId="22" priority="5" operator="equal">
      <formula>"Stock OK"</formula>
    </cfRule>
    <cfRule type="cellIs" dxfId="21" priority="6" operator="equal">
      <formula>"Quiebre Stock"</formula>
    </cfRule>
  </conditionalFormatting>
  <conditionalFormatting sqref="P2:Q253">
    <cfRule type="cellIs" dxfId="2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E1DE4F7-E0DC-4D00-98CF-8311553E54C2}">
  <ds:schemaRefs/>
</ds:datastoreItem>
</file>

<file path=customXml/itemProps2.xml><?xml version="1.0" encoding="utf-8"?>
<ds:datastoreItem xmlns:ds="http://schemas.openxmlformats.org/officeDocument/2006/customXml" ds:itemID="{10284D1A-666F-4B96-8C6C-F302A34AA26D}">
  <ds:schemaRefs/>
</ds:datastoreItem>
</file>

<file path=customXml/itemProps3.xml><?xml version="1.0" encoding="utf-8"?>
<ds:datastoreItem xmlns:ds="http://schemas.openxmlformats.org/officeDocument/2006/customXml" ds:itemID="{E9C85BF8-3150-473C-A79F-6740E28A975F}">
  <ds:schemaRefs/>
</ds:datastoreItem>
</file>

<file path=customXml/itemProps4.xml><?xml version="1.0" encoding="utf-8"?>
<ds:datastoreItem xmlns:ds="http://schemas.openxmlformats.org/officeDocument/2006/customXml" ds:itemID="{53D9BD58-9855-41B1-BBAA-EBD59A28D729}">
  <ds:schemaRefs/>
</ds:datastoreItem>
</file>

<file path=customXml/itemProps5.xml><?xml version="1.0" encoding="utf-8"?>
<ds:datastoreItem xmlns:ds="http://schemas.openxmlformats.org/officeDocument/2006/customXml" ds:itemID="{22A1D83D-34AC-4DC6-BF48-0285EB63DB45}">
  <ds:schemaRefs/>
</ds:datastoreItem>
</file>

<file path=customXml/itemProps6.xml><?xml version="1.0" encoding="utf-8"?>
<ds:datastoreItem xmlns:ds="http://schemas.openxmlformats.org/officeDocument/2006/customXml" ds:itemID="{A2CA7F53-FA6A-4F83-8C83-AF63906A1BA5}">
  <ds:schemaRefs/>
</ds:datastoreItem>
</file>

<file path=customXml/itemProps7.xml><?xml version="1.0" encoding="utf-8"?>
<ds:datastoreItem xmlns:ds="http://schemas.openxmlformats.org/officeDocument/2006/customXml" ds:itemID="{6D4423D8-6D3E-4B9A-995B-092056B28B25}">
  <ds:schemaRefs/>
</ds:datastoreItem>
</file>

<file path=customXml/itemProps8.xml><?xml version="1.0" encoding="utf-8"?>
<ds:datastoreItem xmlns:ds="http://schemas.openxmlformats.org/officeDocument/2006/customXml" ds:itemID="{8701D198-5B20-44C0-A3B8-DDA787C9CC77}">
  <ds:schemaRefs/>
</ds:datastoreItem>
</file>

<file path=customXml/itemProps9.xml><?xml version="1.0" encoding="utf-8"?>
<ds:datastoreItem xmlns:ds="http://schemas.openxmlformats.org/officeDocument/2006/customXml" ds:itemID="{1039B7D1-58FF-4671-8B7A-AA6647B52214}">
  <ds:schemaRefs/>
</ds:datastoreItem>
</file>

<file path=customXml/itemProps10.xml><?xml version="1.0" encoding="utf-8"?>
<ds:datastoreItem xmlns:ds="http://schemas.openxmlformats.org/officeDocument/2006/customXml" ds:itemID="{46FE3B33-23CB-4C87-9BF9-CA9A6BD8265C}">
  <ds:schemaRefs/>
</ds:datastoreItem>
</file>

<file path=customXml/itemProps11.xml><?xml version="1.0" encoding="utf-8"?>
<ds:datastoreItem xmlns:ds="http://schemas.openxmlformats.org/officeDocument/2006/customXml" ds:itemID="{68A1438B-7615-486A-9290-DC8742F17A8D}">
  <ds:schemaRefs/>
</ds:datastoreItem>
</file>

<file path=customXml/itemProps12.xml><?xml version="1.0" encoding="utf-8"?>
<ds:datastoreItem xmlns:ds="http://schemas.openxmlformats.org/officeDocument/2006/customXml" ds:itemID="{C933F1A4-DB9A-4F45-BB83-65D2D0BC91CF}">
  <ds:schemaRefs/>
</ds:datastoreItem>
</file>

<file path=customXml/itemProps13.xml><?xml version="1.0" encoding="utf-8"?>
<ds:datastoreItem xmlns:ds="http://schemas.openxmlformats.org/officeDocument/2006/customXml" ds:itemID="{2024EEA9-1EC3-4A27-BA2F-C28822459AF8}">
  <ds:schemaRefs/>
</ds:datastoreItem>
</file>

<file path=customXml/itemProps14.xml><?xml version="1.0" encoding="utf-8"?>
<ds:datastoreItem xmlns:ds="http://schemas.openxmlformats.org/officeDocument/2006/customXml" ds:itemID="{FA341D3C-2214-4ACD-AF94-BE9690436CF8}">
  <ds:schemaRefs/>
</ds:datastoreItem>
</file>

<file path=customXml/itemProps15.xml><?xml version="1.0" encoding="utf-8"?>
<ds:datastoreItem xmlns:ds="http://schemas.openxmlformats.org/officeDocument/2006/customXml" ds:itemID="{2D93D4C3-C097-499B-BC70-2F81B9BBD3D8}">
  <ds:schemaRefs/>
</ds:datastoreItem>
</file>

<file path=customXml/itemProps16.xml><?xml version="1.0" encoding="utf-8"?>
<ds:datastoreItem xmlns:ds="http://schemas.openxmlformats.org/officeDocument/2006/customXml" ds:itemID="{205A3807-A078-421E-BF77-6CAFE66F33A4}">
  <ds:schemaRefs/>
</ds:datastoreItem>
</file>

<file path=customXml/itemProps17.xml><?xml version="1.0" encoding="utf-8"?>
<ds:datastoreItem xmlns:ds="http://schemas.openxmlformats.org/officeDocument/2006/customXml" ds:itemID="{0F3EABCF-BC31-45B6-8D57-45DAD164486F}">
  <ds:schemaRefs/>
</ds:datastoreItem>
</file>

<file path=customXml/itemProps18.xml><?xml version="1.0" encoding="utf-8"?>
<ds:datastoreItem xmlns:ds="http://schemas.openxmlformats.org/officeDocument/2006/customXml" ds:itemID="{2B7EA82C-3EED-470A-8A2F-B8E264757E46}">
  <ds:schemaRefs/>
</ds:datastoreItem>
</file>

<file path=customXml/itemProps19.xml><?xml version="1.0" encoding="utf-8"?>
<ds:datastoreItem xmlns:ds="http://schemas.openxmlformats.org/officeDocument/2006/customXml" ds:itemID="{299A020A-346D-494F-B795-26FCA9F8CD2C}">
  <ds:schemaRefs/>
</ds:datastoreItem>
</file>

<file path=customXml/itemProps20.xml><?xml version="1.0" encoding="utf-8"?>
<ds:datastoreItem xmlns:ds="http://schemas.openxmlformats.org/officeDocument/2006/customXml" ds:itemID="{EDEC40CB-5311-4F30-A212-8EBF470E480E}">
  <ds:schemaRefs/>
</ds:datastoreItem>
</file>

<file path=customXml/itemProps21.xml><?xml version="1.0" encoding="utf-8"?>
<ds:datastoreItem xmlns:ds="http://schemas.openxmlformats.org/officeDocument/2006/customXml" ds:itemID="{C59E9B35-0AE7-49B9-8CF2-1953EBB5ACBC}">
  <ds:schemaRefs/>
</ds:datastoreItem>
</file>

<file path=customXml/itemProps22.xml><?xml version="1.0" encoding="utf-8"?>
<ds:datastoreItem xmlns:ds="http://schemas.openxmlformats.org/officeDocument/2006/customXml" ds:itemID="{50DD3B1E-ED91-4AE6-BC7E-B098D2684BD1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2026-05-29T15:08:00Z</dcterms:modified>
</cp:coreProperties>
</file>