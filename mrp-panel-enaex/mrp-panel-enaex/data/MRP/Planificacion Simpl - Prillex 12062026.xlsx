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0F8A6690-2A42-4346-BF7D-D83B7E798E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  <externalReference r:id="rId6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42" r:id="rId7"/>
    <pivotCache cacheId="43" r:id="rId8"/>
    <pivotCache cacheId="44" r:id="rId9"/>
    <pivotCache cacheId="45" r:id="rId10"/>
  </pivotCaches>
  <extLst>
    <ext xmlns:x14="http://schemas.microsoft.com/office/spreadsheetml/2009/9/main" uri="{876F7934-8845-4945-9796-88D515C7AA90}">
      <x14:pivotCaches>
        <pivotCache cacheId="46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91" i="2" l="1"/>
  <c r="V1291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32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<sst xmlns="http://schemas.openxmlformats.org/spreadsheetml/2006/main" count="17932" uniqueCount="1698">
  <si>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</si>
  <si>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</si>
  <si>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</si>
  <si>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</si>
  <si>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</si>
  <si>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</si>
  <si>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</si>
  <si>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</si>
  <si>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</si>
  <si>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</si>
  <si>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</si>
  <si>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</si>
  <si>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</si>
  <si>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</si>
  <si>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</si>
  <si>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</si>
  <si>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</si>
  <si>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</si>
  <si>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</si>
  <si>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</si>
  <si>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</si>
  <si>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</si>
  <si>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</si>
  <si>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</si>
  <si>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</si>
  <si>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</si>
  <si>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</si>
  <si>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</si>
  <si>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</si>
  <si>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</si>
  <si>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</si>
  <si>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</si>
  <si>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</si>
  <si>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</si>
  <si>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</si>
  <si>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</si>
  <si>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</si>
  <si>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</si>
  <si>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</si>
  <si>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</si>
  <si>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</si>
  <si>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</si>
  <si>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</si>
  <si>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</si>
  <si>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</si>
  <si>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</si>
  <si>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</si>
  <si>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</si>
  <si>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</si>
  <si>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</si>
  <si>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</si>
  <si>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</si>
  <si>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</si>
  <si>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</si>
  <si>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</si>
  <si>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</si>
  <si>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</si>
  <si>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</si>
  <si>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</si>
  <si>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</si>
  <si>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</si>
  <si>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</si>
  <si>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</si>
  <si>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</si>
  <si>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</si>
  <si>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</si>
  <si>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</si>
  <si>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</si>
  <si>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</si>
  <si>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</si>
  <si>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</si>
  <si>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</si>
  <si>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</si>
  <si>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</si>
  <si>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</si>
  <si>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</si>
  <si>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</si>
  <si>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</si>
  <si>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</si>
  <si>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</si>
  <si>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</si>
  <si>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</si>
  <si>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</si>
  <si>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</si>
  <si>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</si>
  <si>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</si>
  <si>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</si>
  <si>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</si>
  <si>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</si>
  <si>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</si>
  <si>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</si>
  <si>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</si>
  <si>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</si>
  <si>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</si>
  <si>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</si>
  <si>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</si>
  <si>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</si>
  <si>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</si>
  <si>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</si>
  <si>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</si>
  <si>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</si>
  <si>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</si>
  <si>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</si>
  <si>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</si>
  <si>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</si>
  <si>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</si>
  <si>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</si>
  <si>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</si>
  <si>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</si>
  <si>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</si>
  <si>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</si>
  <si>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</si>
  <si>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</si>
  <si>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</si>
  <si>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</si>
  <si>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</si>
  <si>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</si>
  <si>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</si>
  <si>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</si>
  <si>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</si>
  <si>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</si>
  <si>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</si>
  <si>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</si>
  <si>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</si>
  <si>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</si>
  <si>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</si>
  <si>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</si>
  <si>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</si>
  <si>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</si>
  <si>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</si>
  <si>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</si>
  <si>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</si>
  <si>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</si>
  <si>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</si>
  <si>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</si>
  <si>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</si>
  <si>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</si>
  <si>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</si>
  <si>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</si>
  <si>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</si>
  <si>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</si>
  <si>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</si>
  <si>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</si>
  <si>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</si>
  <si>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</si>
  <si>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</si>
  <si>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</si>
  <si>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</si>
  <si>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</si>
  <si>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</si>
  <si>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</si>
  <si>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</si>
  <si>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</si>
  <si>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</si>
  <si>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</si>
  <si>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</si>
  <si>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</si>
  <si>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</si>
  <si>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</si>
  <si>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</si>
  <si>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</si>
  <si>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</si>
  <si>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</si>
  <si>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</si>
  <si>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</si>
  <si>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</si>
  <si>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</si>
  <si>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</si>
  <si>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</si>
  <si>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</si>
  <si>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</si>
  <si>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</si>
  <si>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</si>
  <si>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</si>
  <si>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</si>
  <si>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</si>
  <si>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</si>
  <si>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</si>
  <si>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</si>
  <si>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</si>
  <si>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</si>
  <si>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</si>
  <si>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</si>
  <si>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</si>
  <si>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</si>
  <si>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</si>
  <si>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</si>
  <si>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</si>
  <si>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</si>
  <si>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</si>
  <si>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</si>
  <si>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</si>
  <si>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</si>
  <si>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</si>
  <si>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</si>
  <si>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</si>
  <si>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</si>
  <si>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</si>
  <si>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</si>
  <si>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</si>
  <si>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</si>
  <si>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</si>
  <si>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</si>
  <si>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</si>
  <si>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</si>
  <si>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</si>
  <si>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</si>
  <si>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</si>
  <si>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</si>
  <si>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</si>
  <si>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</si>
  <si>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</si>
  <si>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</si>
  <si>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</si>
  <si>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</si>
  <si>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</si>
  <si>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</si>
  <si>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</si>
  <si>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</si>
  <si>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</si>
  <si>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</si>
  <si>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</si>
  <si>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</si>
  <si>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</si>
  <si>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</si>
  <si>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</si>
  <si>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</si>
  <si>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</si>
  <si>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</si>
  <si>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</si>
  <si>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</si>
  <si>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</si>
  <si>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</si>
  <si>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</si>
  <si>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</si>
  <si>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</si>
  <si>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</si>
  <si>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</si>
  <si>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</si>
  <si>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</si>
  <si>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</si>
  <si>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</si>
  <si>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</si>
  <si>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</si>
  <si>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</si>
  <si>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</si>
  <si>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</si>
  <si>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</si>
  <si>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</si>
  <si>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</si>
  <si>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</si>
  <si>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</si>
  <si>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</si>
  <si>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</si>
  <si>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</si>
  <si>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</si>
  <si>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</si>
  <si>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</si>
  <si>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</si>
  <si>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</si>
  <si>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</si>
  <si>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</si>
  <si>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</si>
  <si>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</si>
  <si>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</si>
  <si>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</si>
  <si>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</si>
  <si>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</si>
  <si>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</si>
  <si>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</si>
  <si>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</si>
  <si>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</si>
  <si>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</si>
  <si>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</si>
  <si>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</si>
  <si>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</si>
  <si>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</si>
  <si>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</si>
  <si>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</si>
  <si>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</si>
  <si>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</si>
  <si>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</si>
  <si>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</si>
  <si>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</si>
  <si>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</si>
  <si>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</si>
  <si>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</si>
  <si>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</si>
  <si>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</si>
  <si>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</si>
  <si>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</si>
  <si>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</si>
  <si>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</si>
  <si>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</si>
  <si>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</si>
  <si>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</si>
  <si>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</si>
  <si>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</si>
  <si>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</si>
  <si>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</si>
  <si>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</si>
  <si>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</si>
  <si>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</si>
  <si>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</si>
  <si>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</si>
  <si>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</si>
  <si>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</si>
  <si>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</si>
  <si>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</si>
  <si>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</si>
  <si>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</si>
  <si>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</si>
  <si>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</si>
  <si>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</si>
  <si>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</si>
  <si>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</si>
  <si>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</si>
  <si>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</si>
  <si>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</si>
  <si>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</si>
  <si>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</si>
  <si>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</si>
  <si>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</si>
  <si>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</si>
  <si>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</si>
  <si>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</si>
  <si>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</si>
  <si>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</si>
  <si>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</si>
  <si>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</si>
  <si>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</si>
  <si>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</si>
  <si>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</si>
  <si>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</si>
  <si>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</si>
  <si>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</si>
  <si>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</si>
  <si>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</si>
  <si>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</si>
  <si>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</si>
  <si>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</si>
  <si>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</si>
  <si>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</si>
  <si>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</si>
  <si>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</si>
  <si>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</si>
  <si>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</si>
  <si>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</si>
  <si>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</si>
  <si>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</si>
  <si>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</si>
  <si>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</si>
  <si>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</si>
  <si>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</si>
  <si>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</si>
  <si>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</si>
  <si>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</si>
  <si>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</si>
  <si>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</si>
  <si>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</si>
  <si>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</si>
  <si>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</si>
  <si>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</si>
  <si>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</si>
  <si>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</si>
  <si>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</si>
  <si>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</si>
  <si>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</si>
  <si>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</si>
  <si>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</si>
  <si>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</si>
  <si>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</si>
  <si>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</si>
  <si>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</si>
  <si>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</si>
  <si>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</si>
  <si>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</si>
  <si>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</si>
  <si>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</si>
  <si>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</si>
  <si>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</si>
  <si>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</si>
  <si>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</si>
  <si>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</si>
  <si>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</si>
  <si>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</si>
  <si>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</si>
  <si>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</si>
  <si>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</si>
  <si>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</si>
  <si>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</si>
  <si>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</si>
  <si>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</si>
  <si>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</si>
  <si>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</si>
  <si>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</si>
  <si>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</si>
  <si>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</si>
  <si>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</si>
  <si>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</si>
  <si>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</si>
  <si>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</si>
  <si>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</si>
  <si>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</si>
  <si>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</si>
  <si>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</si>
  <si>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</si>
  <si>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</si>
  <si>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</si>
  <si>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</si>
  <si>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</si>
  <si>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</si>
  <si>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</si>
  <si>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</si>
  <si>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</si>
  <si>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</si>
  <si>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</si>
  <si>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</si>
  <si>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</si>
  <si>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</si>
  <si>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</si>
  <si>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</si>
  <si>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</si>
  <si>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</si>
  <si>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</si>
  <si>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</si>
  <si>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</si>
  <si>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</si>
  <si>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</si>
  <si>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</si>
  <si>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</si>
  <si>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</si>
  <si>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</si>
  <si>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</si>
  <si>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</si>
  <si>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</si>
  <si>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</si>
  <si>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</si>
  <si>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</si>
  <si>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</si>
  <si>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</si>
  <si>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</si>
  <si>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</si>
  <si>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</si>
  <si>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</si>
  <si>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</si>
  <si>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</si>
  <si>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</si>
  <si>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</si>
  <si>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</si>
  <si>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</si>
  <si>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</si>
  <si>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</si>
  <si>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</si>
  <si>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</si>
  <si>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</si>
  <si>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</si>
  <si>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</si>
  <si>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</si>
  <si>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</si>
  <si>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</si>
  <si>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</si>
  <si>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</si>
  <si>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</si>
  <si>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</si>
  <si>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</si>
  <si>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</si>
  <si>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</si>
  <si>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</si>
  <si>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</si>
  <si>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</si>
  <si>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</si>
  <si>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</si>
  <si>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</si>
  <si>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</si>
  <si>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</si>
  <si>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</si>
  <si>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</si>
  <si>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</si>
  <si>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</si>
  <si>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</si>
  <si>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</si>
  <si>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</si>
  <si>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</si>
  <si>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</si>
  <si>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</si>
  <si>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</si>
  <si>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</si>
  <si>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</si>
  <si>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</si>
  <si>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</si>
  <si>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</si>
  <si>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</si>
  <si>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</si>
  <si>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</si>
  <si>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</si>
  <si>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</si>
  <si>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</si>
  <si>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</si>
  <si>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</si>
  <si>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</si>
  <si>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</si>
  <si>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</si>
  <si>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</si>
  <si>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</si>
  <si>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</si>
  <si>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</si>
  <si>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</si>
  <si>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</si>
  <si>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</si>
  <si>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</si>
  <si>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</si>
  <si>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</si>
  <si>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</si>
  <si>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</si>
  <si>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</si>
  <si>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</si>
  <si>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</si>
  <si>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</si>
  <si>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</si>
  <si>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</si>
  <si>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</si>
  <si>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</si>
  <si>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</si>
  <si>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</si>
  <si>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</si>
  <si>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</si>
  <si>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</si>
  <si>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</si>
  <si>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</si>
  <si>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</si>
  <si>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</si>
  <si>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</si>
  <si>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</si>
  <si>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</si>
  <si>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</si>
  <si>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</si>
  <si>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</si>
  <si>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</si>
  <si>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</si>
  <si>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</si>
  <si>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</si>
  <si>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</si>
  <si>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</si>
  <si>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</si>
  <si>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</si>
  <si>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</si>
  <si>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</si>
  <si>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</si>
  <si>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</si>
  <si>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</si>
  <si>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</si>
  <si>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</si>
  <si>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</si>
  <si>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</si>
  <si>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</si>
  <si>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</si>
  <si>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</si>
  <si>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</si>
  <si>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</si>
  <si>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</si>
  <si>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</si>
  <si>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</si>
  <si>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</si>
  <si>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</si>
  <si>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</si>
  <si>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</si>
  <si>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</si>
  <si>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</si>
  <si>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</si>
  <si>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</si>
  <si>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</si>
  <si>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</si>
  <si>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</si>
  <si>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</si>
  <si>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</si>
  <si>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</si>
  <si>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</si>
  <si>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</si>
  <si>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</si>
  <si>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</si>
  <si>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</si>
  <si>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</si>
  <si>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</si>
  <si>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</si>
  <si>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</si>
  <si>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</si>
  <si>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</si>
  <si>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</si>
  <si>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</si>
  <si>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</si>
  <si>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</si>
  <si>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</si>
  <si>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</si>
  <si>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</si>
  <si>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</si>
  <si>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</si>
  <si>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</si>
  <si>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</si>
  <si>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</si>
  <si>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</si>
  <si>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</si>
  <si>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</si>
  <si>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</si>
  <si>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</si>
  <si>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</si>
  <si>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</si>
  <si>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</si>
  <si>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</si>
  <si>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</si>
  <si>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</si>
  <si>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</si>
  <si>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</si>
  <si>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</si>
  <si>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</si>
  <si>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</si>
  <si>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</si>
  <si>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</si>
  <si>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</si>
  <si>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</si>
  <si>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</si>
  <si>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</si>
  <si>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</si>
  <si>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</si>
  <si>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</si>
  <si>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</si>
  <si>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</si>
  <si>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</si>
  <si>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</si>
  <si>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</si>
  <si>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</si>
  <si>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</si>
  <si>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</si>
  <si>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</si>
  <si>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</si>
  <si>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</si>
  <si>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</si>
  <si>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</si>
  <si>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</si>
  <si>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</si>
  <si>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</si>
  <si>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</si>
  <si>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</si>
  <si>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</si>
  <si>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</si>
  <si>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</si>
  <si>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</si>
  <si>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</si>
  <si>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</si>
  <si>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</si>
  <si>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</si>
  <si>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</si>
  <si>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</si>
  <si>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</si>
  <si>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</si>
  <si>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</si>
  <si>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</si>
  <si>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</si>
  <si>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</si>
  <si>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</si>
  <si>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</si>
  <si>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</si>
  <si>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</si>
  <si>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</si>
  <si>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</si>
  <si>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</si>
  <si>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</si>
  <si>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</si>
  <si>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</si>
  <si>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</si>
  <si>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</si>
  <si>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</si>
  <si>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</si>
  <si>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</si>
  <si>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</si>
  <si>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</si>
  <si>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</si>
  <si>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</si>
  <si>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</si>
  <si>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</si>
  <si>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</si>
  <si>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</si>
  <si>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</si>
  <si>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</si>
  <si>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</si>
  <si>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</si>
  <si>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</si>
  <si>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</si>
  <si>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</si>
  <si>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</si>
  <si>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</si>
  <si>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</si>
  <si>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</si>
  <si>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</si>
  <si>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</si>
  <si>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</si>
  <si>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</si>
  <si>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</si>
  <si>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</si>
  <si>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</si>
  <si>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</si>
  <si>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</si>
  <si>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</si>
  <si>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</si>
  <si>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</si>
  <si>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</si>
  <si>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</si>
  <si>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</si>
  <si>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</si>
  <si>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</si>
  <si>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</si>
  <si>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</si>
  <si>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</si>
  <si>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</si>
  <si>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</si>
  <si>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</si>
  <si>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</si>
  <si>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</si>
  <si>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</si>
  <si>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</si>
  <si>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</si>
  <si>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</si>
  <si>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</si>
  <si>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</si>
  <si>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</si>
  <si>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</si>
  <si>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</si>
  <si>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</si>
  <si>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</si>
  <si>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</si>
  <si>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</si>
  <si>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</si>
  <si>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</si>
  <si>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</si>
  <si>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</si>
  <si>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</si>
  <si>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</si>
  <si>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</si>
  <si>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</si>
  <si>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</si>
  <si>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</si>
  <si>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</si>
  <si>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</si>
  <si>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</si>
  <si>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</si>
  <si>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</si>
  <si>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</si>
  <si>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</si>
  <si>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</si>
  <si>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</si>
  <si>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</si>
  <si>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</si>
  <si>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</si>
  <si>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</si>
  <si>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</si>
  <si>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</si>
  <si>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</si>
  <si>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</si>
  <si>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</si>
  <si>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</si>
  <si>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</si>
  <si>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</si>
  <si>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</si>
  <si>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</si>
  <si>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</si>
  <si>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</si>
  <si>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</si>
  <si>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</si>
  <si>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</si>
  <si>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</si>
  <si>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</si>
  <si>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</si>
  <si>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</si>
  <si>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</si>
  <si>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</si>
  <si>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</si>
  <si>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</si>
  <si>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</si>
  <si>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</si>
  <si>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</si>
  <si>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</si>
  <si>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</si>
  <si>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</si>
  <si>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</si>
  <si>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</si>
  <si>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</si>
  <si>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</si>
  <si>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</si>
  <si>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</si>
  <si>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</si>
  <si>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</si>
  <si>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</si>
  <si>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</si>
  <si>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</si>
  <si>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</si>
  <si>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</si>
  <si>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</si>
  <si>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</si>
  <si>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</si>
  <si>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</si>
  <si>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</si>
  <si>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</si>
  <si>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</si>
  <si>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</si>
  <si>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</si>
  <si>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</si>
  <si>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</si>
  <si>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</si>
  <si>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</si>
  <si>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</si>
  <si>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</si>
  <si>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</si>
  <si>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</si>
  <si>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</si>
  <si>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</si>
  <si>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</si>
  <si>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</si>
  <si>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</si>
  <si>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</si>
  <si>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</si>
  <si>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</si>
  <si>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</si>
  <si>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</si>
  <si>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</si>
  <si>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</si>
  <si>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</si>
  <si>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</si>
  <si>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</si>
  <si>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</si>
  <si>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</si>
  <si>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</si>
  <si>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</si>
  <si>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</si>
  <si>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</si>
  <si>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</si>
  <si>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</si>
  <si>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</si>
  <si>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</si>
  <si>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</si>
  <si>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</si>
  <si>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</si>
  <si>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</si>
  <si>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</si>
  <si>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</si>
  <si>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</si>
  <si>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</si>
  <si>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</si>
  <si>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</si>
  <si>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</si>
  <si>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</si>
  <si>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</si>
  <si>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</si>
  <si>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</si>
  <si>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</si>
  <si>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</si>
  <si>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</si>
  <si>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</si>
  <si>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</si>
  <si>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</si>
  <si>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</si>
  <si>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</si>
  <si>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</si>
  <si>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</si>
  <si>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</si>
  <si>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</si>
  <si>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</si>
  <si>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</si>
  <si>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</si>
  <si>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</si>
  <si>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</si>
  <si>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</si>
  <si>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</si>
  <si>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</si>
  <si>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</si>
  <si>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</si>
  <si>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</si>
  <si>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</si>
  <si>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</si>
  <si>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</si>
  <si>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</si>
  <si>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</si>
  <si>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</si>
  <si>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</si>
  <si>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</si>
  <si>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</si>
  <si>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</si>
  <si>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</si>
  <si>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</si>
  <si>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</si>
  <si>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</si>
  <si>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</si>
  <si>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</si>
  <si>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</si>
  <si>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</si>
  <si>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</si>
  <si>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</si>
  <si>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</si>
  <si>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</si>
  <si>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</si>
  <si>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</si>
  <si>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</si>
  <si>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</si>
  <si>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</si>
  <si>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</si>
  <si>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</si>
  <si>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</si>
  <si>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</si>
  <si>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</si>
  <si>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</si>
  <si>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</si>
  <si>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</si>
  <si>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</si>
  <si>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</si>
  <si>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</si>
  <si>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</si>
  <si>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</si>
  <si>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</si>
  <si>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</si>
  <si>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</si>
  <si>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</si>
  <si>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</si>
  <si>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</si>
  <si>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</si>
  <si>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</si>
  <si>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</si>
  <si>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</si>
  <si>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</si>
  <si>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</si>
  <si>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</si>
  <si>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</si>
  <si>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</si>
  <si>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</si>
  <si>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</si>
  <si>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</si>
  <si>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</si>
  <si>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</si>
  <si>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</si>
  <si>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</si>
  <si>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</si>
  <si>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</si>
  <si>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</si>
  <si>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</si>
  <si>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</si>
  <si>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</si>
  <si>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</si>
  <si>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</si>
  <si>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</si>
  <si>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</si>
  <si>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</si>
  <si>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</si>
  <si>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</si>
  <si>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</si>
  <si>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</si>
  <si>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</si>
  <si>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</si>
  <si>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</si>
  <si>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</si>
  <si>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</si>
  <si>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</si>
  <si>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</si>
  <si>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</si>
  <si>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</si>
  <si>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</si>
  <si>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</si>
  <si>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</si>
  <si>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</si>
  <si>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</si>
  <si>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</si>
  <si>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</si>
  <si>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</si>
  <si>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</si>
  <si>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</si>
  <si>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</si>
  <si>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</si>
  <si>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</si>
  <si>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</si>
  <si>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</si>
  <si>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</si>
  <si>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</si>
  <si>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</si>
  <si>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</si>
  <si>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</si>
  <si>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</si>
  <si>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</si>
  <si>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</si>
  <si>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</si>
  <si>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</si>
  <si>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</si>
  <si>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</si>
  <si>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</si>
  <si>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</si>
  <si>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</si>
  <si>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</si>
  <si>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</si>
  <si>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</si>
  <si>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</si>
  <si>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</si>
  <si>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</si>
  <si>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</si>
  <si>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</si>
  <si>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</si>
  <si>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</si>
  <si>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</si>
  <si>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</si>
  <si>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</si>
  <si>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</si>
  <si>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</si>
  <si>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</si>
  <si>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</si>
  <si>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</si>
  <si>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</si>
  <si>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</si>
  <si>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</si>
  <si>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</si>
  <si>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</si>
  <si>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</si>
  <si>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</si>
  <si>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</si>
  <si>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</si>
  <si>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</si>
  <si>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</si>
  <si>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</si>
  <si>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</si>
  <si>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</si>
  <si>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</si>
  <si>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</si>
  <si>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</si>
  <si>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</si>
  <si>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</si>
  <si>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</si>
  <si>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</si>
  <si>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</si>
  <si>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</si>
  <si>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</si>
  <si>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</si>
  <si>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</si>
  <si>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</si>
  <si>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</si>
  <si>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</si>
  <si>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</si>
  <si>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</si>
  <si>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</si>
  <si>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</si>
  <si>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</si>
  <si>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</si>
  <si>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</si>
  <si>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</si>
  <si>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</si>
  <si>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</si>
  <si>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</si>
  <si>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</si>
  <si>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</si>
  <si>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</si>
  <si>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</si>
  <si>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</si>
  <si>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</si>
  <si>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</si>
  <si>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</si>
  <si>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</si>
  <si>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</si>
  <si>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</si>
  <si>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</si>
  <si>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</si>
  <si>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</si>
  <si>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</si>
  <si>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</si>
  <si>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</si>
  <si>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</si>
  <si>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</si>
  <si>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</si>
  <si>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</si>
  <si>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</si>
  <si>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</si>
  <si>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</si>
  <si>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</si>
  <si>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</si>
  <si>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</si>
  <si>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</si>
  <si>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</si>
  <si>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</si>
  <si>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</si>
  <si>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</si>
  <si>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</si>
  <si>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</si>
  <si>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</si>
  <si>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</si>
  <si>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</si>
  <si>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</si>
  <si>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</si>
  <si>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</si>
  <si>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</si>
  <si>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</si>
  <si>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</si>
  <si>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</si>
  <si>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</si>
  <si>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</si>
  <si>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</si>
  <si>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</si>
  <si>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</si>
  <si>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</si>
  <si>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</si>
  <si>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</si>
  <si>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</si>
  <si>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</si>
  <si>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</si>
  <si>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</si>
  <si>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</si>
  <si>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</si>
  <si>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</si>
  <si>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</si>
  <si>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</si>
  <si>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</si>
  <si>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</si>
  <si>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</si>
  <si>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</si>
  <si>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</si>
  <si>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</si>
  <si>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</si>
  <si>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</si>
  <si>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</si>
  <si>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</si>
  <si>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</si>
  <si>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</si>
  <si>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</si>
  <si>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</si>
  <si>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</si>
  <si>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</si>
  <si>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</si>
  <si>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</si>
  <si>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</si>
  <si>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</si>
  <si>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</si>
  <si>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</si>
  <si>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</si>
  <si>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</si>
  <si>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</si>
  <si>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</si>
  <si>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</si>
  <si>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</si>
  <si>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</si>
  <si>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</si>
  <si>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</si>
  <si>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</si>
  <si>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</si>
  <si>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</si>
  <si>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</si>
  <si>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</si>
  <si>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</si>
  <si>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</si>
  <si>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</si>
  <si>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</si>
  <si>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</si>
  <si>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</si>
  <si>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</si>
  <si>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</si>
  <si>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</si>
  <si>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</si>
  <si>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</si>
  <si>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</si>
  <si>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</si>
  <si>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</si>
  <si>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</si>
  <si>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</si>
  <si>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</si>
  <si>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</si>
  <si>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</si>
  <si>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</si>
  <si>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</si>
  <si>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</si>
  <si>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</si>
  <si>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</si>
  <si>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</si>
  <si>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</si>
  <si>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</si>
  <si>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</si>
  <si>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</si>
  <si>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</si>
  <si>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</si>
  <si>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</si>
  <si>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</si>
  <si>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</si>
  <si>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</si>
  <si>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</si>
  <si>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</si>
  <si>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</si>
  <si>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</si>
  <si>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</si>
  <si>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</si>
  <si>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</si>
  <si>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</si>
  <si>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</si>
  <si>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</si>
  <si>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</si>
  <si>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</si>
  <si>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</si>
  <si>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</si>
  <si>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</si>
  <si>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</si>
  <si>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</si>
  <si>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</si>
  <si>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</si>
  <si>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</si>
  <si>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</si>
  <si>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</si>
  <si>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</si>
  <si>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</si>
  <si>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</si>
  <si>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</si>
  <si>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</si>
  <si>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</si>
  <si>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</si>
  <si>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</si>
  <si>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</si>
  <si>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</si>
  <si>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</si>
  <si>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</si>
  <si>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</si>
  <si>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</si>
  <si>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</si>
  <si>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</si>
  <si>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</si>
  <si>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</si>
  <si>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</si>
  <si>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</si>
  <si>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</si>
  <si>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</si>
  <si>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</si>
  <si>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</si>
  <si>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</si>
  <si>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</si>
  <si>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</si>
  <si>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</si>
  <si>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</si>
  <si>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</si>
  <si>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</si>
  <si>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</si>
  <si>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</si>
  <si>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</si>
  <si>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</si>
  <si>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</si>
  <si>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</si>
  <si>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</si>
  <si>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</si>
  <si>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</si>
  <si>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</si>
  <si>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</si>
  <si>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</si>
  <si>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</si>
  <si>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</si>
  <si>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</si>
  <si>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</si>
  <si>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</si>
  <si>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</si>
  <si>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</si>
  <si>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</si>
  <si>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</si>
  <si>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</si>
  <si>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</si>
  <si>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</si>
  <si>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</si>
  <si>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</si>
  <si>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</si>
  <si>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</si>
  <si>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</si>
  <si>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</si>
  <si>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</si>
  <si>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</si>
  <si>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</si>
  <si>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</si>
  <si>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</si>
  <si>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</si>
  <si>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</si>
  <si>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</si>
  <si>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</si>
  <si>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</si>
  <si>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</si>
  <si>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</si>
  <si>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</si>
  <si>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</si>
  <si>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</si>
  <si>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</si>
  <si>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</si>
  <si>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</si>
  <si>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</si>
  <si>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</si>
  <si>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</si>
  <si>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</si>
  <si>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</si>
  <si>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</si>
  <si>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</si>
  <si>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</si>
  <si>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</si>
  <si>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</si>
  <si>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</si>
  <si>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</si>
  <si>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</si>
  <si>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</si>
  <si>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</si>
  <si>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</si>
  <si>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</si>
  <si>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</si>
  <si>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</si>
  <si>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</si>
  <si>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</si>
  <si>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</si>
  <si>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</si>
  <si>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</si>
  <si>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</si>
  <si>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</si>
  <si>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</si>
  <si>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</si>
  <si>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</si>
  <si>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</si>
  <si>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</si>
  <si>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</si>
  <si>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</si>
  <si>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</si>
  <si>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</si>
  <si>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</si>
  <si>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</si>
  <si>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</si>
  <si>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</si>
  <si>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</si>
  <si>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</si>
  <si>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</si>
  <si>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</si>
  <si>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</si>
  <si>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</si>
  <si>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</si>
  <si>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</si>
  <si>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</si>
  <si>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</si>
  <si>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</si>
  <si>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</si>
  <si>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</si>
  <si>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</si>
  <si>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</si>
  <si>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</si>
  <si>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</si>
  <si>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</si>
  <si>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</si>
  <si>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</si>
  <si>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</si>
  <si>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</si>
  <si>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</si>
  <si>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</si>
  <si>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</si>
  <si>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</si>
  <si>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</si>
  <si>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</si>
  <si>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</si>
  <si>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</si>
  <si>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</si>
  <si>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</si>
  <si>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</si>
  <si>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</si>
  <si>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</si>
  <si>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</si>
  <si>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</si>
  <si>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</si>
  <si>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</si>
  <si>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</si>
  <si>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</si>
  <si>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</si>
  <si>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</si>
  <si>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</si>
  <si>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</si>
  <si>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</si>
  <si>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</si>
  <si>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</si>
  <si>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</si>
  <si>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</si>
  <si>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</si>
  <si>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</si>
  <si>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</si>
  <si>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</si>
  <si>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</si>
  <si>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</si>
  <si>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</si>
  <si>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</si>
  <si>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</si>
  <si>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</si>
  <si>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</si>
  <si>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</si>
  <si>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</si>
  <si>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</si>
  <si>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</si>
  <si>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</si>
  <si>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</si>
  <si>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</si>
  <si>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</si>
  <si>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</si>
  <si>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</si>
  <si>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</si>
  <si>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</si>
  <si>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</si>
  <si>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</si>
  <si>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</si>
  <si>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</si>
  <si>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</si>
  <si>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</si>
  <si>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</si>
  <si>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</si>
  <si>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</si>
  <si>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</si>
  <si>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</si>
  <si>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</si>
  <si>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</si>
  <si>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</si>
  <si>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</si>
  <si>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</si>
  <si>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</si>
  <si>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</si>
  <si>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</si>
  <si>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</si>
  <si>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</si>
  <si>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</si>
  <si>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</si>
  <si>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</si>
  <si>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</si>
  <si>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</si>
  <si>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</si>
  <si>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</si>
  <si>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</si>
  <si>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</si>
  <si>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</si>
  <si>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</si>
  <si>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</si>
  <si>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</si>
  <si>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</si>
  <si>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</si>
  <si>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</si>
  <si>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</si>
  <si>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</si>
  <si>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</si>
  <si>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</si>
  <si>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</si>
  <si>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</si>
  <si>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</si>
  <si>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</si>
  <si>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</si>
  <si>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</si>
  <si>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</si>
  <si>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</si>
  <si>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</si>
  <si>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</si>
  <si>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</si>
  <si>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</si>
  <si>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</si>
  <si>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</si>
  <si>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</si>
  <si>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</si>
  <si>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</si>
  <si>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</si>
  <si>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</si>
  <si>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</si>
  <si>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</si>
  <si>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</si>
  <si>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</si>
  <si>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</si>
  <si>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</si>
  <si>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</si>
  <si>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</si>
  <si>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</si>
  <si>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</si>
  <si>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</si>
  <si>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</si>
  <si>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</si>
  <si>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</si>
  <si>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</si>
  <si>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</si>
  <si>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</si>
  <si>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</si>
  <si>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</si>
  <si>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</si>
  <si>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</si>
  <si>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</si>
  <si>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</si>
  <si>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</si>
  <si>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</si>
  <si>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</si>
  <si>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</si>
  <si>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</si>
  <si>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</si>
  <si>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</si>
  <si>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</si>
  <si>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</si>
  <si>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</si>
  <si>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</si>
  <si>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</si>
  <si>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</si>
  <si>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</si>
  <si>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</si>
  <si>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</si>
  <si>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</si>
  <si>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</si>
  <si>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</si>
  <si>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</si>
  <si>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</si>
  <si>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</si>
  <si>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</si>
  <si>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</si>
  <si>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</si>
  <si>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</si>
  <si>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</si>
  <si>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</si>
  <si>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</si>
  <si>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</si>
  <si>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</si>
  <si>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</si>
  <si>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</si>
  <si>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</si>
  <si>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</si>
  <si>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</si>
  <si>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</si>
  <si>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</si>
  <si>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</si>
  <si>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</si>
  <si>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</si>
  <si>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</si>
  <si>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</si>
  <si>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</si>
  <si>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</si>
  <si>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</si>
  <si>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</si>
  <si>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</si>
  <si>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</si>
  <si>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</si>
  <si>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</si>
  <si>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</si>
  <si>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</si>
  <si>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</si>
  <si>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</si>
  <si>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</si>
  <si>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</si>
  <si>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</si>
  <si>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</si>
  <si>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</si>
  <si>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</si>
  <si>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</si>
  <si>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</si>
  <si>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</si>
  <si>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</si>
  <si>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</si>
  <si>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</si>
  <si>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</si>
  <si>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</si>
  <si>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</si>
  <si>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</si>
  <si>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</si>
  <si>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</si>
  <si>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</si>
  <si>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</si>
  <si>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</si>
  <si>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</si>
  <si>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</si>
  <si>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</si>
  <si>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</si>
  <si>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</si>
  <si>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</si>
  <si>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</si>
  <si>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</si>
  <si>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</si>
  <si>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</si>
  <si>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</si>
  <si>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</si>
  <si>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</si>
  <si>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</si>
  <si>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</si>
  <si>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</si>
  <si>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</si>
  <si>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</si>
  <si>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Gráfica y Publicidad Luz Villar</t>
  </si>
  <si>
    <t>TUBO PLASTICO PUN  Ø1/8"X3/64 U-BL 10BAR</t>
  </si>
  <si>
    <t>CORDEL DE PERLON 5/8" (16mm)</t>
  </si>
  <si>
    <t>Samson Controls S A</t>
  </si>
  <si>
    <t>Rotex Global LLC</t>
  </si>
  <si>
    <t>SALMA Corp Spa</t>
  </si>
  <si>
    <t>DARTEL S.A.</t>
  </si>
  <si>
    <t>GOLILLA PLANA INOX 3/8"</t>
  </si>
  <si>
    <t>CANDADO DE 25 MM PARA LOCKER</t>
  </si>
  <si>
    <t>ANILLO JUNTA 152X170X1/16"</t>
  </si>
  <si>
    <t>Supplynor Chile SpA</t>
  </si>
  <si>
    <t>INGENIERIA DESIMAT LTDA.</t>
  </si>
  <si>
    <t>Linde Gas Chile S.A.</t>
  </si>
  <si>
    <t>Comercializadora Fernorte Industria</t>
  </si>
  <si>
    <t>Importadora y Comercializadora de</t>
  </si>
  <si>
    <t>Trane De Chile S.a.</t>
  </si>
  <si>
    <t>se solicita de manera urgente por barbara galvez</t>
  </si>
  <si>
    <t>stock cubre rotación de material. Verificar por reemplazo de canister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</si>
  <si>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</si>
  <si>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</si>
  <si>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</si>
  <si>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</si>
  <si>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</si>
  <si>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</si>
  <si>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</si>
  <si>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</si>
  <si>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</si>
  <si>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</si>
  <si>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</si>
  <si>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</si>
  <si>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</si>
  <si>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</si>
  <si>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</si>
  <si>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</si>
  <si>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</si>
  <si>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</si>
  <si>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</si>
  <si>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</si>
  <si>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</si>
  <si>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</si>
  <si>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</si>
  <si>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</si>
  <si>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</si>
  <si>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</si>
  <si>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</si>
  <si>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</si>
  <si>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</si>
  <si>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</si>
  <si>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</si>
  <si>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</si>
  <si>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</si>
  <si>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</si>
  <si>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</si>
  <si>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</si>
  <si>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</si>
  <si>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</si>
  <si>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Maquinaria Industrial Ltda.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</si>
  <si>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</si>
  <si>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</si>
  <si>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</si>
  <si>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</si>
  <si>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</si>
  <si>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se solicita informacion adicional para cotización.</t>
  </si>
  <si>
    <t>cotizando alternativa, ya que sinsef no lo tiene</t>
  </si>
  <si>
    <t>Comercial Cimtec S.A.</t>
  </si>
  <si>
    <t>Microtec S A</t>
  </si>
  <si>
    <t>Cleanova US, INC</t>
  </si>
  <si>
    <t>IMP. EXP Y COMERCIALIZADORA JOMAR</t>
  </si>
  <si>
    <t>OBTURADOR TX 313 SKF</t>
  </si>
  <si>
    <t>BODEGA</t>
  </si>
  <si>
    <t>Comspain S.A</t>
  </si>
  <si>
    <t>Oschatz Power GmbH</t>
  </si>
  <si>
    <t>Soluciones y Representaciones tecni</t>
  </si>
  <si>
    <t>Disponibilidad Criticos (A)</t>
  </si>
  <si>
    <t>Disponibilidad Bodega</t>
  </si>
  <si>
    <t>Wika Chile SPA</t>
  </si>
  <si>
    <t>Filtros Marticorena Sociedad Anonim</t>
  </si>
  <si>
    <t>Juan Andres Yanez Machuca E.i.r.l.</t>
  </si>
  <si>
    <t>Enrique Osses Espejo Y Compania Lim</t>
  </si>
  <si>
    <t>AISLANTES Y RECUBRIMIENTOS S.A.</t>
  </si>
  <si>
    <t>COMERCIALIZADORA PROMINFILT SPA</t>
  </si>
  <si>
    <t>Ferreteria Amunategui Sa</t>
  </si>
  <si>
    <t>Inversiones KPZ SpA</t>
  </si>
  <si>
    <t>Proveedores Integrales Prisa S.A.</t>
  </si>
  <si>
    <t>Sociedad Comercial Conaripe Limitad</t>
  </si>
  <si>
    <t>Sociedad Ferretera Andino Limitada</t>
  </si>
  <si>
    <t>FERRETERIA MARSELLA SPA</t>
  </si>
  <si>
    <t>Bloqueado</t>
  </si>
  <si>
    <t>Validación</t>
  </si>
  <si>
    <t>Compra reposicion TARJUN</t>
  </si>
  <si>
    <t>Cant a comprar</t>
  </si>
  <si>
    <t>1002667100</t>
  </si>
  <si>
    <t>1002667095</t>
  </si>
  <si>
    <t>1002667099</t>
  </si>
  <si>
    <t>1002667097</t>
  </si>
  <si>
    <t>1002667096</t>
  </si>
  <si>
    <t>1002667084</t>
  </si>
  <si>
    <t>1002667098</t>
  </si>
  <si>
    <t>Comentario Seguimiento</t>
  </si>
  <si>
    <t>Entregado en transporte gil 16-04 faltan 2, entregado y recepcionado bajo la hes 
4502664866: HES 5010620283</t>
  </si>
  <si>
    <t xml:space="preserve">Entregado en transporte gil </t>
  </si>
  <si>
    <t>Recepcionado</t>
  </si>
  <si>
    <t>Avisar cuando estan vacias los anteriores</t>
  </si>
  <si>
    <t xml:space="preserve">Eliminar OC </t>
  </si>
  <si>
    <t xml:space="preserve">Esperando respuesta proveedor </t>
  </si>
  <si>
    <t>Despacha 10-06 a mejillones</t>
  </si>
  <si>
    <t>Entregado esperando recepcion</t>
  </si>
  <si>
    <t>Rechazo de nicris y no responde</t>
  </si>
  <si>
    <t>Llego y de todos 1 solo esta mal</t>
  </si>
  <si>
    <t>Fecha de entrega mala</t>
  </si>
  <si>
    <t>entrega lunes 15 de junio</t>
  </si>
  <si>
    <t xml:space="preserve">Enviado por FEDEX OT FEDEX 8719 4980 8816 </t>
  </si>
  <si>
    <t>En transporte gil</t>
  </si>
  <si>
    <t>Se rechazo, lo fueron a buscar y entregan a final de julio</t>
  </si>
  <si>
    <t>Enviado el 27-03 falta recepcion</t>
  </si>
  <si>
    <t>entregan el 10 del 8</t>
  </si>
  <si>
    <t>Esperando recepcion, entregado a pia gonzales</t>
  </si>
  <si>
    <t>Debido a geopolitico atrasado, prox semana dicen cuando manda el resto falta 2800kg</t>
  </si>
  <si>
    <t>Se entrego material erroneo, proveedor lo dejo y va a enviar el correcto</t>
  </si>
  <si>
    <t>Deberia estar en planta 22.05 despacho tran. Gil</t>
  </si>
  <si>
    <t>Se demoro en validacion cambiar fecha de llegada</t>
  </si>
  <si>
    <t>En samex OT SAMEX 999905106196</t>
  </si>
  <si>
    <t>OC no llego a proveedor y no posee producto disponible</t>
  </si>
  <si>
    <t>Tiene otra solped</t>
  </si>
  <si>
    <t>Entregados en otra faena</t>
  </si>
  <si>
    <t xml:space="preserve">Entrega el viernes 06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</si>
</sst>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2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511630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.catalan.aep\Desktop\TR.xlsx" TargetMode="External"/><Relationship Id="rId1" Type="http://schemas.openxmlformats.org/officeDocument/2006/relationships/externalLinkPath" Target="file:///C:\Users\victor.catalan.aep\Desktop\T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MAY20226"/>
      <sheetName val="TARJUN2026"/>
      <sheetName val="Analisis Precio tar"/>
      <sheetName val="Semana 1 y 2"/>
      <sheetName val="Semana 1"/>
      <sheetName val="matiriales Solicitud mrp 12.06"/>
      <sheetName val="Hoja para m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Material</v>
          </cell>
          <cell r="B1" t="str">
            <v>Texto breve de material</v>
          </cell>
          <cell r="C1" t="str">
            <v>UM</v>
          </cell>
          <cell r="D1" t="str">
            <v>DDA</v>
          </cell>
          <cell r="E1" t="str">
            <v>Solped</v>
          </cell>
          <cell r="F1" t="str">
            <v>OC</v>
          </cell>
          <cell r="G1" t="str">
            <v>ETA</v>
          </cell>
          <cell r="H1" t="str">
            <v>Solicitada</v>
          </cell>
          <cell r="I1" t="str">
            <v>Entregado</v>
          </cell>
          <cell r="J1" t="str">
            <v>Stock 10-04-2026</v>
          </cell>
          <cell r="K1" t="str">
            <v>ISSUE</v>
          </cell>
          <cell r="L1" t="str">
            <v>MRP</v>
          </cell>
          <cell r="M1" t="str">
            <v>Dif</v>
          </cell>
          <cell r="N1" t="str">
            <v>Comentario</v>
          </cell>
          <cell r="O1" t="str">
            <v>Seguimiento</v>
          </cell>
          <cell r="P1" t="str">
            <v>Leadtime</v>
          </cell>
          <cell r="Q1" t="str">
            <v>TARJUN2026</v>
          </cell>
          <cell r="R1" t="str">
            <v>TARMAY2026</v>
          </cell>
          <cell r="S1" t="str">
            <v>STOCK SEGURIDAD</v>
          </cell>
          <cell r="T1" t="str">
            <v>LOTE COMPRA</v>
          </cell>
          <cell r="U1" t="str">
            <v>Stock</v>
          </cell>
          <cell r="V1" t="str">
            <v>Decision</v>
          </cell>
          <cell r="W1" t="str">
            <v>Stock restante</v>
          </cell>
          <cell r="X1" t="str">
            <v>Columna1</v>
          </cell>
          <cell r="Y1" t="str">
            <v>Cantidad a comprar</v>
          </cell>
          <cell r="Z1" t="str">
            <v>Compra</v>
          </cell>
        </row>
        <row r="2">
          <cell r="A2">
            <v>20009196</v>
          </cell>
          <cell r="B2" t="str">
            <v>PERNO INOX 5/8" x 3"  C/TUERCA</v>
          </cell>
          <cell r="C2" t="str">
            <v>C/U</v>
          </cell>
          <cell r="D2">
            <v>20</v>
          </cell>
          <cell r="J2">
            <v>61</v>
          </cell>
          <cell r="K2" t="str">
            <v>Stock ok</v>
          </cell>
          <cell r="L2" t="str">
            <v>Stock OK</v>
          </cell>
          <cell r="M2">
            <v>1</v>
          </cell>
          <cell r="Q2" t="str">
            <v>TARJUN2026</v>
          </cell>
          <cell r="R2" t="str">
            <v>TARMAY2026</v>
          </cell>
          <cell r="S2">
            <v>50</v>
          </cell>
          <cell r="T2">
            <v>100</v>
          </cell>
          <cell r="U2">
            <v>61</v>
          </cell>
          <cell r="V2" t="str">
            <v>Comprar</v>
          </cell>
          <cell r="W2">
            <v>41</v>
          </cell>
          <cell r="X2" t="str">
            <v>C</v>
          </cell>
          <cell r="Y2">
            <v>100</v>
          </cell>
          <cell r="Z2" t="str">
            <v>2da compra</v>
          </cell>
        </row>
        <row r="3">
          <cell r="A3">
            <v>20011957</v>
          </cell>
          <cell r="B3" t="str">
            <v>ARGON EN TUBOS</v>
          </cell>
          <cell r="C3" t="str">
            <v>C/U</v>
          </cell>
          <cell r="D3">
            <v>2</v>
          </cell>
          <cell r="E3">
            <v>1002612501</v>
          </cell>
          <cell r="F3">
            <v>4502663767</v>
          </cell>
          <cell r="G3">
            <v>46142</v>
          </cell>
          <cell r="H3">
            <v>4</v>
          </cell>
          <cell r="I3">
            <v>4</v>
          </cell>
          <cell r="J3">
            <v>0</v>
          </cell>
          <cell r="K3" t="str">
            <v>Deficit</v>
          </cell>
          <cell r="L3" t="str">
            <v>Bajo Stock</v>
          </cell>
          <cell r="M3">
            <v>0</v>
          </cell>
          <cell r="N3" t="str">
            <v>MARTES O JUEVES DE LA PRÓXIMA SEMANA. 16/06 Ó 18/06.</v>
          </cell>
          <cell r="Q3" t="str">
            <v>TARJUN2026</v>
          </cell>
          <cell r="R3" t="str">
            <v>TARMAY2026</v>
          </cell>
          <cell r="S3">
            <v>8</v>
          </cell>
          <cell r="T3">
            <v>10</v>
          </cell>
          <cell r="U3">
            <v>1</v>
          </cell>
          <cell r="V3" t="str">
            <v>Comprar</v>
          </cell>
          <cell r="W3">
            <v>3</v>
          </cell>
          <cell r="X3" t="str">
            <v>C</v>
          </cell>
          <cell r="Y3">
            <v>10</v>
          </cell>
          <cell r="Z3" t="str">
            <v>1ra compra</v>
          </cell>
        </row>
        <row r="4">
          <cell r="A4">
            <v>20012298</v>
          </cell>
          <cell r="B4" t="str">
            <v>LIJA AL AGUA NR. 120 FINA</v>
          </cell>
          <cell r="C4" t="str">
            <v>C/U</v>
          </cell>
          <cell r="D4">
            <v>10</v>
          </cell>
          <cell r="J4">
            <v>27</v>
          </cell>
          <cell r="K4" t="str">
            <v>Stock ok</v>
          </cell>
          <cell r="L4" t="str">
            <v>Stock OK</v>
          </cell>
          <cell r="M4">
            <v>1</v>
          </cell>
          <cell r="Q4" t="str">
            <v>TARJUN2026</v>
          </cell>
          <cell r="R4" t="e">
            <v>#N/A</v>
          </cell>
          <cell r="S4">
            <v>20</v>
          </cell>
          <cell r="T4">
            <v>40</v>
          </cell>
          <cell r="U4">
            <v>27</v>
          </cell>
          <cell r="V4" t="str">
            <v>Comprar</v>
          </cell>
          <cell r="W4">
            <v>17</v>
          </cell>
          <cell r="X4" t="str">
            <v>C</v>
          </cell>
          <cell r="Y4">
            <v>40</v>
          </cell>
          <cell r="Z4" t="str">
            <v>2da compra</v>
          </cell>
        </row>
        <row r="5">
          <cell r="A5">
            <v>20013419</v>
          </cell>
          <cell r="B5" t="str">
            <v>GRILLETE SS 304L  MOD 209</v>
          </cell>
          <cell r="C5" t="str">
            <v>C/U</v>
          </cell>
          <cell r="D5">
            <v>200</v>
          </cell>
          <cell r="J5">
            <v>210</v>
          </cell>
          <cell r="K5" t="str">
            <v>Stock ok</v>
          </cell>
          <cell r="L5" t="str">
            <v>Sobre Stock</v>
          </cell>
          <cell r="M5">
            <v>1</v>
          </cell>
          <cell r="Q5" t="str">
            <v>TARJUN2026</v>
          </cell>
          <cell r="R5" t="e">
            <v>#N/A</v>
          </cell>
          <cell r="S5">
            <v>17</v>
          </cell>
          <cell r="T5">
            <v>28</v>
          </cell>
          <cell r="U5">
            <v>210</v>
          </cell>
          <cell r="V5" t="str">
            <v>Comprar</v>
          </cell>
          <cell r="W5">
            <v>10</v>
          </cell>
          <cell r="X5" t="str">
            <v>C</v>
          </cell>
          <cell r="Y5">
            <v>28</v>
          </cell>
          <cell r="Z5" t="str">
            <v>2da compra</v>
          </cell>
        </row>
        <row r="6">
          <cell r="A6">
            <v>20018777</v>
          </cell>
          <cell r="B6" t="str">
            <v>TUERCA Ø 7/8" A.C. UNC</v>
          </cell>
          <cell r="C6" t="str">
            <v>C/U</v>
          </cell>
          <cell r="D6">
            <v>4</v>
          </cell>
          <cell r="J6">
            <v>22</v>
          </cell>
          <cell r="K6" t="str">
            <v>Stock ok</v>
          </cell>
          <cell r="L6" t="str">
            <v>Stock OK</v>
          </cell>
          <cell r="M6">
            <v>1</v>
          </cell>
          <cell r="Q6" t="str">
            <v>TARJUN2026</v>
          </cell>
          <cell r="R6" t="e">
            <v>#N/A</v>
          </cell>
          <cell r="S6">
            <v>20</v>
          </cell>
          <cell r="T6">
            <v>40</v>
          </cell>
          <cell r="U6">
            <v>22</v>
          </cell>
          <cell r="V6" t="str">
            <v>Comprar</v>
          </cell>
          <cell r="W6">
            <v>18</v>
          </cell>
          <cell r="X6" t="str">
            <v/>
          </cell>
          <cell r="Y6">
            <v>40</v>
          </cell>
          <cell r="Z6" t="str">
            <v>2da compra</v>
          </cell>
        </row>
        <row r="7">
          <cell r="A7">
            <v>30006496</v>
          </cell>
          <cell r="B7" t="str">
            <v>ELEMENTO FILTRO NH3 N° 7X390NX</v>
          </cell>
          <cell r="C7" t="str">
            <v>C/U</v>
          </cell>
          <cell r="D7">
            <v>1</v>
          </cell>
          <cell r="E7">
            <v>1002520254</v>
          </cell>
          <cell r="F7">
            <v>4700161517</v>
          </cell>
          <cell r="G7">
            <v>46192</v>
          </cell>
          <cell r="H7">
            <v>1</v>
          </cell>
          <cell r="I7">
            <v>0</v>
          </cell>
          <cell r="J7">
            <v>0</v>
          </cell>
          <cell r="K7" t="str">
            <v>Deficit</v>
          </cell>
          <cell r="L7" t="str">
            <v>Quiebre Stock</v>
          </cell>
          <cell r="M7">
            <v>0</v>
          </cell>
          <cell r="Q7" t="str">
            <v>TARJUN2026</v>
          </cell>
          <cell r="R7" t="e">
            <v>#N/A</v>
          </cell>
          <cell r="S7">
            <v>3</v>
          </cell>
          <cell r="T7">
            <v>6</v>
          </cell>
          <cell r="U7">
            <v>0</v>
          </cell>
          <cell r="V7" t="str">
            <v>Comprar</v>
          </cell>
          <cell r="W7">
            <v>0</v>
          </cell>
          <cell r="X7" t="str">
            <v>A</v>
          </cell>
          <cell r="Y7">
            <v>9</v>
          </cell>
          <cell r="Z7" t="str">
            <v>1ra compra</v>
          </cell>
        </row>
        <row r="8">
          <cell r="A8">
            <v>30006604</v>
          </cell>
          <cell r="B8" t="str">
            <v>POLIN DIA: 20/89MM LARGO:380MM.</v>
          </cell>
          <cell r="C8" t="str">
            <v>C/U</v>
          </cell>
          <cell r="D8">
            <v>154</v>
          </cell>
          <cell r="E8">
            <v>1002627478</v>
          </cell>
          <cell r="F8">
            <v>4502681276</v>
          </cell>
          <cell r="G8">
            <v>46206</v>
          </cell>
          <cell r="H8">
            <v>200</v>
          </cell>
          <cell r="I8">
            <v>0</v>
          </cell>
          <cell r="J8">
            <v>47</v>
          </cell>
          <cell r="K8" t="str">
            <v>Deficit</v>
          </cell>
          <cell r="L8" t="str">
            <v>Bajo Stock</v>
          </cell>
          <cell r="M8">
            <v>0.31</v>
          </cell>
          <cell r="Q8" t="str">
            <v>TARJUN2026</v>
          </cell>
          <cell r="R8" t="e">
            <v>#N/A</v>
          </cell>
          <cell r="S8">
            <v>150</v>
          </cell>
          <cell r="T8">
            <v>150</v>
          </cell>
          <cell r="U8">
            <v>47</v>
          </cell>
          <cell r="V8" t="str">
            <v>Comprar</v>
          </cell>
          <cell r="W8">
            <v>93</v>
          </cell>
          <cell r="X8" t="str">
            <v>A</v>
          </cell>
          <cell r="Y8">
            <v>150</v>
          </cell>
          <cell r="Z8" t="str">
            <v>2da compra</v>
          </cell>
        </row>
        <row r="9">
          <cell r="A9">
            <v>30006610</v>
          </cell>
          <cell r="B9" t="str">
            <v>POLIN GUIA  DIA. 63/140L  M16 X 40</v>
          </cell>
          <cell r="C9" t="str">
            <v>C/U</v>
          </cell>
          <cell r="D9">
            <v>76</v>
          </cell>
          <cell r="J9">
            <v>64</v>
          </cell>
          <cell r="K9" t="str">
            <v>Deficit</v>
          </cell>
          <cell r="L9" t="str">
            <v>Sobre Stock</v>
          </cell>
          <cell r="M9">
            <v>0.84</v>
          </cell>
          <cell r="Q9" t="str">
            <v>TARJUN2026</v>
          </cell>
          <cell r="R9" t="e">
            <v>#N/A</v>
          </cell>
          <cell r="S9">
            <v>26</v>
          </cell>
          <cell r="T9">
            <v>25</v>
          </cell>
          <cell r="U9">
            <v>64</v>
          </cell>
          <cell r="V9" t="str">
            <v>Comprar</v>
          </cell>
          <cell r="W9">
            <v>-12</v>
          </cell>
          <cell r="X9" t="str">
            <v>A</v>
          </cell>
          <cell r="Y9">
            <v>63</v>
          </cell>
          <cell r="Z9" t="str">
            <v>1ra compra</v>
          </cell>
        </row>
        <row r="10">
          <cell r="A10">
            <v>30006612</v>
          </cell>
          <cell r="B10" t="str">
            <v>POLEA DE COLA  DIA. 285/50  1120 L</v>
          </cell>
          <cell r="C10" t="str">
            <v>C/U</v>
          </cell>
          <cell r="D10">
            <v>2</v>
          </cell>
          <cell r="E10">
            <v>1002644387</v>
          </cell>
          <cell r="F10">
            <v>4502681044</v>
          </cell>
          <cell r="G10">
            <v>46200</v>
          </cell>
          <cell r="H10">
            <v>2</v>
          </cell>
          <cell r="I10">
            <v>0</v>
          </cell>
          <cell r="J10">
            <v>2</v>
          </cell>
          <cell r="K10" t="str">
            <v>Stock ok</v>
          </cell>
          <cell r="L10" t="str">
            <v>Bajo Stock</v>
          </cell>
          <cell r="M10">
            <v>1</v>
          </cell>
          <cell r="Q10" t="str">
            <v>TARJUN2026</v>
          </cell>
          <cell r="R10" t="e">
            <v>#N/A</v>
          </cell>
          <cell r="S10">
            <v>3</v>
          </cell>
          <cell r="T10">
            <v>2</v>
          </cell>
          <cell r="U10">
            <v>2</v>
          </cell>
          <cell r="V10" t="str">
            <v>Comprar</v>
          </cell>
          <cell r="W10">
            <v>2</v>
          </cell>
          <cell r="X10" t="str">
            <v>A</v>
          </cell>
          <cell r="Y10">
            <v>2</v>
          </cell>
          <cell r="Z10" t="str">
            <v>2da compra</v>
          </cell>
        </row>
        <row r="11">
          <cell r="A11">
            <v>30006616</v>
          </cell>
          <cell r="B11" t="str">
            <v>SCRAPER - PLATE B-440  .SERIE: 005144</v>
          </cell>
          <cell r="C11" t="str">
            <v>C/U</v>
          </cell>
          <cell r="D11">
            <v>22</v>
          </cell>
          <cell r="J11">
            <v>25</v>
          </cell>
          <cell r="K11" t="str">
            <v>Stock ok</v>
          </cell>
          <cell r="L11" t="str">
            <v>Sobre Stock</v>
          </cell>
          <cell r="M11">
            <v>1</v>
          </cell>
          <cell r="Q11" t="str">
            <v>TARJUN2026</v>
          </cell>
          <cell r="R11" t="e">
            <v>#N/A</v>
          </cell>
          <cell r="S11">
            <v>9</v>
          </cell>
          <cell r="T11">
            <v>8</v>
          </cell>
          <cell r="U11">
            <v>25</v>
          </cell>
          <cell r="V11" t="str">
            <v>Comprar</v>
          </cell>
          <cell r="W11">
            <v>3</v>
          </cell>
          <cell r="X11" t="str">
            <v>A</v>
          </cell>
          <cell r="Y11">
            <v>8</v>
          </cell>
          <cell r="Z11" t="str">
            <v>1ra compra</v>
          </cell>
        </row>
        <row r="12">
          <cell r="A12">
            <v>30006617</v>
          </cell>
          <cell r="B12" t="str">
            <v>SCRAPER-FIXATION ELEMENT MOD: HL=165 S38</v>
          </cell>
          <cell r="C12" t="str">
            <v>C/U</v>
          </cell>
          <cell r="D12">
            <v>36</v>
          </cell>
          <cell r="J12">
            <v>36</v>
          </cell>
          <cell r="K12" t="str">
            <v>Stock ok</v>
          </cell>
          <cell r="L12" t="str">
            <v>Stock OK</v>
          </cell>
          <cell r="M12">
            <v>1</v>
          </cell>
          <cell r="Q12" t="str">
            <v>TARJUN2026</v>
          </cell>
          <cell r="R12" t="e">
            <v>#N/A</v>
          </cell>
          <cell r="S12">
            <v>21</v>
          </cell>
          <cell r="T12">
            <v>20</v>
          </cell>
          <cell r="U12">
            <v>36</v>
          </cell>
          <cell r="V12" t="str">
            <v>Comprar</v>
          </cell>
          <cell r="W12">
            <v>0</v>
          </cell>
          <cell r="X12" t="str">
            <v>A</v>
          </cell>
          <cell r="Y12">
            <v>41</v>
          </cell>
          <cell r="Z12" t="str">
            <v>1ra compra</v>
          </cell>
        </row>
        <row r="13">
          <cell r="A13">
            <v>30006630</v>
          </cell>
          <cell r="B13" t="str">
            <v>SCRAPER-PLATE B-550   .SERIE: 51555</v>
          </cell>
          <cell r="C13" t="str">
            <v>C/U</v>
          </cell>
          <cell r="D13">
            <v>9</v>
          </cell>
          <cell r="J13">
            <v>17</v>
          </cell>
          <cell r="K13" t="str">
            <v>Stock ok</v>
          </cell>
          <cell r="L13" t="str">
            <v>Stock OK</v>
          </cell>
          <cell r="M13">
            <v>1</v>
          </cell>
          <cell r="Q13" t="str">
            <v>TARJUN2026</v>
          </cell>
          <cell r="R13" t="e">
            <v>#N/A</v>
          </cell>
          <cell r="S13">
            <v>9</v>
          </cell>
          <cell r="T13">
            <v>8</v>
          </cell>
          <cell r="U13">
            <v>17</v>
          </cell>
          <cell r="V13" t="str">
            <v>Comprar</v>
          </cell>
          <cell r="W13">
            <v>8</v>
          </cell>
          <cell r="X13" t="str">
            <v>A</v>
          </cell>
          <cell r="Y13">
            <v>8</v>
          </cell>
          <cell r="Z13" t="str">
            <v>2da compra</v>
          </cell>
        </row>
        <row r="14">
          <cell r="A14">
            <v>30006632</v>
          </cell>
          <cell r="B14" t="str">
            <v>POLEA MOTRIZ  DIA. 320/65  750 L</v>
          </cell>
          <cell r="C14" t="str">
            <v>C/U</v>
          </cell>
          <cell r="D14">
            <v>2</v>
          </cell>
          <cell r="J14">
            <v>3</v>
          </cell>
          <cell r="K14" t="str">
            <v>Stock ok</v>
          </cell>
          <cell r="L14" t="str">
            <v>Stock OK</v>
          </cell>
          <cell r="M14">
            <v>1</v>
          </cell>
          <cell r="Q14" t="str">
            <v>TARJUN2026</v>
          </cell>
          <cell r="R14" t="e">
            <v>#N/A</v>
          </cell>
          <cell r="S14">
            <v>3</v>
          </cell>
          <cell r="T14">
            <v>2</v>
          </cell>
          <cell r="U14">
            <v>3</v>
          </cell>
          <cell r="V14" t="str">
            <v>Comprar</v>
          </cell>
          <cell r="W14">
            <v>1</v>
          </cell>
          <cell r="X14" t="str">
            <v>A</v>
          </cell>
          <cell r="Y14">
            <v>2</v>
          </cell>
          <cell r="Z14" t="str">
            <v>1ra compra</v>
          </cell>
        </row>
        <row r="15">
          <cell r="A15">
            <v>30006713</v>
          </cell>
          <cell r="B15" t="str">
            <v>ANILLO FIJACI. MODEL: 2 FRB-12.5/130</v>
          </cell>
          <cell r="C15" t="str">
            <v>C/U</v>
          </cell>
          <cell r="D15">
            <v>8</v>
          </cell>
          <cell r="J15">
            <v>10</v>
          </cell>
          <cell r="K15" t="str">
            <v>Stock ok</v>
          </cell>
          <cell r="L15" t="str">
            <v>Stock OK</v>
          </cell>
          <cell r="M15">
            <v>1</v>
          </cell>
          <cell r="Q15" t="str">
            <v>TARJUN2026</v>
          </cell>
          <cell r="R15" t="e">
            <v>#N/A</v>
          </cell>
          <cell r="S15">
            <v>9</v>
          </cell>
          <cell r="T15">
            <v>8</v>
          </cell>
          <cell r="U15">
            <v>10</v>
          </cell>
          <cell r="V15" t="str">
            <v>Comprar</v>
          </cell>
          <cell r="W15">
            <v>2</v>
          </cell>
          <cell r="X15" t="str">
            <v>A</v>
          </cell>
          <cell r="Y15">
            <v>8</v>
          </cell>
          <cell r="Z15" t="str">
            <v>1ra compra</v>
          </cell>
        </row>
        <row r="16">
          <cell r="A16">
            <v>30006715</v>
          </cell>
          <cell r="B16" t="str">
            <v>SKF RODAMIENTO MODEL:22211EK-22211EK/C3</v>
          </cell>
          <cell r="C16" t="str">
            <v>C/U</v>
          </cell>
          <cell r="D16">
            <v>6</v>
          </cell>
          <cell r="J16">
            <v>25</v>
          </cell>
          <cell r="K16" t="str">
            <v>Stock ok</v>
          </cell>
          <cell r="L16" t="str">
            <v>Stock OK</v>
          </cell>
          <cell r="M16">
            <v>1</v>
          </cell>
          <cell r="Q16" t="str">
            <v>TARJUN2026</v>
          </cell>
          <cell r="R16" t="e">
            <v>#N/A</v>
          </cell>
          <cell r="S16">
            <v>21</v>
          </cell>
          <cell r="T16">
            <v>20</v>
          </cell>
          <cell r="U16">
            <v>25</v>
          </cell>
          <cell r="V16" t="str">
            <v>Comprar</v>
          </cell>
          <cell r="W16">
            <v>19</v>
          </cell>
          <cell r="X16" t="str">
            <v>A</v>
          </cell>
          <cell r="Y16">
            <v>20</v>
          </cell>
          <cell r="Z16" t="str">
            <v>2da compra</v>
          </cell>
        </row>
        <row r="17">
          <cell r="A17">
            <v>30006716</v>
          </cell>
          <cell r="B17" t="str">
            <v>SKF MANGUITO FIJACION MODEL: H-311</v>
          </cell>
          <cell r="C17" t="str">
            <v>C/U</v>
          </cell>
          <cell r="D17">
            <v>6</v>
          </cell>
          <cell r="J17">
            <v>17</v>
          </cell>
          <cell r="K17" t="str">
            <v>Stock ok</v>
          </cell>
          <cell r="L17" t="str">
            <v>Stock OK</v>
          </cell>
          <cell r="M17">
            <v>1</v>
          </cell>
          <cell r="Q17" t="str">
            <v>TARJUN2026</v>
          </cell>
          <cell r="R17" t="e">
            <v>#N/A</v>
          </cell>
          <cell r="S17">
            <v>17</v>
          </cell>
          <cell r="T17">
            <v>16</v>
          </cell>
          <cell r="U17">
            <v>17</v>
          </cell>
          <cell r="V17" t="str">
            <v>Comprar</v>
          </cell>
          <cell r="W17">
            <v>11</v>
          </cell>
          <cell r="X17" t="str">
            <v>A</v>
          </cell>
          <cell r="Y17">
            <v>16</v>
          </cell>
          <cell r="Z17" t="str">
            <v>2da compra</v>
          </cell>
        </row>
        <row r="18">
          <cell r="A18">
            <v>30006717</v>
          </cell>
          <cell r="B18" t="str">
            <v>SKF ANILLO FIJACI. MODEL: 2FRB 9.5/100</v>
          </cell>
          <cell r="C18" t="str">
            <v>C/U</v>
          </cell>
          <cell r="D18">
            <v>6</v>
          </cell>
          <cell r="J18">
            <v>21</v>
          </cell>
          <cell r="K18" t="str">
            <v>Stock ok</v>
          </cell>
          <cell r="L18" t="str">
            <v>Stock OK</v>
          </cell>
          <cell r="M18">
            <v>1</v>
          </cell>
          <cell r="Q18" t="str">
            <v>TARJUN2026</v>
          </cell>
          <cell r="R18" t="e">
            <v>#N/A</v>
          </cell>
          <cell r="S18">
            <v>21</v>
          </cell>
          <cell r="T18">
            <v>20</v>
          </cell>
          <cell r="U18">
            <v>21</v>
          </cell>
          <cell r="V18" t="str">
            <v>Comprar</v>
          </cell>
          <cell r="W18">
            <v>15</v>
          </cell>
          <cell r="X18" t="str">
            <v>A</v>
          </cell>
          <cell r="Y18">
            <v>20</v>
          </cell>
          <cell r="Z18" t="str">
            <v>2da compra</v>
          </cell>
        </row>
        <row r="19">
          <cell r="A19">
            <v>30007331</v>
          </cell>
          <cell r="B19" t="str">
            <v>POLEA MOTOR DIA. 250MM 3 CANALES</v>
          </cell>
          <cell r="C19" t="str">
            <v>C/U</v>
          </cell>
          <cell r="D19">
            <v>2</v>
          </cell>
          <cell r="J19">
            <v>3</v>
          </cell>
          <cell r="K19" t="str">
            <v>Stock ok</v>
          </cell>
          <cell r="L19" t="str">
            <v>Stock OK</v>
          </cell>
          <cell r="M19">
            <v>1</v>
          </cell>
          <cell r="Q19" t="str">
            <v>TARJUN2026</v>
          </cell>
          <cell r="R19" t="e">
            <v>#N/A</v>
          </cell>
          <cell r="S19">
            <v>2</v>
          </cell>
          <cell r="T19">
            <v>2</v>
          </cell>
          <cell r="U19">
            <v>3</v>
          </cell>
          <cell r="V19" t="str">
            <v>Comprar</v>
          </cell>
          <cell r="W19">
            <v>1</v>
          </cell>
          <cell r="X19" t="str">
            <v>A</v>
          </cell>
          <cell r="Y19">
            <v>2</v>
          </cell>
          <cell r="Z19" t="str">
            <v>2da compra</v>
          </cell>
        </row>
        <row r="20">
          <cell r="A20">
            <v>30007332</v>
          </cell>
          <cell r="B20" t="str">
            <v>POLEA VENTILADOR DIA.160MM 3 CANALES</v>
          </cell>
          <cell r="C20" t="str">
            <v>C/U</v>
          </cell>
          <cell r="D20">
            <v>2</v>
          </cell>
          <cell r="J20">
            <v>3</v>
          </cell>
          <cell r="K20" t="str">
            <v>Stock ok</v>
          </cell>
          <cell r="L20" t="str">
            <v>Stock OK</v>
          </cell>
          <cell r="M20">
            <v>1</v>
          </cell>
          <cell r="Q20" t="str">
            <v>TARJUN2026</v>
          </cell>
          <cell r="R20" t="e">
            <v>#N/A</v>
          </cell>
          <cell r="S20">
            <v>2</v>
          </cell>
          <cell r="T20">
            <v>2</v>
          </cell>
          <cell r="U20">
            <v>3</v>
          </cell>
          <cell r="V20" t="str">
            <v>Comprar</v>
          </cell>
          <cell r="W20">
            <v>1</v>
          </cell>
          <cell r="X20" t="str">
            <v>A</v>
          </cell>
          <cell r="Y20">
            <v>2</v>
          </cell>
          <cell r="Z20" t="str">
            <v>2da compra</v>
          </cell>
        </row>
        <row r="21">
          <cell r="A21">
            <v>30007363</v>
          </cell>
          <cell r="B21" t="str">
            <v>SKF DESCANSO RODAMIE. SNH 522-619 POS.4</v>
          </cell>
          <cell r="C21" t="str">
            <v>C/U</v>
          </cell>
          <cell r="D21">
            <v>2</v>
          </cell>
          <cell r="J21">
            <v>4</v>
          </cell>
          <cell r="K21" t="str">
            <v>Stock ok</v>
          </cell>
          <cell r="L21" t="str">
            <v>Stock OK</v>
          </cell>
          <cell r="M21">
            <v>1</v>
          </cell>
          <cell r="Q21" t="str">
            <v>TARJUN2026</v>
          </cell>
          <cell r="R21" t="e">
            <v>#N/A</v>
          </cell>
          <cell r="S21">
            <v>3</v>
          </cell>
          <cell r="T21">
            <v>2</v>
          </cell>
          <cell r="U21">
            <v>4</v>
          </cell>
          <cell r="V21" t="str">
            <v>Comprar</v>
          </cell>
          <cell r="W21">
            <v>2</v>
          </cell>
          <cell r="X21" t="str">
            <v>A</v>
          </cell>
          <cell r="Y21">
            <v>2</v>
          </cell>
          <cell r="Z21" t="str">
            <v>2da compra</v>
          </cell>
        </row>
        <row r="22">
          <cell r="A22">
            <v>30007365</v>
          </cell>
          <cell r="B22" t="str">
            <v>SKF RODAMIENTO 22222  CCW/33 POS.4b</v>
          </cell>
          <cell r="C22" t="str">
            <v>C/U</v>
          </cell>
          <cell r="D22">
            <v>2</v>
          </cell>
          <cell r="J22">
            <v>4</v>
          </cell>
          <cell r="K22" t="str">
            <v>Stock ok</v>
          </cell>
          <cell r="L22" t="str">
            <v>Stock OK</v>
          </cell>
          <cell r="M22">
            <v>1</v>
          </cell>
          <cell r="Q22" t="str">
            <v>TARJUN2026</v>
          </cell>
          <cell r="R22" t="e">
            <v>#N/A</v>
          </cell>
          <cell r="S22">
            <v>3</v>
          </cell>
          <cell r="T22">
            <v>2</v>
          </cell>
          <cell r="U22">
            <v>4</v>
          </cell>
          <cell r="V22" t="str">
            <v>Comprar</v>
          </cell>
          <cell r="W22">
            <v>2</v>
          </cell>
          <cell r="X22" t="str">
            <v>A</v>
          </cell>
          <cell r="Y22">
            <v>2</v>
          </cell>
          <cell r="Z22" t="str">
            <v>2da compra</v>
          </cell>
        </row>
        <row r="23">
          <cell r="A23">
            <v>30007374</v>
          </cell>
          <cell r="B23" t="str">
            <v>FUELLE NW 1400 LADO SUCCION POS.8</v>
          </cell>
          <cell r="C23" t="str">
            <v>C/U</v>
          </cell>
          <cell r="D23">
            <v>2</v>
          </cell>
          <cell r="J23">
            <v>3</v>
          </cell>
          <cell r="K23" t="str">
            <v>Stock ok</v>
          </cell>
          <cell r="L23" t="str">
            <v>Stock OK</v>
          </cell>
          <cell r="M23">
            <v>1</v>
          </cell>
          <cell r="Q23" t="str">
            <v>TARJUN2026</v>
          </cell>
          <cell r="R23" t="e">
            <v>#N/A</v>
          </cell>
          <cell r="S23">
            <v>3</v>
          </cell>
          <cell r="T23">
            <v>2</v>
          </cell>
          <cell r="U23">
            <v>3</v>
          </cell>
          <cell r="V23" t="str">
            <v>Comprar</v>
          </cell>
          <cell r="W23">
            <v>1</v>
          </cell>
          <cell r="X23" t="str">
            <v>A</v>
          </cell>
          <cell r="Y23">
            <v>2</v>
          </cell>
          <cell r="Z23" t="str">
            <v>1ra compra</v>
          </cell>
        </row>
        <row r="24">
          <cell r="A24">
            <v>30007375</v>
          </cell>
          <cell r="B24" t="str">
            <v>FUELLE GR. 1400 LADO DESCARGA POS.9</v>
          </cell>
          <cell r="C24" t="str">
            <v>C/U</v>
          </cell>
          <cell r="D24">
            <v>2</v>
          </cell>
          <cell r="J24">
            <v>3</v>
          </cell>
          <cell r="K24" t="str">
            <v>Stock ok</v>
          </cell>
          <cell r="L24" t="str">
            <v>Stock OK</v>
          </cell>
          <cell r="M24">
            <v>1</v>
          </cell>
          <cell r="Q24" t="str">
            <v>TARJUN2026</v>
          </cell>
          <cell r="R24" t="e">
            <v>#N/A</v>
          </cell>
          <cell r="S24">
            <v>3</v>
          </cell>
          <cell r="T24">
            <v>2</v>
          </cell>
          <cell r="U24">
            <v>3</v>
          </cell>
          <cell r="V24" t="str">
            <v>Comprar</v>
          </cell>
          <cell r="W24">
            <v>1</v>
          </cell>
          <cell r="X24" t="str">
            <v>A</v>
          </cell>
          <cell r="Y24">
            <v>2</v>
          </cell>
          <cell r="Z24" t="str">
            <v>1ra compra</v>
          </cell>
        </row>
        <row r="25">
          <cell r="A25">
            <v>30007382</v>
          </cell>
          <cell r="B25" t="str">
            <v>SKF SOPORTE RODAMIENTO SNH 520-617 POS.5</v>
          </cell>
          <cell r="C25" t="str">
            <v>C/U</v>
          </cell>
          <cell r="D25">
            <v>12</v>
          </cell>
          <cell r="J25">
            <v>13</v>
          </cell>
          <cell r="K25" t="str">
            <v>Stock ok</v>
          </cell>
          <cell r="L25" t="str">
            <v>Sobre Stock</v>
          </cell>
          <cell r="M25">
            <v>1</v>
          </cell>
          <cell r="Q25" t="str">
            <v>TARJUN2026</v>
          </cell>
          <cell r="R25" t="e">
            <v>#N/A</v>
          </cell>
          <cell r="S25">
            <v>5</v>
          </cell>
          <cell r="T25">
            <v>4</v>
          </cell>
          <cell r="U25">
            <v>13</v>
          </cell>
          <cell r="V25" t="str">
            <v>Comprar</v>
          </cell>
          <cell r="W25">
            <v>1</v>
          </cell>
          <cell r="X25" t="str">
            <v>A</v>
          </cell>
          <cell r="Y25">
            <v>4</v>
          </cell>
          <cell r="Z25" t="str">
            <v>1ra compra</v>
          </cell>
        </row>
        <row r="26">
          <cell r="A26">
            <v>30007387</v>
          </cell>
          <cell r="B26" t="str">
            <v>SKF OBTURADOR DOBLE TSNA  317-G POS.6a</v>
          </cell>
          <cell r="C26" t="str">
            <v>C/U</v>
          </cell>
          <cell r="D26">
            <v>2</v>
          </cell>
          <cell r="F26">
            <v>4501802760</v>
          </cell>
          <cell r="J26">
            <v>0</v>
          </cell>
          <cell r="K26" t="str">
            <v>Deficit</v>
          </cell>
          <cell r="L26" t="str">
            <v>Quiebre Stock</v>
          </cell>
          <cell r="M26">
            <v>0</v>
          </cell>
          <cell r="N26" t="str">
            <v>Bloqueada</v>
          </cell>
          <cell r="Q26" t="str">
            <v>TARJUN2026</v>
          </cell>
          <cell r="R26" t="e">
            <v>#N/A</v>
          </cell>
          <cell r="S26">
            <v>3</v>
          </cell>
          <cell r="T26">
            <v>2</v>
          </cell>
          <cell r="U26">
            <v>0</v>
          </cell>
          <cell r="V26" t="str">
            <v>Comprar</v>
          </cell>
          <cell r="W26">
            <v>-2</v>
          </cell>
          <cell r="X26" t="str">
            <v>A</v>
          </cell>
          <cell r="Y26">
            <v>7</v>
          </cell>
          <cell r="Z26" t="str">
            <v>1ra compra</v>
          </cell>
        </row>
        <row r="27">
          <cell r="A27">
            <v>30007388</v>
          </cell>
          <cell r="B27" t="str">
            <v>SKF RODAMIENTO 21317-E POS.6b</v>
          </cell>
          <cell r="C27" t="str">
            <v>C/U</v>
          </cell>
          <cell r="D27">
            <v>2</v>
          </cell>
          <cell r="J27">
            <v>4</v>
          </cell>
          <cell r="K27" t="str">
            <v>Stock ok</v>
          </cell>
          <cell r="L27" t="str">
            <v>Stock OK</v>
          </cell>
          <cell r="M27">
            <v>1</v>
          </cell>
          <cell r="Q27" t="str">
            <v>TARJUN2026</v>
          </cell>
          <cell r="R27" t="e">
            <v>#N/A</v>
          </cell>
          <cell r="S27">
            <v>3</v>
          </cell>
          <cell r="T27">
            <v>2</v>
          </cell>
          <cell r="U27">
            <v>4</v>
          </cell>
          <cell r="V27" t="str">
            <v>Comprar</v>
          </cell>
          <cell r="W27">
            <v>2</v>
          </cell>
          <cell r="X27" t="str">
            <v>A</v>
          </cell>
          <cell r="Y27">
            <v>2</v>
          </cell>
          <cell r="Z27" t="str">
            <v>2da compra</v>
          </cell>
        </row>
        <row r="28">
          <cell r="A28">
            <v>30007389</v>
          </cell>
          <cell r="B28" t="str">
            <v>SELLO DE POLVO DIA. 100 GRAFITO POS.2</v>
          </cell>
          <cell r="C28" t="str">
            <v>C/U</v>
          </cell>
          <cell r="D28">
            <v>10</v>
          </cell>
          <cell r="J28">
            <v>10</v>
          </cell>
          <cell r="K28" t="str">
            <v>Stock ok</v>
          </cell>
          <cell r="L28" t="str">
            <v>Sobre Stock</v>
          </cell>
          <cell r="M28">
            <v>1</v>
          </cell>
          <cell r="Q28" t="str">
            <v>TARJUN2026</v>
          </cell>
          <cell r="R28" t="e">
            <v>#N/A</v>
          </cell>
          <cell r="S28">
            <v>4</v>
          </cell>
          <cell r="T28">
            <v>3</v>
          </cell>
          <cell r="U28">
            <v>10</v>
          </cell>
          <cell r="V28" t="str">
            <v>Comprar</v>
          </cell>
          <cell r="W28">
            <v>0</v>
          </cell>
          <cell r="X28" t="str">
            <v>A</v>
          </cell>
          <cell r="Y28">
            <v>7</v>
          </cell>
          <cell r="Z28" t="str">
            <v>1ra compra</v>
          </cell>
        </row>
        <row r="29">
          <cell r="A29">
            <v>30007398</v>
          </cell>
          <cell r="B29" t="str">
            <v>SKF SOPORTE RODAMIENTO SNH 516-613 POS.4</v>
          </cell>
          <cell r="C29" t="str">
            <v>C/U</v>
          </cell>
          <cell r="D29">
            <v>14</v>
          </cell>
          <cell r="J29">
            <v>18</v>
          </cell>
          <cell r="K29" t="str">
            <v>Stock ok</v>
          </cell>
          <cell r="L29" t="str">
            <v>Sobre Stock</v>
          </cell>
          <cell r="M29">
            <v>1</v>
          </cell>
          <cell r="Q29" t="str">
            <v>TARJUN2026</v>
          </cell>
          <cell r="R29" t="e">
            <v>#N/A</v>
          </cell>
          <cell r="S29">
            <v>5</v>
          </cell>
          <cell r="T29">
            <v>4</v>
          </cell>
          <cell r="U29">
            <v>18</v>
          </cell>
          <cell r="V29" t="str">
            <v>Comprar</v>
          </cell>
          <cell r="W29">
            <v>4</v>
          </cell>
          <cell r="X29" t="str">
            <v>A</v>
          </cell>
          <cell r="Y29">
            <v>4</v>
          </cell>
          <cell r="Z29" t="str">
            <v>2da compra</v>
          </cell>
        </row>
        <row r="30">
          <cell r="A30">
            <v>30007402</v>
          </cell>
          <cell r="B30" t="str">
            <v>SKF DESCANSO RODAMI. SNH 520-617 POS.4</v>
          </cell>
          <cell r="C30" t="str">
            <v>C/U</v>
          </cell>
          <cell r="D30">
            <v>4</v>
          </cell>
          <cell r="J30">
            <v>7</v>
          </cell>
          <cell r="K30" t="str">
            <v>Stock ok</v>
          </cell>
          <cell r="L30" t="str">
            <v>Stock OK</v>
          </cell>
          <cell r="M30">
            <v>1</v>
          </cell>
          <cell r="Q30" t="str">
            <v>TARJUN2026</v>
          </cell>
          <cell r="R30" t="e">
            <v>#N/A</v>
          </cell>
          <cell r="S30">
            <v>7</v>
          </cell>
          <cell r="T30">
            <v>6</v>
          </cell>
          <cell r="U30">
            <v>7</v>
          </cell>
          <cell r="V30" t="str">
            <v>Comprar</v>
          </cell>
          <cell r="W30">
            <v>3</v>
          </cell>
          <cell r="X30" t="str">
            <v>A</v>
          </cell>
          <cell r="Y30">
            <v>6</v>
          </cell>
          <cell r="Z30" t="str">
            <v>1ra compra</v>
          </cell>
        </row>
        <row r="31">
          <cell r="A31">
            <v>30007411</v>
          </cell>
          <cell r="B31" t="str">
            <v>CORREA TRANSM. SPB L=3750 DIN 7753</v>
          </cell>
          <cell r="C31" t="str">
            <v>C/U</v>
          </cell>
          <cell r="D31">
            <v>24</v>
          </cell>
          <cell r="J31">
            <v>62</v>
          </cell>
          <cell r="K31" t="str">
            <v>Stock ok</v>
          </cell>
          <cell r="L31" t="str">
            <v>Stock OK</v>
          </cell>
          <cell r="M31">
            <v>1</v>
          </cell>
          <cell r="Q31" t="str">
            <v>TARJUN2026</v>
          </cell>
          <cell r="R31" t="e">
            <v>#N/A</v>
          </cell>
          <cell r="S31">
            <v>49</v>
          </cell>
          <cell r="T31">
            <v>24</v>
          </cell>
          <cell r="U31">
            <v>62</v>
          </cell>
          <cell r="V31" t="str">
            <v>Comprar</v>
          </cell>
          <cell r="W31">
            <v>38</v>
          </cell>
          <cell r="X31" t="str">
            <v>A</v>
          </cell>
          <cell r="Y31">
            <v>24</v>
          </cell>
          <cell r="Z31" t="str">
            <v>2da compra</v>
          </cell>
        </row>
        <row r="32">
          <cell r="A32">
            <v>30007415</v>
          </cell>
          <cell r="B32" t="str">
            <v>SKF RODAMIENTO 21313 E POS.4b</v>
          </cell>
          <cell r="C32" t="str">
            <v>C/U</v>
          </cell>
          <cell r="D32">
            <v>12</v>
          </cell>
          <cell r="J32">
            <v>12</v>
          </cell>
          <cell r="K32" t="str">
            <v>Stock ok</v>
          </cell>
          <cell r="L32" t="str">
            <v>Sobre Stock</v>
          </cell>
          <cell r="M32">
            <v>1</v>
          </cell>
          <cell r="Q32" t="str">
            <v>TARJUN2026</v>
          </cell>
          <cell r="R32" t="e">
            <v>#N/A</v>
          </cell>
          <cell r="S32">
            <v>3</v>
          </cell>
          <cell r="T32">
            <v>2</v>
          </cell>
          <cell r="U32">
            <v>12</v>
          </cell>
          <cell r="V32" t="str">
            <v>Comprar</v>
          </cell>
          <cell r="W32">
            <v>0</v>
          </cell>
          <cell r="X32" t="str">
            <v>A</v>
          </cell>
          <cell r="Y32">
            <v>5</v>
          </cell>
          <cell r="Z32" t="str">
            <v>1ra compra</v>
          </cell>
        </row>
        <row r="33">
          <cell r="A33">
            <v>30007421</v>
          </cell>
          <cell r="B33" t="str">
            <v>FUELLE  GR. 1000  LADO DESCARGA POS.9</v>
          </cell>
          <cell r="C33" t="str">
            <v>C/U</v>
          </cell>
          <cell r="D33">
            <v>2</v>
          </cell>
          <cell r="J33">
            <v>4</v>
          </cell>
          <cell r="K33" t="str">
            <v>Stock ok</v>
          </cell>
          <cell r="L33" t="str">
            <v>Stock OK</v>
          </cell>
          <cell r="M33">
            <v>1</v>
          </cell>
          <cell r="Q33" t="str">
            <v>TARJUN2026</v>
          </cell>
          <cell r="R33" t="e">
            <v>#N/A</v>
          </cell>
          <cell r="S33">
            <v>3</v>
          </cell>
          <cell r="T33">
            <v>2</v>
          </cell>
          <cell r="U33">
            <v>4</v>
          </cell>
          <cell r="V33" t="str">
            <v>Comprar</v>
          </cell>
          <cell r="W33">
            <v>2</v>
          </cell>
          <cell r="X33" t="str">
            <v>A</v>
          </cell>
          <cell r="Y33">
            <v>2</v>
          </cell>
          <cell r="Z33" t="str">
            <v>2da compra</v>
          </cell>
        </row>
        <row r="34">
          <cell r="A34">
            <v>30007438</v>
          </cell>
          <cell r="B34" t="str">
            <v>GATES CORREAS TRANSM. LARGO=2120MM POS.6</v>
          </cell>
          <cell r="C34" t="str">
            <v>C/U</v>
          </cell>
          <cell r="D34">
            <v>3</v>
          </cell>
          <cell r="J34">
            <v>8</v>
          </cell>
          <cell r="K34" t="str">
            <v>Stock ok</v>
          </cell>
          <cell r="L34" t="str">
            <v>Stock OK</v>
          </cell>
          <cell r="M34">
            <v>1</v>
          </cell>
          <cell r="Q34" t="str">
            <v>TARJUN2026</v>
          </cell>
          <cell r="R34" t="e">
            <v>#N/A</v>
          </cell>
          <cell r="S34">
            <v>7</v>
          </cell>
          <cell r="T34">
            <v>6</v>
          </cell>
          <cell r="U34">
            <v>8</v>
          </cell>
          <cell r="V34" t="str">
            <v>Comprar</v>
          </cell>
          <cell r="W34">
            <v>5</v>
          </cell>
          <cell r="X34" t="str">
            <v>A</v>
          </cell>
          <cell r="Y34">
            <v>6</v>
          </cell>
          <cell r="Z34" t="str">
            <v>2da compra</v>
          </cell>
        </row>
        <row r="35">
          <cell r="A35">
            <v>30008604</v>
          </cell>
          <cell r="B35" t="str">
            <v>MICA WASHER FOR SIGHT GLASS REF: DIA: 80</v>
          </cell>
          <cell r="C35" t="str">
            <v>C/U</v>
          </cell>
          <cell r="D35">
            <v>9</v>
          </cell>
          <cell r="F35">
            <v>4700160027</v>
          </cell>
          <cell r="H35">
            <v>20</v>
          </cell>
          <cell r="J35">
            <v>2</v>
          </cell>
          <cell r="K35" t="str">
            <v>Deficit</v>
          </cell>
          <cell r="L35" t="str">
            <v>Bajo Stock</v>
          </cell>
          <cell r="M35">
            <v>0.22</v>
          </cell>
          <cell r="N35" t="str">
            <v>Enviado por FEDEX OT FEDEX 8719 4980 8816  20u</v>
          </cell>
          <cell r="Q35" t="str">
            <v>TARJUN2026</v>
          </cell>
          <cell r="R35" t="str">
            <v>TARMAY2026</v>
          </cell>
          <cell r="S35">
            <v>16</v>
          </cell>
          <cell r="T35">
            <v>20</v>
          </cell>
          <cell r="U35">
            <v>2</v>
          </cell>
          <cell r="V35" t="str">
            <v>Comprar</v>
          </cell>
          <cell r="W35">
            <v>13</v>
          </cell>
          <cell r="X35" t="str">
            <v/>
          </cell>
          <cell r="Y35">
            <v>20</v>
          </cell>
          <cell r="Z35" t="str">
            <v>2da compra</v>
          </cell>
        </row>
        <row r="36">
          <cell r="A36">
            <v>30008605</v>
          </cell>
          <cell r="B36" t="str">
            <v>GASKET FOR SIGHT GLASS REF: DIA : 80/60X</v>
          </cell>
          <cell r="C36" t="str">
            <v>C/U</v>
          </cell>
          <cell r="D36">
            <v>9</v>
          </cell>
          <cell r="J36">
            <v>24</v>
          </cell>
          <cell r="K36" t="str">
            <v>Stock ok</v>
          </cell>
          <cell r="L36" t="str">
            <v>Stock OK</v>
          </cell>
          <cell r="M36">
            <v>1</v>
          </cell>
          <cell r="Q36" t="str">
            <v>TARJUN2026</v>
          </cell>
          <cell r="R36" t="e">
            <v>#N/A</v>
          </cell>
          <cell r="S36">
            <v>24</v>
          </cell>
          <cell r="T36">
            <v>8</v>
          </cell>
          <cell r="U36">
            <v>24</v>
          </cell>
          <cell r="V36" t="str">
            <v>Comprar</v>
          </cell>
          <cell r="W36">
            <v>15</v>
          </cell>
          <cell r="X36" t="str">
            <v/>
          </cell>
          <cell r="Y36">
            <v>8</v>
          </cell>
          <cell r="Z36" t="str">
            <v>2da compra</v>
          </cell>
        </row>
        <row r="37">
          <cell r="A37">
            <v>30008776</v>
          </cell>
          <cell r="B37" t="str">
            <v>SELLOS DE POLVO DEL PRESECADOR POS. 23</v>
          </cell>
          <cell r="C37" t="str">
            <v>C/U</v>
          </cell>
          <cell r="D37">
            <v>2</v>
          </cell>
          <cell r="J37">
            <v>5</v>
          </cell>
          <cell r="K37" t="str">
            <v>Stock ok</v>
          </cell>
          <cell r="L37" t="str">
            <v>Stock OK</v>
          </cell>
          <cell r="M37">
            <v>1</v>
          </cell>
          <cell r="Q37" t="str">
            <v>TARJUN2026</v>
          </cell>
          <cell r="R37" t="e">
            <v>#N/A</v>
          </cell>
          <cell r="S37">
            <v>4</v>
          </cell>
          <cell r="T37">
            <v>4</v>
          </cell>
          <cell r="U37">
            <v>5</v>
          </cell>
          <cell r="V37" t="str">
            <v>Comprar</v>
          </cell>
          <cell r="W37">
            <v>3</v>
          </cell>
          <cell r="X37" t="str">
            <v>A</v>
          </cell>
          <cell r="Y37">
            <v>4</v>
          </cell>
          <cell r="Z37" t="str">
            <v>2da compra</v>
          </cell>
        </row>
        <row r="38">
          <cell r="A38">
            <v>30010905</v>
          </cell>
          <cell r="B38" t="str">
            <v>FLAT RING GASKET GORE TEX GR 4" 150 BAR</v>
          </cell>
          <cell r="C38" t="str">
            <v>C/U</v>
          </cell>
          <cell r="D38">
            <v>4</v>
          </cell>
          <cell r="J38">
            <v>12</v>
          </cell>
          <cell r="K38" t="str">
            <v>Stock ok</v>
          </cell>
          <cell r="L38" t="str">
            <v>Stock OK</v>
          </cell>
          <cell r="M38">
            <v>1</v>
          </cell>
          <cell r="Q38" t="str">
            <v>TARJUN2026</v>
          </cell>
          <cell r="R38" t="e">
            <v>#N/A</v>
          </cell>
          <cell r="S38">
            <v>12</v>
          </cell>
          <cell r="T38">
            <v>4</v>
          </cell>
          <cell r="U38">
            <v>14</v>
          </cell>
          <cell r="V38" t="str">
            <v>Comprar</v>
          </cell>
          <cell r="W38">
            <v>10</v>
          </cell>
          <cell r="X38" t="str">
            <v/>
          </cell>
          <cell r="Y38">
            <v>4</v>
          </cell>
          <cell r="Z38" t="str">
            <v>2da compra</v>
          </cell>
        </row>
        <row r="39">
          <cell r="A39">
            <v>30010931</v>
          </cell>
          <cell r="B39" t="str">
            <v>SPIRAL CGI Ø2"X150LB 304/PTFE304/304</v>
          </cell>
          <cell r="C39" t="str">
            <v>C/U</v>
          </cell>
          <cell r="D39">
            <v>8</v>
          </cell>
          <cell r="E39">
            <v>1002610298</v>
          </cell>
          <cell r="F39">
            <v>4502662660</v>
          </cell>
          <cell r="G39">
            <v>46161</v>
          </cell>
          <cell r="H39">
            <v>15</v>
          </cell>
          <cell r="I39">
            <v>15</v>
          </cell>
          <cell r="J39">
            <v>7</v>
          </cell>
          <cell r="K39" t="str">
            <v>Deficit</v>
          </cell>
          <cell r="L39" t="str">
            <v>Stock OK</v>
          </cell>
          <cell r="M39">
            <v>0.88</v>
          </cell>
          <cell r="Q39" t="str">
            <v>TARJUN2026</v>
          </cell>
          <cell r="R39" t="str">
            <v>TARMAY2026</v>
          </cell>
          <cell r="S39">
            <v>15</v>
          </cell>
          <cell r="T39">
            <v>10</v>
          </cell>
          <cell r="U39">
            <v>7</v>
          </cell>
          <cell r="V39" t="str">
            <v>Comprar</v>
          </cell>
          <cell r="W39">
            <v>14</v>
          </cell>
          <cell r="X39" t="str">
            <v/>
          </cell>
          <cell r="Y39">
            <v>10</v>
          </cell>
          <cell r="Z39" t="str">
            <v>2da compra</v>
          </cell>
        </row>
        <row r="40">
          <cell r="A40">
            <v>30010968</v>
          </cell>
          <cell r="B40" t="str">
            <v>EMPAQUETADURA TEFLON 2" 300# ESPESOR 1/1</v>
          </cell>
          <cell r="C40" t="str">
            <v>C/U</v>
          </cell>
          <cell r="D40">
            <v>2</v>
          </cell>
          <cell r="E40">
            <v>1002648063</v>
          </cell>
          <cell r="F40">
            <v>4502680617</v>
          </cell>
          <cell r="G40">
            <v>46192</v>
          </cell>
          <cell r="H40">
            <v>4</v>
          </cell>
          <cell r="I40">
            <v>4</v>
          </cell>
          <cell r="J40">
            <v>6</v>
          </cell>
          <cell r="K40" t="str">
            <v>Stock ok</v>
          </cell>
          <cell r="L40" t="str">
            <v>Stock OK</v>
          </cell>
          <cell r="M40">
            <v>1</v>
          </cell>
          <cell r="Q40" t="str">
            <v>TARJUN2026</v>
          </cell>
          <cell r="R40" t="e">
            <v>#N/A</v>
          </cell>
          <cell r="S40">
            <v>10</v>
          </cell>
          <cell r="T40">
            <v>4</v>
          </cell>
          <cell r="U40">
            <v>6</v>
          </cell>
          <cell r="V40" t="str">
            <v>Comprar</v>
          </cell>
          <cell r="W40">
            <v>8</v>
          </cell>
          <cell r="X40" t="str">
            <v/>
          </cell>
          <cell r="Y40">
            <v>4</v>
          </cell>
          <cell r="Z40" t="str">
            <v>2da compra</v>
          </cell>
        </row>
        <row r="41">
          <cell r="A41">
            <v>30017121</v>
          </cell>
          <cell r="B41" t="str">
            <v>SKF SOPORTE DESCAN. MODEL: SNH-511-609</v>
          </cell>
          <cell r="C41" t="str">
            <v>C/U</v>
          </cell>
          <cell r="D41">
            <v>4</v>
          </cell>
          <cell r="J41">
            <v>24</v>
          </cell>
          <cell r="K41" t="str">
            <v>Stock ok</v>
          </cell>
          <cell r="L41" t="str">
            <v>Stock OK</v>
          </cell>
          <cell r="M41">
            <v>1</v>
          </cell>
          <cell r="Q41" t="str">
            <v>TARJUN2026</v>
          </cell>
          <cell r="R41" t="e">
            <v>#N/A</v>
          </cell>
          <cell r="S41">
            <v>21</v>
          </cell>
          <cell r="T41">
            <v>20</v>
          </cell>
          <cell r="U41">
            <v>24</v>
          </cell>
          <cell r="V41" t="str">
            <v>Comprar</v>
          </cell>
          <cell r="W41">
            <v>20</v>
          </cell>
          <cell r="X41" t="str">
            <v>A</v>
          </cell>
          <cell r="Y41">
            <v>20</v>
          </cell>
          <cell r="Z41" t="str">
            <v>2da compra</v>
          </cell>
        </row>
        <row r="42">
          <cell r="A42">
            <v>30023347</v>
          </cell>
          <cell r="B42" t="str">
            <v>TRANSMION ACOPLAMIE. 125 64 ShD-F  POS.7</v>
          </cell>
          <cell r="C42" t="str">
            <v>C/U</v>
          </cell>
          <cell r="D42">
            <v>4</v>
          </cell>
          <cell r="J42">
            <v>6</v>
          </cell>
          <cell r="K42" t="str">
            <v>Stock ok</v>
          </cell>
          <cell r="L42" t="str">
            <v>Sobre Stock</v>
          </cell>
          <cell r="M42">
            <v>1</v>
          </cell>
          <cell r="Q42" t="str">
            <v>TARJUN2026</v>
          </cell>
          <cell r="R42" t="e">
            <v>#N/A</v>
          </cell>
          <cell r="S42">
            <v>3</v>
          </cell>
          <cell r="T42">
            <v>2</v>
          </cell>
          <cell r="U42">
            <v>6</v>
          </cell>
          <cell r="V42" t="str">
            <v>Comprar</v>
          </cell>
          <cell r="W42">
            <v>2</v>
          </cell>
          <cell r="X42" t="str">
            <v>A</v>
          </cell>
          <cell r="Y42">
            <v>2</v>
          </cell>
          <cell r="Z42" t="str">
            <v>2da compra</v>
          </cell>
        </row>
        <row r="43">
          <cell r="A43">
            <v>30023375</v>
          </cell>
          <cell r="B43" t="str">
            <v>SPIRAL W. GASKET CGI Ø 1"X300 FG</v>
          </cell>
          <cell r="C43" t="str">
            <v>C/U</v>
          </cell>
          <cell r="D43">
            <v>21</v>
          </cell>
          <cell r="J43">
            <v>30</v>
          </cell>
          <cell r="K43" t="str">
            <v>Stock ok</v>
          </cell>
          <cell r="L43" t="str">
            <v>Sobre Stock</v>
          </cell>
          <cell r="M43">
            <v>1</v>
          </cell>
          <cell r="Q43" t="str">
            <v>TARJUN2026</v>
          </cell>
          <cell r="R43" t="str">
            <v>TARMAY2026</v>
          </cell>
          <cell r="S43">
            <v>20</v>
          </cell>
          <cell r="T43">
            <v>6</v>
          </cell>
          <cell r="U43">
            <v>30</v>
          </cell>
          <cell r="V43" t="str">
            <v>Comprar</v>
          </cell>
          <cell r="W43">
            <v>9</v>
          </cell>
          <cell r="X43" t="str">
            <v/>
          </cell>
          <cell r="Y43">
            <v>11</v>
          </cell>
          <cell r="Z43" t="str">
            <v>1ra compra</v>
          </cell>
        </row>
        <row r="44">
          <cell r="A44">
            <v>30023381</v>
          </cell>
          <cell r="B44" t="str">
            <v>SPIRAL CGI Ø6"X300LB 304/FG304/304</v>
          </cell>
          <cell r="C44" t="str">
            <v>C/U</v>
          </cell>
          <cell r="D44">
            <v>10</v>
          </cell>
          <cell r="J44">
            <v>12</v>
          </cell>
          <cell r="K44" t="str">
            <v>Stock ok</v>
          </cell>
          <cell r="L44" t="str">
            <v>Stock OK</v>
          </cell>
          <cell r="M44">
            <v>1</v>
          </cell>
          <cell r="Q44" t="str">
            <v>TARJUN2026</v>
          </cell>
          <cell r="R44" t="e">
            <v>#N/A</v>
          </cell>
          <cell r="S44">
            <v>10</v>
          </cell>
          <cell r="T44">
            <v>10</v>
          </cell>
          <cell r="U44">
            <v>12</v>
          </cell>
          <cell r="V44" t="str">
            <v>Comprar</v>
          </cell>
          <cell r="W44">
            <v>2</v>
          </cell>
          <cell r="X44" t="str">
            <v/>
          </cell>
          <cell r="Y44">
            <v>10</v>
          </cell>
          <cell r="Z44" t="str">
            <v>1ra compra</v>
          </cell>
        </row>
        <row r="45">
          <cell r="A45">
            <v>30023382</v>
          </cell>
          <cell r="B45" t="str">
            <v>SPIRAL CGI Ø10"X300LB 304/FG304/304</v>
          </cell>
          <cell r="C45" t="str">
            <v>C/U</v>
          </cell>
          <cell r="D45">
            <v>9</v>
          </cell>
          <cell r="J45">
            <v>10</v>
          </cell>
          <cell r="K45" t="str">
            <v>Stock ok</v>
          </cell>
          <cell r="L45" t="str">
            <v>Sobre Stock</v>
          </cell>
          <cell r="M45">
            <v>1</v>
          </cell>
          <cell r="Q45" t="str">
            <v>TARJUN2026</v>
          </cell>
          <cell r="R45" t="e">
            <v>#N/A</v>
          </cell>
          <cell r="S45">
            <v>5</v>
          </cell>
          <cell r="T45">
            <v>2</v>
          </cell>
          <cell r="U45">
            <v>10</v>
          </cell>
          <cell r="V45" t="str">
            <v>Comprar</v>
          </cell>
          <cell r="W45">
            <v>1</v>
          </cell>
          <cell r="X45" t="str">
            <v/>
          </cell>
          <cell r="Y45">
            <v>2</v>
          </cell>
          <cell r="Z45" t="str">
            <v>1ra compra</v>
          </cell>
        </row>
        <row r="46">
          <cell r="A46">
            <v>30023407</v>
          </cell>
          <cell r="B46" t="str">
            <v>CABLE SS 304L Ø10MM</v>
          </cell>
          <cell r="C46" t="str">
            <v>M</v>
          </cell>
          <cell r="D46">
            <v>500</v>
          </cell>
          <cell r="J46">
            <v>575</v>
          </cell>
          <cell r="K46" t="str">
            <v>Stock ok</v>
          </cell>
          <cell r="L46" t="str">
            <v>Sobre Stock</v>
          </cell>
          <cell r="M46">
            <v>1</v>
          </cell>
          <cell r="Q46" t="str">
            <v>TARJUN2026</v>
          </cell>
          <cell r="R46" t="e">
            <v>#N/A</v>
          </cell>
          <cell r="S46">
            <v>200</v>
          </cell>
          <cell r="T46">
            <v>200</v>
          </cell>
          <cell r="U46">
            <v>575</v>
          </cell>
          <cell r="V46" t="str">
            <v>Comprar</v>
          </cell>
          <cell r="W46">
            <v>75</v>
          </cell>
          <cell r="X46" t="str">
            <v/>
          </cell>
          <cell r="Y46">
            <v>200</v>
          </cell>
          <cell r="Z46" t="str">
            <v>1ra compra</v>
          </cell>
        </row>
        <row r="47">
          <cell r="A47">
            <v>30023557</v>
          </cell>
          <cell r="B47" t="str">
            <v>POLIN DE RETORNO  DIA. 20/89MM   L:1150</v>
          </cell>
          <cell r="C47" t="str">
            <v>C/U</v>
          </cell>
          <cell r="D47">
            <v>22</v>
          </cell>
          <cell r="J47">
            <v>43</v>
          </cell>
          <cell r="K47" t="str">
            <v>Stock ok</v>
          </cell>
          <cell r="L47" t="str">
            <v>Stock OK</v>
          </cell>
          <cell r="M47">
            <v>1</v>
          </cell>
          <cell r="Q47" t="str">
            <v>TARJUN2026</v>
          </cell>
          <cell r="R47" t="e">
            <v>#N/A</v>
          </cell>
          <cell r="S47">
            <v>27</v>
          </cell>
          <cell r="T47">
            <v>26</v>
          </cell>
          <cell r="U47">
            <v>43</v>
          </cell>
          <cell r="V47" t="str">
            <v>Comprar</v>
          </cell>
          <cell r="W47">
            <v>21</v>
          </cell>
          <cell r="X47" t="str">
            <v>A</v>
          </cell>
          <cell r="Y47">
            <v>26</v>
          </cell>
          <cell r="Z47" t="str">
            <v>2da compra</v>
          </cell>
        </row>
        <row r="48">
          <cell r="A48">
            <v>30038374</v>
          </cell>
          <cell r="B48" t="str">
            <v>SKF RODAMIENTO 22218 CCW/33 POS.6b</v>
          </cell>
          <cell r="C48" t="str">
            <v>C/U</v>
          </cell>
          <cell r="D48">
            <v>2</v>
          </cell>
          <cell r="J48">
            <v>4</v>
          </cell>
          <cell r="K48" t="str">
            <v>Stock ok</v>
          </cell>
          <cell r="L48" t="str">
            <v>Stock OK</v>
          </cell>
          <cell r="M48">
            <v>1</v>
          </cell>
          <cell r="Q48" t="str">
            <v>TARJUN2026</v>
          </cell>
          <cell r="R48" t="e">
            <v>#N/A</v>
          </cell>
          <cell r="S48">
            <v>3</v>
          </cell>
          <cell r="T48">
            <v>2</v>
          </cell>
          <cell r="U48">
            <v>4</v>
          </cell>
          <cell r="V48" t="str">
            <v>Comprar</v>
          </cell>
          <cell r="W48">
            <v>2</v>
          </cell>
          <cell r="X48" t="str">
            <v>A</v>
          </cell>
          <cell r="Y48">
            <v>2</v>
          </cell>
          <cell r="Z48" t="str">
            <v>2da compra</v>
          </cell>
        </row>
        <row r="49">
          <cell r="A49">
            <v>30050889</v>
          </cell>
          <cell r="B49" t="str">
            <v>LOCKER MANGA DESCARGA Ø970XL500MM</v>
          </cell>
          <cell r="C49" t="str">
            <v>C/U</v>
          </cell>
          <cell r="D49">
            <v>3</v>
          </cell>
          <cell r="J49">
            <v>2</v>
          </cell>
          <cell r="K49" t="str">
            <v>Deficit</v>
          </cell>
          <cell r="L49" t="str">
            <v>Stock OK</v>
          </cell>
          <cell r="M49">
            <v>0.67</v>
          </cell>
          <cell r="Q49" t="str">
            <v>TARJUN2026</v>
          </cell>
          <cell r="R49" t="e">
            <v>#N/A</v>
          </cell>
          <cell r="S49">
            <v>1</v>
          </cell>
          <cell r="T49">
            <v>2</v>
          </cell>
          <cell r="U49">
            <v>2</v>
          </cell>
          <cell r="V49" t="str">
            <v>Comprar</v>
          </cell>
          <cell r="W49">
            <v>-1</v>
          </cell>
          <cell r="X49" t="str">
            <v>A</v>
          </cell>
          <cell r="Y49">
            <v>3</v>
          </cell>
          <cell r="Z49" t="str">
            <v>1ra compra</v>
          </cell>
        </row>
        <row r="50">
          <cell r="A50">
            <v>30067450</v>
          </cell>
          <cell r="B50" t="str">
            <v>CORREA A. 650MM EO 400/3  4X2 L=85 MTS.</v>
          </cell>
          <cell r="C50" t="str">
            <v>C/U</v>
          </cell>
          <cell r="D50">
            <v>1</v>
          </cell>
          <cell r="J50">
            <v>1</v>
          </cell>
          <cell r="K50" t="str">
            <v>Stock ok</v>
          </cell>
          <cell r="L50" t="str">
            <v>Bajo Stock</v>
          </cell>
          <cell r="M50">
            <v>1</v>
          </cell>
          <cell r="Q50" t="str">
            <v>TARJUN2026</v>
          </cell>
          <cell r="R50" t="e">
            <v>#N/A</v>
          </cell>
          <cell r="S50">
            <v>2</v>
          </cell>
          <cell r="T50">
            <v>1</v>
          </cell>
          <cell r="U50">
            <v>1</v>
          </cell>
          <cell r="V50" t="str">
            <v>Comprar</v>
          </cell>
          <cell r="W50">
            <v>0</v>
          </cell>
          <cell r="X50" t="str">
            <v>A</v>
          </cell>
          <cell r="Y50">
            <v>3</v>
          </cell>
          <cell r="Z50" t="str">
            <v>1ra compra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5.399918750001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5.399920138887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1">
        <m/>
        <s v="BODEGA"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5.399921296295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5.399922337965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5.399919212963" backgroundQuery="1" createdVersion="3" refreshedVersion="8" minRefreshableVersion="3" recordCount="0" supportSubquery="1" supportAdvancedDrill="1" xr:uid="{1D4F29D8-B226-4A59-8825-1EDF107C34F8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4886331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45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76">
      <pivotArea type="all" dataOnly="0" outline="0" fieldPosition="0"/>
    </format>
    <format dxfId="75">
      <pivotArea dataOnly="0" labelOnly="1" outline="0" axis="axisValues" fieldPosition="0"/>
    </format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outline="0" fieldPosition="0">
        <references count="1">
          <reference field="4294967294" count="1">
            <x v="0"/>
          </reference>
        </references>
      </pivotArea>
    </format>
    <format dxfId="63">
      <pivotArea dataOnly="0" labelOnly="1" fieldPosition="0">
        <references count="1">
          <reference field="1" count="1">
            <x v="0"/>
          </reference>
        </references>
      </pivotArea>
    </format>
    <format dxfId="62">
      <pivotArea dataOnly="0" labelOnly="1" fieldPosition="0">
        <references count="1">
          <reference field="1" count="1">
            <x v="1"/>
          </reference>
        </references>
      </pivotArea>
    </format>
    <format dxfId="61">
      <pivotArea dataOnly="0" labelOnly="1" fieldPosition="0">
        <references count="1">
          <reference field="1" count="1">
            <x v="3"/>
          </reference>
        </references>
      </pivotArea>
    </format>
    <format dxfId="60">
      <pivotArea dataOnly="0" labelOnly="1" fieldPosition="0">
        <references count="1">
          <reference field="1" count="1">
            <x v="2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7">
      <pivotArea field="1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43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4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8"/>
    </i>
    <i>
      <x v="1"/>
    </i>
    <i>
      <x v="7"/>
    </i>
    <i>
      <x v="5"/>
    </i>
    <i>
      <x v="4"/>
    </i>
    <i>
      <x v="10"/>
    </i>
    <i>
      <x v="3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85">
      <pivotArea field="0" type="button" dataOnly="0" labelOnly="1" outline="0" axis="axisRow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2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/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outline="0" collapsedLevelsAreSubtotals="1" fieldPosition="0"/>
    </format>
    <format dxfId="86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4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28">
      <pivotArea type="all" dataOnly="0" outline="0" fieldPosition="0"/>
    </format>
    <format dxfId="127">
      <pivotArea dataOnly="0" labelOnly="1" outline="0" axis="axisValues" fieldPosition="0"/>
    </format>
    <format dxfId="126">
      <pivotArea outline="0" collapsedLevelsAreSubtotals="1" fieldPosition="0"/>
    </format>
    <format dxfId="125">
      <pivotArea outline="0" collapsedLevelsAreSubtotals="1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6">
      <pivotArea outline="0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1" count="1">
            <x v="0"/>
          </reference>
        </references>
      </pivotArea>
    </format>
    <format dxfId="114">
      <pivotArea dataOnly="0" labelOnly="1" fieldPosition="0">
        <references count="1">
          <reference field="1" count="1">
            <x v="1"/>
          </reference>
        </references>
      </pivotArea>
    </format>
    <format dxfId="113">
      <pivotArea dataOnly="0" labelOnly="1" fieldPosition="0">
        <references count="1">
          <reference field="1" count="1">
            <x v="3"/>
          </reference>
        </references>
      </pivotArea>
    </format>
    <format dxfId="112">
      <pivotArea dataOnly="0" labelOnly="1" fieldPosition="0">
        <references count="1">
          <reference field="1" count="1">
            <x v="2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9">
      <pivotArea field="1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6" unboundColumnsRight="3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  <queryTableField id="92" dataBound="0" tableColumnId="12"/>
      <queryTableField id="93" dataBound="0" tableColumnId="21"/>
      <queryTableField id="95" dataBound="0" tableColumnId="23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2048863315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W1325" tableType="queryTable" totalsRowShown="0" headerRowDxfId="46" dataDxfId="45">
  <autoFilter ref="B16:W1325" xr:uid="{00000000-000C-0000-FFFF-FFFF00000000}"/>
  <tableColumns count="22">
    <tableColumn id="1" xr3:uid="{00000000-0010-0000-0000-000001000000}" uniqueName="1" name="Material" queryTableFieldId="1" dataDxfId="44"/>
    <tableColumn id="2" xr3:uid="{00000000-0010-0000-0000-000002000000}" uniqueName="2" name="Texto breve de material" queryTableFieldId="2" dataDxfId="43"/>
    <tableColumn id="3" xr3:uid="{00000000-0010-0000-0000-000003000000}" uniqueName="3" name="Centro" queryTableFieldId="16" dataDxfId="42"/>
    <tableColumn id="14" xr3:uid="{00000000-0010-0000-0000-00000E000000}" uniqueName="14" name="Area" queryTableFieldId="60" dataDxfId="41"/>
    <tableColumn id="18" xr3:uid="{00000000-0010-0000-0000-000012000000}" uniqueName="18" name="Criticidad" queryTableFieldId="61" dataDxfId="40"/>
    <tableColumn id="4" xr3:uid="{00000000-0010-0000-0000-000004000000}" uniqueName="4" name="Stock Seguridad" queryTableFieldId="4" dataDxfId="39"/>
    <tableColumn id="5" xr3:uid="{00000000-0010-0000-0000-000005000000}" uniqueName="5" name="Cantidad de Compra" queryTableFieldId="5" dataDxfId="38"/>
    <tableColumn id="6" xr3:uid="{00000000-0010-0000-0000-000006000000}" uniqueName="6" name="Stock" queryTableFieldId="6" dataDxfId="37"/>
    <tableColumn id="7" xr3:uid="{00000000-0010-0000-0000-000007000000}" uniqueName="7" name="UMB" queryTableFieldId="7" dataDxfId="36"/>
    <tableColumn id="8" xr3:uid="{00000000-0010-0000-0000-000008000000}" uniqueName="8" name="Condicion Stock" queryTableFieldId="8" dataDxfId="35"/>
    <tableColumn id="20" xr3:uid="{40652814-20EE-428C-90F1-1945E00F9E29}" uniqueName="20" name="Solped" queryTableFieldId="88" dataDxfId="34"/>
    <tableColumn id="13" xr3:uid="{00000000-0010-0000-0000-00000D000000}" uniqueName="13" name="Cantidad Solped" queryTableFieldId="66" dataDxfId="33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32"/>
    <tableColumn id="11" xr3:uid="{00000000-0010-0000-0000-00000B000000}" uniqueName="11" name="Proveedor" queryTableFieldId="11" dataDxfId="31"/>
    <tableColumn id="15" xr3:uid="{00000000-0010-0000-0000-00000F000000}" uniqueName="15" name="Fecha de entrega" queryTableFieldId="30" dataDxfId="30"/>
    <tableColumn id="19" xr3:uid="{00000000-0010-0000-0000-000013000000}" uniqueName="19" name="Usuario" queryTableFieldId="71" dataDxfId="29"/>
    <tableColumn id="9" xr3:uid="{00000000-0010-0000-0000-000009000000}" uniqueName="9" name="Observación" queryTableFieldId="47" dataDxfId="28"/>
    <tableColumn id="10" xr3:uid="{00000000-0010-0000-0000-00000A000000}" uniqueName="10" name="Grupo de compras" queryTableFieldId="64" dataDxfId="27"/>
    <tableColumn id="12" xr3:uid="{DAA1D4F3-D4AB-494A-B642-98FEAD456CA7}" uniqueName="12" name="Compra reposicion TARJUN" queryTableFieldId="92" dataDxfId="26">
      <calculatedColumnFormula>VLOOKUP(data[[#This Row],[Material]],'[1]Hoja para mrp'!$A:$Z,26,0)</calculatedColumnFormula>
    </tableColumn>
    <tableColumn id="21" xr3:uid="{6C29799C-DF17-483D-A8AA-44FDFF8AA075}" uniqueName="21" name="Cant a comprar" queryTableFieldId="93" dataDxfId="25">
      <calculatedColumnFormula>VLOOKUP(data[[#This Row],[Material]],'[1]Hoja para mrp'!$A:$Z,25,0)</calculatedColumnFormula>
    </tableColumn>
    <tableColumn id="23" xr3:uid="{BADCE3D9-99E0-4B13-B9C1-6A28166F1C50}" uniqueName="23" name="Comentario Seguimiento" queryTableFieldId="95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32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3"/>
  <sheetViews>
    <sheetView showGridLines="0" tabSelected="1" topLeftCell="A1277" zoomScale="72" zoomScaleNormal="85" workbookViewId="0">
      <pane xSplit="1" topLeftCell="O1" activePane="topRight" state="frozen"/>
      <selection activeCell="A16" sqref="A16"/>
      <selection pane="topRight" activeCell="R1280" sqref="R1280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9.85546875" style="1" customWidth="1"/>
    <col min="4" max="4" width="16" style="1" bestFit="1" customWidth="1"/>
    <col min="5" max="5" width="21.28515625" style="1" hidden="1" customWidth="1"/>
    <col min="6" max="6" width="13.28515625" style="4" bestFit="1" customWidth="1"/>
    <col min="7" max="7" width="16.42578125" style="1" bestFit="1" customWidth="1"/>
    <col min="8" max="8" width="8.2851562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3.42578125" style="2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customWidth="1"/>
    <col min="17" max="17" width="19.85546875" style="21" customWidth="1"/>
    <col min="18" max="18" width="79.85546875" style="21" customWidth="1"/>
    <col min="19" max="19" width="107.42578125" style="21" bestFit="1" customWidth="1"/>
    <col min="20" max="20" width="22.42578125" style="21" customWidth="1"/>
    <col min="21" max="22" width="25" style="21" customWidth="1"/>
    <col min="23" max="23" width="117" style="1" customWidth="1"/>
    <col min="24" max="16384" width="11.5703125" style="1"/>
  </cols>
  <sheetData>
    <row r="1" spans="1:23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77" t="s">
        <v>64</v>
      </c>
      <c r="N1" s="1" t="s" vm="1">
        <v>1228</v>
      </c>
      <c r="O1" s="9"/>
      <c r="P1" s="18"/>
      <c r="Q1" s="18"/>
      <c r="R1" s="40"/>
      <c r="S1" s="18"/>
      <c r="T1" s="18"/>
      <c r="U1" s="18"/>
      <c r="V1" s="18"/>
    </row>
    <row r="2" spans="1:23" s="2" customFormat="1" x14ac:dyDescent="0.2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76" t="s">
        <v>80</v>
      </c>
      <c r="L2" s="56"/>
      <c r="M2" s="2" t="s">
        <v>1229</v>
      </c>
    </row>
    <row r="3" spans="1:23" s="2" customFormat="1" x14ac:dyDescent="0.25">
      <c r="A3"/>
      <c r="B3"/>
      <c r="C3"/>
      <c r="E3" s="25" t="s">
        <v>81</v>
      </c>
      <c r="F3" s="26">
        <v>917</v>
      </c>
      <c r="G3" s="27">
        <v>0.96619411123227916</v>
      </c>
      <c r="H3" s="1"/>
      <c r="I3" s="4" t="s">
        <v>14</v>
      </c>
      <c r="J3" s="4">
        <v>315</v>
      </c>
      <c r="K3" s="78">
        <v>5</v>
      </c>
      <c r="L3" s="56"/>
      <c r="M3" s="12" t="s">
        <v>6</v>
      </c>
      <c r="N3" s="4" t="s">
        <v>79</v>
      </c>
      <c r="O3" s="76" t="s">
        <v>80</v>
      </c>
      <c r="P3" s="1" t="s">
        <v>1230</v>
      </c>
    </row>
    <row r="4" spans="1:23" s="2" customFormat="1" x14ac:dyDescent="0.25">
      <c r="A4"/>
      <c r="B4"/>
      <c r="C4"/>
      <c r="E4" s="25" t="s">
        <v>1228</v>
      </c>
      <c r="F4" s="26">
        <v>114</v>
      </c>
      <c r="G4" s="27">
        <v>0.88596491228070173</v>
      </c>
      <c r="H4" s="1"/>
      <c r="I4" s="4" t="s">
        <v>7</v>
      </c>
      <c r="J4" s="79">
        <v>811</v>
      </c>
      <c r="K4" s="78">
        <v>4</v>
      </c>
      <c r="L4" s="56"/>
      <c r="M4" s="4" t="s">
        <v>14</v>
      </c>
      <c r="N4" s="4">
        <v>9</v>
      </c>
      <c r="O4" s="78"/>
      <c r="P4" s="4">
        <v>9</v>
      </c>
      <c r="Q4"/>
      <c r="R4"/>
      <c r="S4"/>
      <c r="T4"/>
      <c r="U4"/>
      <c r="V4"/>
    </row>
    <row r="5" spans="1:23" s="2" customFormat="1" x14ac:dyDescent="0.25">
      <c r="A5"/>
      <c r="B5"/>
      <c r="C5"/>
      <c r="E5" s="25" t="s">
        <v>90</v>
      </c>
      <c r="F5" s="26">
        <v>96</v>
      </c>
      <c r="G5" s="27">
        <v>0.96875</v>
      </c>
      <c r="H5" s="1"/>
      <c r="I5" s="4" t="s">
        <v>9</v>
      </c>
      <c r="J5" s="75">
        <v>130</v>
      </c>
      <c r="K5" s="78">
        <v>15</v>
      </c>
      <c r="L5" s="56"/>
      <c r="M5" s="4" t="s">
        <v>7</v>
      </c>
      <c r="N5" s="79">
        <v>74</v>
      </c>
      <c r="O5" s="78"/>
      <c r="P5" s="4">
        <v>74</v>
      </c>
      <c r="Q5"/>
      <c r="R5"/>
      <c r="S5"/>
      <c r="T5"/>
      <c r="U5"/>
      <c r="V5"/>
    </row>
    <row r="6" spans="1:23" s="2" customFormat="1" ht="18.75" x14ac:dyDescent="0.25">
      <c r="A6"/>
      <c r="B6"/>
      <c r="C6" s="28" t="s">
        <v>78</v>
      </c>
      <c r="E6" s="25" t="s">
        <v>1641</v>
      </c>
      <c r="F6" s="26">
        <v>83</v>
      </c>
      <c r="G6" s="27">
        <v>0.95180722891566261</v>
      </c>
      <c r="H6" s="1"/>
      <c r="I6" s="4" t="s">
        <v>13</v>
      </c>
      <c r="J6" s="79">
        <v>53</v>
      </c>
      <c r="K6" s="78">
        <v>11</v>
      </c>
      <c r="L6" s="56"/>
      <c r="M6" s="4" t="s">
        <v>9</v>
      </c>
      <c r="N6" s="75">
        <v>18</v>
      </c>
      <c r="O6" s="78">
        <v>1</v>
      </c>
      <c r="P6" s="4">
        <v>18</v>
      </c>
      <c r="Q6"/>
      <c r="R6"/>
      <c r="S6"/>
      <c r="T6"/>
      <c r="U6"/>
      <c r="V6"/>
    </row>
    <row r="7" spans="1:23" s="2" customFormat="1" ht="21" x14ac:dyDescent="0.25">
      <c r="A7"/>
      <c r="B7"/>
      <c r="C7" s="58">
        <v>0.95951107715813599</v>
      </c>
      <c r="E7" s="25" t="s">
        <v>121</v>
      </c>
      <c r="F7" s="26">
        <v>35</v>
      </c>
      <c r="G7" s="27">
        <v>0.94285714285714284</v>
      </c>
      <c r="H7" s="1"/>
      <c r="I7" s="25" t="s">
        <v>77</v>
      </c>
      <c r="J7" s="79">
        <v>1309</v>
      </c>
      <c r="K7" s="78">
        <v>35</v>
      </c>
      <c r="L7" s="56"/>
      <c r="M7" s="4" t="s">
        <v>13</v>
      </c>
      <c r="N7" s="79">
        <v>13</v>
      </c>
      <c r="O7" s="78"/>
      <c r="P7" s="4">
        <v>13</v>
      </c>
      <c r="Q7"/>
      <c r="R7"/>
      <c r="S7"/>
      <c r="T7"/>
      <c r="U7"/>
      <c r="V7"/>
    </row>
    <row r="8" spans="1:23" s="2" customFormat="1" ht="18.75" x14ac:dyDescent="0.25">
      <c r="A8"/>
      <c r="B8"/>
      <c r="C8" s="63" t="s">
        <v>1646</v>
      </c>
      <c r="E8" s="25" t="s">
        <v>94</v>
      </c>
      <c r="F8" s="26">
        <v>21</v>
      </c>
      <c r="G8" s="27">
        <v>1</v>
      </c>
      <c r="H8" s="1"/>
      <c r="I8"/>
      <c r="J8"/>
      <c r="K8"/>
      <c r="L8" s="56"/>
      <c r="M8" s="25" t="s">
        <v>77</v>
      </c>
      <c r="N8" s="79">
        <v>114</v>
      </c>
      <c r="O8" s="78">
        <v>1</v>
      </c>
      <c r="P8" s="4">
        <v>114</v>
      </c>
      <c r="Q8" s="19"/>
      <c r="R8" s="19"/>
      <c r="S8" s="19"/>
      <c r="T8" s="19"/>
      <c r="U8" s="19"/>
      <c r="V8" s="19"/>
    </row>
    <row r="9" spans="1:23" s="2" customFormat="1" ht="21" x14ac:dyDescent="0.25">
      <c r="A9"/>
      <c r="B9"/>
      <c r="C9" s="58">
        <f>(COUNTIFS(K$17:K$1048576,"Stock OK")+COUNTIFS(K$17:K$1048576,"Sobre Stock")) / COUNTA(K$17:K$1048576)</f>
        <v>0.86019862490450727</v>
      </c>
      <c r="E9" s="25" t="s">
        <v>100</v>
      </c>
      <c r="F9" s="26">
        <v>14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</row>
    <row r="10" spans="1:23" ht="18.75" x14ac:dyDescent="0.25">
      <c r="A10"/>
      <c r="B10"/>
      <c r="C10" s="63" t="s">
        <v>1645</v>
      </c>
      <c r="E10" s="25" t="s">
        <v>132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</row>
    <row r="11" spans="1:23" ht="17.25" customHeight="1" x14ac:dyDescent="0.25">
      <c r="A11"/>
      <c r="B11"/>
      <c r="C11" s="58">
        <f>(COUNTIFS(F:F,"A",K:K,"Stock OK")+COUNTIFS(F:F,"A",K:K,"Sobre Stock"))/
COUNTIFS(F:F,"A",K:K,"&lt;&gt;")</f>
        <v>0.83399209486166004</v>
      </c>
      <c r="E11" s="25" t="s">
        <v>118</v>
      </c>
      <c r="F11" s="26">
        <v>10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</row>
    <row r="12" spans="1:23" ht="18.75" x14ac:dyDescent="0.25">
      <c r="A12"/>
      <c r="B12"/>
      <c r="C12"/>
      <c r="E12" s="25" t="s">
        <v>225</v>
      </c>
      <c r="F12" s="26">
        <v>7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</row>
    <row r="13" spans="1:23" ht="18.75" x14ac:dyDescent="0.25">
      <c r="A13"/>
      <c r="B13"/>
      <c r="C13"/>
      <c r="E13" s="25" t="s">
        <v>141</v>
      </c>
      <c r="F13" s="26">
        <v>2</v>
      </c>
      <c r="G13" s="27">
        <v>1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0.24064171122994651</v>
      </c>
      <c r="N13" s="6"/>
      <c r="O13" s="19"/>
      <c r="P13" s="19"/>
      <c r="Q13" s="19"/>
      <c r="R13" s="19"/>
      <c r="S13" s="19"/>
      <c r="T13" s="19"/>
      <c r="U13" s="19"/>
      <c r="V13" s="19"/>
    </row>
    <row r="14" spans="1:23" ht="12" customHeight="1" x14ac:dyDescent="0.25">
      <c r="A14"/>
      <c r="B14"/>
      <c r="C14"/>
      <c r="E14" s="25" t="s">
        <v>77</v>
      </c>
      <c r="F14" s="26">
        <v>1309</v>
      </c>
      <c r="G14" s="54">
        <v>0.95951107715813599</v>
      </c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</row>
    <row r="15" spans="1:23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</row>
    <row r="16" spans="1:23" s="13" customFormat="1" ht="45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  <c r="U16" s="13" t="s">
        <v>1661</v>
      </c>
      <c r="V16" s="13" t="s">
        <v>1662</v>
      </c>
      <c r="W16" s="13" t="s">
        <v>1670</v>
      </c>
    </row>
    <row r="17" spans="2:23" x14ac:dyDescent="0.25">
      <c r="B17" s="4">
        <v>20004806</v>
      </c>
      <c r="C17" s="1" t="s">
        <v>1214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94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1566</v>
      </c>
      <c r="Q17" s="22">
        <v>46147</v>
      </c>
      <c r="R17" t="s">
        <v>91</v>
      </c>
      <c r="S17" s="11"/>
      <c r="T17" s="4" t="s">
        <v>66</v>
      </c>
      <c r="U17" s="1" t="e">
        <f>VLOOKUP(data[[#This Row],[Material]],'[1]Hoja para mrp'!$A:$Z,26,0)</f>
        <v>#N/A</v>
      </c>
      <c r="V17" s="1" t="e">
        <f>VLOOKUP(data[[#This Row],[Material]],'[1]Hoja para mrp'!$A:$Z,25,0)</f>
        <v>#N/A</v>
      </c>
      <c r="W17" s="1" t="s">
        <v>1671</v>
      </c>
    </row>
    <row r="18" spans="2:23" x14ac:dyDescent="0.25">
      <c r="B18" s="4">
        <v>20004808</v>
      </c>
      <c r="C18" s="1" t="s">
        <v>96</v>
      </c>
      <c r="D18" s="4" t="s">
        <v>89</v>
      </c>
      <c r="E18" s="3" t="s">
        <v>1641</v>
      </c>
      <c r="F18" s="3" t="s">
        <v>92</v>
      </c>
      <c r="G18" s="4">
        <v>60</v>
      </c>
      <c r="H18" s="4">
        <v>100</v>
      </c>
      <c r="I18" s="4">
        <v>191</v>
      </c>
      <c r="J18" s="4" t="s">
        <v>8</v>
      </c>
      <c r="K18" s="4" t="s">
        <v>14</v>
      </c>
      <c r="L18" s="11"/>
      <c r="M18" s="3"/>
      <c r="N18"/>
      <c r="O18" s="4"/>
      <c r="P18" s="1"/>
      <c r="Q18" s="22"/>
      <c r="R18" t="s">
        <v>97</v>
      </c>
      <c r="S18" s="11"/>
      <c r="T18" s="4" t="s">
        <v>68</v>
      </c>
      <c r="U18" s="1" t="e">
        <f>VLOOKUP(data[[#This Row],[Material]],'[1]Hoja para mrp'!$A:$Z,26,0)</f>
        <v>#N/A</v>
      </c>
      <c r="V18" s="1" t="e">
        <f>VLOOKUP(data[[#This Row],[Material]],'[1]Hoja para mrp'!$A:$Z,25,0)</f>
        <v>#N/A</v>
      </c>
    </row>
    <row r="19" spans="2:23" x14ac:dyDescent="0.25">
      <c r="B19" s="4">
        <v>20019781</v>
      </c>
      <c r="C19" s="1" t="s">
        <v>93</v>
      </c>
      <c r="D19" s="4" t="s">
        <v>89</v>
      </c>
      <c r="E19" s="3" t="s">
        <v>94</v>
      </c>
      <c r="F19" s="3" t="s">
        <v>92</v>
      </c>
      <c r="G19" s="4">
        <v>75</v>
      </c>
      <c r="H19" s="4">
        <v>100</v>
      </c>
      <c r="I19" s="4">
        <v>150</v>
      </c>
      <c r="J19" s="4" t="s">
        <v>8</v>
      </c>
      <c r="K19" s="5" t="s">
        <v>7</v>
      </c>
      <c r="L19" s="11"/>
      <c r="M19" s="3"/>
      <c r="N19"/>
      <c r="O19" s="4"/>
      <c r="P19" s="1"/>
      <c r="Q19" s="22"/>
      <c r="R19" t="s">
        <v>95</v>
      </c>
      <c r="S19" s="11"/>
      <c r="T19" s="4" t="s">
        <v>71</v>
      </c>
      <c r="U19" s="1" t="e">
        <f>VLOOKUP(data[[#This Row],[Material]],'[1]Hoja para mrp'!$A:$Z,26,0)</f>
        <v>#N/A</v>
      </c>
      <c r="V19" s="1" t="e">
        <f>VLOOKUP(data[[#This Row],[Material]],'[1]Hoja para mrp'!$A:$Z,25,0)</f>
        <v>#N/A</v>
      </c>
    </row>
    <row r="20" spans="2:23" x14ac:dyDescent="0.25">
      <c r="B20" s="4">
        <v>20004847</v>
      </c>
      <c r="C20" s="1" t="s">
        <v>1342</v>
      </c>
      <c r="D20" s="4" t="s">
        <v>89</v>
      </c>
      <c r="E20" s="3"/>
      <c r="F20" s="3" t="s">
        <v>69</v>
      </c>
      <c r="G20" s="4">
        <v>5</v>
      </c>
      <c r="H20" s="4">
        <v>10</v>
      </c>
      <c r="I20" s="4">
        <v>4</v>
      </c>
      <c r="J20" s="4" t="s">
        <v>8</v>
      </c>
      <c r="K20" s="4" t="s">
        <v>9</v>
      </c>
      <c r="L20" s="11"/>
      <c r="M20" s="3"/>
      <c r="N20">
        <v>4502677592</v>
      </c>
      <c r="O20" s="4">
        <v>10</v>
      </c>
      <c r="P20" s="1" t="s">
        <v>1636</v>
      </c>
      <c r="Q20" s="22">
        <v>46202</v>
      </c>
      <c r="R20"/>
      <c r="S20" s="11"/>
      <c r="T20" s="4" t="s">
        <v>66</v>
      </c>
      <c r="U20" s="1" t="e">
        <f>VLOOKUP(data[[#This Row],[Material]],'[1]Hoja para mrp'!$A:$Z,26,0)</f>
        <v>#N/A</v>
      </c>
      <c r="V20" s="1" t="e">
        <f>VLOOKUP(data[[#This Row],[Material]],'[1]Hoja para mrp'!$A:$Z,25,0)</f>
        <v>#N/A</v>
      </c>
    </row>
    <row r="21" spans="2:23" x14ac:dyDescent="0.25">
      <c r="B21" s="4">
        <v>20004877</v>
      </c>
      <c r="C21" s="1" t="s">
        <v>1231</v>
      </c>
      <c r="D21" s="4" t="s">
        <v>89</v>
      </c>
      <c r="E21" s="3"/>
      <c r="F21" s="3" t="s">
        <v>69</v>
      </c>
      <c r="G21" s="4">
        <v>20</v>
      </c>
      <c r="H21" s="4">
        <v>25</v>
      </c>
      <c r="I21" s="4">
        <v>8</v>
      </c>
      <c r="J21" s="4" t="s">
        <v>23</v>
      </c>
      <c r="K21" s="4" t="s">
        <v>9</v>
      </c>
      <c r="L21" s="11">
        <v>1002631450</v>
      </c>
      <c r="M21" s="3">
        <v>25</v>
      </c>
      <c r="N21"/>
      <c r="O21" s="4"/>
      <c r="P21" s="1"/>
      <c r="Q21" s="22"/>
      <c r="R21"/>
      <c r="S21" s="11"/>
      <c r="T21" s="4" t="s">
        <v>68</v>
      </c>
      <c r="U21" s="1" t="e">
        <f>VLOOKUP(data[[#This Row],[Material]],'[1]Hoja para mrp'!$A:$Z,26,0)</f>
        <v>#N/A</v>
      </c>
      <c r="V21" s="1" t="e">
        <f>VLOOKUP(data[[#This Row],[Material]],'[1]Hoja para mrp'!$A:$Z,25,0)</f>
        <v>#N/A</v>
      </c>
    </row>
    <row r="22" spans="2:23" x14ac:dyDescent="0.25">
      <c r="B22" s="4">
        <v>20004885</v>
      </c>
      <c r="C22" s="1" t="s">
        <v>1232</v>
      </c>
      <c r="D22" s="4" t="s">
        <v>89</v>
      </c>
      <c r="E22" s="3"/>
      <c r="F22" s="3" t="s">
        <v>69</v>
      </c>
      <c r="G22" s="4">
        <v>5</v>
      </c>
      <c r="H22" s="4">
        <v>10</v>
      </c>
      <c r="I22" s="4">
        <v>13</v>
      </c>
      <c r="J22" s="4" t="s">
        <v>24</v>
      </c>
      <c r="K22" s="5" t="s">
        <v>7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 t="e">
        <f>VLOOKUP(data[[#This Row],[Material]],'[1]Hoja para mrp'!$A:$Z,26,0)</f>
        <v>#N/A</v>
      </c>
      <c r="V22" s="1" t="e">
        <f>VLOOKUP(data[[#This Row],[Material]],'[1]Hoja para mrp'!$A:$Z,25,0)</f>
        <v>#N/A</v>
      </c>
    </row>
    <row r="23" spans="2:23" x14ac:dyDescent="0.25">
      <c r="B23" s="4">
        <v>20014604</v>
      </c>
      <c r="C23" s="1" t="s">
        <v>98</v>
      </c>
      <c r="D23" s="4" t="s">
        <v>89</v>
      </c>
      <c r="E23" s="3" t="s">
        <v>94</v>
      </c>
      <c r="F23" s="3" t="s">
        <v>92</v>
      </c>
      <c r="G23" s="4">
        <v>5</v>
      </c>
      <c r="H23" s="4">
        <v>10</v>
      </c>
      <c r="I23" s="4">
        <v>14</v>
      </c>
      <c r="J23" s="4" t="s">
        <v>357</v>
      </c>
      <c r="K23" s="4" t="s">
        <v>7</v>
      </c>
      <c r="L23" s="11"/>
      <c r="M23" s="3"/>
      <c r="N23"/>
      <c r="O23" s="4"/>
      <c r="P23" s="1"/>
      <c r="Q23" s="22"/>
      <c r="R23" t="s">
        <v>95</v>
      </c>
      <c r="S23" s="11"/>
      <c r="T23" s="4" t="s">
        <v>71</v>
      </c>
      <c r="U23" s="1" t="e">
        <f>VLOOKUP(data[[#This Row],[Material]],'[1]Hoja para mrp'!$A:$Z,26,0)</f>
        <v>#N/A</v>
      </c>
      <c r="V23" s="1" t="e">
        <f>VLOOKUP(data[[#This Row],[Material]],'[1]Hoja para mrp'!$A:$Z,25,0)</f>
        <v>#N/A</v>
      </c>
    </row>
    <row r="24" spans="2:23" x14ac:dyDescent="0.25">
      <c r="B24" s="4">
        <v>20004886</v>
      </c>
      <c r="C24" s="1" t="s">
        <v>1233</v>
      </c>
      <c r="D24" s="4" t="s">
        <v>89</v>
      </c>
      <c r="E24" s="3"/>
      <c r="F24" s="3" t="s">
        <v>69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68</v>
      </c>
      <c r="U24" s="1" t="e">
        <f>VLOOKUP(data[[#This Row],[Material]],'[1]Hoja para mrp'!$A:$Z,26,0)</f>
        <v>#N/A</v>
      </c>
      <c r="V24" s="1" t="e">
        <f>VLOOKUP(data[[#This Row],[Material]],'[1]Hoja para mrp'!$A:$Z,25,0)</f>
        <v>#N/A</v>
      </c>
    </row>
    <row r="25" spans="2:23" x14ac:dyDescent="0.25">
      <c r="B25" s="4">
        <v>20004927</v>
      </c>
      <c r="C25" s="1" t="s">
        <v>1408</v>
      </c>
      <c r="D25" s="4" t="s">
        <v>89</v>
      </c>
      <c r="E25" s="3"/>
      <c r="F25" s="3" t="s">
        <v>69</v>
      </c>
      <c r="G25" s="4">
        <v>50</v>
      </c>
      <c r="H25" s="4">
        <v>100</v>
      </c>
      <c r="I25" s="4">
        <v>100</v>
      </c>
      <c r="J25" s="4" t="s">
        <v>356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 t="e">
        <f>VLOOKUP(data[[#This Row],[Material]],'[1]Hoja para mrp'!$A:$Z,26,0)</f>
        <v>#N/A</v>
      </c>
      <c r="V25" s="1" t="e">
        <f>VLOOKUP(data[[#This Row],[Material]],'[1]Hoja para mrp'!$A:$Z,25,0)</f>
        <v>#N/A</v>
      </c>
    </row>
    <row r="26" spans="2:23" x14ac:dyDescent="0.25">
      <c r="B26" s="4">
        <v>20004931</v>
      </c>
      <c r="C26" s="1" t="s">
        <v>99</v>
      </c>
      <c r="D26" s="4" t="s">
        <v>89</v>
      </c>
      <c r="E26" s="3" t="s">
        <v>100</v>
      </c>
      <c r="F26" s="3" t="s">
        <v>92</v>
      </c>
      <c r="G26" s="4">
        <v>1001</v>
      </c>
      <c r="H26" s="4">
        <v>3000</v>
      </c>
      <c r="I26" s="4">
        <v>2000</v>
      </c>
      <c r="J26" s="4" t="s">
        <v>356</v>
      </c>
      <c r="K26" s="4" t="s">
        <v>7</v>
      </c>
      <c r="L26" s="11"/>
      <c r="M26" s="3"/>
      <c r="N26"/>
      <c r="O26" s="4"/>
      <c r="P26" s="1"/>
      <c r="Q26" s="22"/>
      <c r="R26" t="s">
        <v>101</v>
      </c>
      <c r="S26" s="11"/>
      <c r="T26" s="4" t="s">
        <v>68</v>
      </c>
      <c r="U26" s="1" t="e">
        <f>VLOOKUP(data[[#This Row],[Material]],'[1]Hoja para mrp'!$A:$Z,26,0)</f>
        <v>#N/A</v>
      </c>
      <c r="V26" s="1" t="e">
        <f>VLOOKUP(data[[#This Row],[Material]],'[1]Hoja para mrp'!$A:$Z,25,0)</f>
        <v>#N/A</v>
      </c>
    </row>
    <row r="27" spans="2:23" x14ac:dyDescent="0.25">
      <c r="B27" s="4">
        <v>20004932</v>
      </c>
      <c r="C27" s="1" t="s">
        <v>1234</v>
      </c>
      <c r="D27" s="4" t="s">
        <v>89</v>
      </c>
      <c r="E27" s="3"/>
      <c r="F27" s="3" t="s">
        <v>69</v>
      </c>
      <c r="G27" s="4">
        <v>250</v>
      </c>
      <c r="H27" s="4">
        <v>250</v>
      </c>
      <c r="I27" s="4">
        <v>750</v>
      </c>
      <c r="J27" s="4" t="s">
        <v>356</v>
      </c>
      <c r="K27" s="4" t="s">
        <v>14</v>
      </c>
      <c r="L27" s="11"/>
      <c r="M27" s="3"/>
      <c r="N27"/>
      <c r="O27" s="4"/>
      <c r="P27" s="1"/>
      <c r="Q27" s="22"/>
      <c r="R27"/>
      <c r="S27" s="11"/>
      <c r="T27" s="4" t="s">
        <v>68</v>
      </c>
      <c r="U27" s="1" t="e">
        <f>VLOOKUP(data[[#This Row],[Material]],'[1]Hoja para mrp'!$A:$Z,26,0)</f>
        <v>#N/A</v>
      </c>
      <c r="V27" s="1" t="e">
        <f>VLOOKUP(data[[#This Row],[Material]],'[1]Hoja para mrp'!$A:$Z,25,0)</f>
        <v>#N/A</v>
      </c>
    </row>
    <row r="28" spans="2:23" x14ac:dyDescent="0.25">
      <c r="B28" s="4">
        <v>20004936</v>
      </c>
      <c r="C28" s="1" t="s">
        <v>102</v>
      </c>
      <c r="D28" s="4" t="s">
        <v>89</v>
      </c>
      <c r="E28" s="3" t="s">
        <v>100</v>
      </c>
      <c r="F28" s="3" t="s">
        <v>92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68</v>
      </c>
      <c r="U28" s="1" t="e">
        <f>VLOOKUP(data[[#This Row],[Material]],'[1]Hoja para mrp'!$A:$Z,26,0)</f>
        <v>#N/A</v>
      </c>
      <c r="V28" s="1" t="e">
        <f>VLOOKUP(data[[#This Row],[Material]],'[1]Hoja para mrp'!$A:$Z,25,0)</f>
        <v>#N/A</v>
      </c>
    </row>
    <row r="29" spans="2:23" x14ac:dyDescent="0.25">
      <c r="B29" s="4">
        <v>20004983</v>
      </c>
      <c r="C29" s="1" t="s">
        <v>103</v>
      </c>
      <c r="D29" s="4" t="s">
        <v>89</v>
      </c>
      <c r="E29" s="3" t="s">
        <v>100</v>
      </c>
      <c r="F29" s="3" t="s">
        <v>92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101</v>
      </c>
      <c r="S29" s="11"/>
      <c r="T29" s="4" t="s">
        <v>68</v>
      </c>
      <c r="U29" s="1" t="e">
        <f>VLOOKUP(data[[#This Row],[Material]],'[1]Hoja para mrp'!$A:$Z,26,0)</f>
        <v>#N/A</v>
      </c>
      <c r="V29" s="1" t="e">
        <f>VLOOKUP(data[[#This Row],[Material]],'[1]Hoja para mrp'!$A:$Z,25,0)</f>
        <v>#N/A</v>
      </c>
    </row>
    <row r="30" spans="2:23" x14ac:dyDescent="0.25">
      <c r="B30" s="4">
        <v>20004986</v>
      </c>
      <c r="C30" s="1" t="s">
        <v>1235</v>
      </c>
      <c r="D30" s="4" t="s">
        <v>89</v>
      </c>
      <c r="E30" s="3"/>
      <c r="F30" s="3" t="s">
        <v>69</v>
      </c>
      <c r="G30" s="4">
        <v>4</v>
      </c>
      <c r="H30" s="4">
        <v>4</v>
      </c>
      <c r="I30" s="4">
        <v>7</v>
      </c>
      <c r="J30" s="4" t="s">
        <v>8</v>
      </c>
      <c r="K30" s="5" t="s">
        <v>7</v>
      </c>
      <c r="L30" s="11"/>
      <c r="M30" s="3"/>
      <c r="N30"/>
      <c r="O30" s="4"/>
      <c r="P30" s="1"/>
      <c r="Q30" s="22"/>
      <c r="R30"/>
      <c r="S30" s="11"/>
      <c r="T30" s="4" t="s">
        <v>68</v>
      </c>
      <c r="U30" s="1" t="e">
        <f>VLOOKUP(data[[#This Row],[Material]],'[1]Hoja para mrp'!$A:$Z,26,0)</f>
        <v>#N/A</v>
      </c>
      <c r="V30" s="1" t="e">
        <f>VLOOKUP(data[[#This Row],[Material]],'[1]Hoja para mrp'!$A:$Z,25,0)</f>
        <v>#N/A</v>
      </c>
    </row>
    <row r="31" spans="2:23" x14ac:dyDescent="0.25">
      <c r="B31" s="4">
        <v>20007282</v>
      </c>
      <c r="C31" s="1" t="s">
        <v>147</v>
      </c>
      <c r="D31" s="4" t="s">
        <v>89</v>
      </c>
      <c r="E31" s="3" t="s">
        <v>90</v>
      </c>
      <c r="F31" s="3" t="s">
        <v>92</v>
      </c>
      <c r="G31" s="4">
        <v>8</v>
      </c>
      <c r="H31" s="4">
        <v>16</v>
      </c>
      <c r="I31" s="4">
        <v>7</v>
      </c>
      <c r="J31" s="4" t="s">
        <v>8</v>
      </c>
      <c r="K31" s="4" t="s">
        <v>9</v>
      </c>
      <c r="L31" s="11"/>
      <c r="M31" s="3"/>
      <c r="N31">
        <v>4502689155</v>
      </c>
      <c r="O31" s="4">
        <v>16</v>
      </c>
      <c r="P31" s="1" t="s">
        <v>22</v>
      </c>
      <c r="Q31" s="22">
        <v>46206</v>
      </c>
      <c r="R31" t="s">
        <v>91</v>
      </c>
      <c r="S31" s="11"/>
      <c r="T31" s="4" t="s">
        <v>71</v>
      </c>
      <c r="U31" s="1" t="e">
        <f>VLOOKUP(data[[#This Row],[Material]],'[1]Hoja para mrp'!$A:$Z,26,0)</f>
        <v>#N/A</v>
      </c>
      <c r="V31" s="1" t="e">
        <f>VLOOKUP(data[[#This Row],[Material]],'[1]Hoja para mrp'!$A:$Z,25,0)</f>
        <v>#N/A</v>
      </c>
    </row>
    <row r="32" spans="2:23" x14ac:dyDescent="0.25">
      <c r="B32" s="4">
        <v>20004998</v>
      </c>
      <c r="C32" s="1" t="s">
        <v>1236</v>
      </c>
      <c r="D32" s="4" t="s">
        <v>89</v>
      </c>
      <c r="E32" s="3"/>
      <c r="F32" s="3" t="s">
        <v>69</v>
      </c>
      <c r="G32" s="4">
        <v>10</v>
      </c>
      <c r="H32" s="4">
        <v>20</v>
      </c>
      <c r="I32" s="4">
        <v>5</v>
      </c>
      <c r="J32" s="4" t="s">
        <v>23</v>
      </c>
      <c r="K32" s="4" t="s">
        <v>9</v>
      </c>
      <c r="L32" s="11">
        <v>1002648064</v>
      </c>
      <c r="M32" s="3">
        <v>20</v>
      </c>
      <c r="N32"/>
      <c r="O32" s="4"/>
      <c r="P32" s="1"/>
      <c r="Q32" s="22"/>
      <c r="R32"/>
      <c r="S32" s="11"/>
      <c r="T32" s="4" t="s">
        <v>68</v>
      </c>
      <c r="U32" s="1" t="e">
        <f>VLOOKUP(data[[#This Row],[Material]],'[1]Hoja para mrp'!$A:$Z,26,0)</f>
        <v>#N/A</v>
      </c>
      <c r="V32" s="1" t="e">
        <f>VLOOKUP(data[[#This Row],[Material]],'[1]Hoja para mrp'!$A:$Z,25,0)</f>
        <v>#N/A</v>
      </c>
    </row>
    <row r="33" spans="2:22" x14ac:dyDescent="0.25">
      <c r="B33" s="4">
        <v>20005053</v>
      </c>
      <c r="C33" s="1" t="s">
        <v>104</v>
      </c>
      <c r="D33" s="4" t="s">
        <v>89</v>
      </c>
      <c r="E33" s="3" t="s">
        <v>100</v>
      </c>
      <c r="F33" s="3" t="s">
        <v>92</v>
      </c>
      <c r="G33" s="4">
        <v>80</v>
      </c>
      <c r="H33" s="4">
        <v>100</v>
      </c>
      <c r="I33" s="4">
        <v>126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 t="s">
        <v>101</v>
      </c>
      <c r="S33" s="11"/>
      <c r="T33" s="4" t="s">
        <v>68</v>
      </c>
      <c r="U33" s="1" t="e">
        <f>VLOOKUP(data[[#This Row],[Material]],'[1]Hoja para mrp'!$A:$Z,26,0)</f>
        <v>#N/A</v>
      </c>
      <c r="V33" s="1" t="e">
        <f>VLOOKUP(data[[#This Row],[Material]],'[1]Hoja para mrp'!$A:$Z,25,0)</f>
        <v>#N/A</v>
      </c>
    </row>
    <row r="34" spans="2:22" x14ac:dyDescent="0.25">
      <c r="B34" s="4">
        <v>20005001</v>
      </c>
      <c r="C34" s="1" t="s">
        <v>1270</v>
      </c>
      <c r="D34" s="4" t="s">
        <v>89</v>
      </c>
      <c r="E34" s="3"/>
      <c r="F34" s="3" t="s">
        <v>69</v>
      </c>
      <c r="G34" s="4">
        <v>300</v>
      </c>
      <c r="H34" s="4">
        <v>600</v>
      </c>
      <c r="I34" s="4">
        <v>625</v>
      </c>
      <c r="J34" s="4" t="s">
        <v>23</v>
      </c>
      <c r="K34" s="4" t="s">
        <v>7</v>
      </c>
      <c r="L34" s="11"/>
      <c r="M34" s="3"/>
      <c r="N34"/>
      <c r="O34" s="4"/>
      <c r="P34" s="1"/>
      <c r="Q34" s="22"/>
      <c r="R34"/>
      <c r="S34" s="11"/>
      <c r="T34" s="4" t="s">
        <v>68</v>
      </c>
      <c r="U34" s="1" t="e">
        <f>VLOOKUP(data[[#This Row],[Material]],'[1]Hoja para mrp'!$A:$Z,26,0)</f>
        <v>#N/A</v>
      </c>
      <c r="V34" s="1" t="e">
        <f>VLOOKUP(data[[#This Row],[Material]],'[1]Hoja para mrp'!$A:$Z,25,0)</f>
        <v>#N/A</v>
      </c>
    </row>
    <row r="35" spans="2:22" x14ac:dyDescent="0.25">
      <c r="B35" s="4">
        <v>20019900</v>
      </c>
      <c r="C35" s="1" t="s">
        <v>106</v>
      </c>
      <c r="D35" s="4" t="s">
        <v>89</v>
      </c>
      <c r="E35" s="3" t="s">
        <v>90</v>
      </c>
      <c r="F35" s="3" t="s">
        <v>92</v>
      </c>
      <c r="G35" s="4">
        <v>50</v>
      </c>
      <c r="H35" s="4">
        <v>30</v>
      </c>
      <c r="I35" s="4">
        <v>65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91</v>
      </c>
      <c r="S35" s="11"/>
      <c r="T35" s="4" t="s">
        <v>66</v>
      </c>
      <c r="U35" s="1" t="e">
        <f>VLOOKUP(data[[#This Row],[Material]],'[1]Hoja para mrp'!$A:$Z,26,0)</f>
        <v>#N/A</v>
      </c>
      <c r="V35" s="1" t="e">
        <f>VLOOKUP(data[[#This Row],[Material]],'[1]Hoja para mrp'!$A:$Z,25,0)</f>
        <v>#N/A</v>
      </c>
    </row>
    <row r="36" spans="2:22" x14ac:dyDescent="0.25">
      <c r="B36" s="4">
        <v>20019902</v>
      </c>
      <c r="C36" s="1" t="s">
        <v>110</v>
      </c>
      <c r="D36" s="4" t="s">
        <v>89</v>
      </c>
      <c r="E36" s="3" t="s">
        <v>90</v>
      </c>
      <c r="F36" s="3" t="s">
        <v>92</v>
      </c>
      <c r="G36" s="4">
        <v>45</v>
      </c>
      <c r="H36" s="4">
        <v>30</v>
      </c>
      <c r="I36" s="4">
        <v>44</v>
      </c>
      <c r="J36" s="4" t="s">
        <v>8</v>
      </c>
      <c r="K36" s="4" t="s">
        <v>9</v>
      </c>
      <c r="L36" s="11">
        <v>1002660929</v>
      </c>
      <c r="M36" s="3">
        <v>30</v>
      </c>
      <c r="N36"/>
      <c r="O36" s="4"/>
      <c r="P36" s="1"/>
      <c r="Q36" s="22"/>
      <c r="R36" t="s">
        <v>91</v>
      </c>
      <c r="S36" s="11"/>
      <c r="T36" s="4" t="s">
        <v>66</v>
      </c>
      <c r="U36" s="1" t="e">
        <f>VLOOKUP(data[[#This Row],[Material]],'[1]Hoja para mrp'!$A:$Z,26,0)</f>
        <v>#N/A</v>
      </c>
      <c r="V36" s="1" t="e">
        <f>VLOOKUP(data[[#This Row],[Material]],'[1]Hoja para mrp'!$A:$Z,25,0)</f>
        <v>#N/A</v>
      </c>
    </row>
    <row r="37" spans="2:22" x14ac:dyDescent="0.25">
      <c r="B37" s="4">
        <v>20005022</v>
      </c>
      <c r="C37" s="1" t="s">
        <v>1265</v>
      </c>
      <c r="D37" s="4" t="s">
        <v>89</v>
      </c>
      <c r="E37" s="3"/>
      <c r="F37" s="3" t="s">
        <v>69</v>
      </c>
      <c r="G37" s="4">
        <v>2</v>
      </c>
      <c r="H37" s="4">
        <v>2</v>
      </c>
      <c r="I37" s="4">
        <v>4</v>
      </c>
      <c r="J37" s="4" t="s">
        <v>8</v>
      </c>
      <c r="K37" s="4" t="s">
        <v>7</v>
      </c>
      <c r="L37" s="11"/>
      <c r="M37" s="3"/>
      <c r="N37"/>
      <c r="O37" s="4"/>
      <c r="P37" s="1"/>
      <c r="Q37" s="22"/>
      <c r="R37"/>
      <c r="S37" s="11"/>
      <c r="T37" s="4" t="s">
        <v>68</v>
      </c>
      <c r="U37" s="1" t="e">
        <f>VLOOKUP(data[[#This Row],[Material]],'[1]Hoja para mrp'!$A:$Z,26,0)</f>
        <v>#N/A</v>
      </c>
      <c r="V37" s="1" t="e">
        <f>VLOOKUP(data[[#This Row],[Material]],'[1]Hoja para mrp'!$A:$Z,25,0)</f>
        <v>#N/A</v>
      </c>
    </row>
    <row r="38" spans="2:22" x14ac:dyDescent="0.25">
      <c r="B38" s="4">
        <v>20007214</v>
      </c>
      <c r="C38" s="1" t="s">
        <v>145</v>
      </c>
      <c r="D38" s="4" t="s">
        <v>89</v>
      </c>
      <c r="E38" s="3" t="s">
        <v>90</v>
      </c>
      <c r="F38" s="3" t="s">
        <v>92</v>
      </c>
      <c r="G38" s="4">
        <v>7</v>
      </c>
      <c r="H38" s="4">
        <v>14</v>
      </c>
      <c r="I38" s="4">
        <v>5</v>
      </c>
      <c r="J38" s="4" t="s">
        <v>8</v>
      </c>
      <c r="K38" s="4" t="s">
        <v>9</v>
      </c>
      <c r="L38" s="11"/>
      <c r="M38" s="3"/>
      <c r="N38">
        <v>4502688401</v>
      </c>
      <c r="O38" s="4">
        <v>14</v>
      </c>
      <c r="P38" s="1" t="s">
        <v>1652</v>
      </c>
      <c r="Q38" s="22">
        <v>46203</v>
      </c>
      <c r="R38" t="s">
        <v>91</v>
      </c>
      <c r="S38" s="11"/>
      <c r="T38" s="4" t="s">
        <v>71</v>
      </c>
      <c r="U38" s="1" t="e">
        <f>VLOOKUP(data[[#This Row],[Material]],'[1]Hoja para mrp'!$A:$Z,26,0)</f>
        <v>#N/A</v>
      </c>
      <c r="V38" s="1" t="e">
        <f>VLOOKUP(data[[#This Row],[Material]],'[1]Hoja para mrp'!$A:$Z,25,0)</f>
        <v>#N/A</v>
      </c>
    </row>
    <row r="39" spans="2:22" x14ac:dyDescent="0.25">
      <c r="B39" s="4">
        <v>20005239</v>
      </c>
      <c r="C39" s="1" t="s">
        <v>107</v>
      </c>
      <c r="D39" s="4" t="s">
        <v>89</v>
      </c>
      <c r="E39" s="3" t="s">
        <v>100</v>
      </c>
      <c r="F39" s="3" t="s">
        <v>92</v>
      </c>
      <c r="G39" s="4">
        <v>13</v>
      </c>
      <c r="H39" s="4">
        <v>20</v>
      </c>
      <c r="I39" s="4">
        <v>124</v>
      </c>
      <c r="J39" s="4" t="s">
        <v>8</v>
      </c>
      <c r="K39" s="4" t="s">
        <v>14</v>
      </c>
      <c r="L39" s="11"/>
      <c r="M39" s="3"/>
      <c r="N39"/>
      <c r="O39" s="4"/>
      <c r="P39" s="1"/>
      <c r="Q39" s="22"/>
      <c r="R39" t="s">
        <v>101</v>
      </c>
      <c r="S39" s="11"/>
      <c r="T39" s="4" t="s">
        <v>71</v>
      </c>
      <c r="U39" s="1" t="e">
        <f>VLOOKUP(data[[#This Row],[Material]],'[1]Hoja para mrp'!$A:$Z,26,0)</f>
        <v>#N/A</v>
      </c>
      <c r="V39" s="1" t="e">
        <f>VLOOKUP(data[[#This Row],[Material]],'[1]Hoja para mrp'!$A:$Z,25,0)</f>
        <v>#N/A</v>
      </c>
    </row>
    <row r="40" spans="2:22" x14ac:dyDescent="0.25">
      <c r="B40" s="4">
        <v>20005070</v>
      </c>
      <c r="C40" s="1" t="s">
        <v>1452</v>
      </c>
      <c r="D40" s="4" t="s">
        <v>89</v>
      </c>
      <c r="E40" s="3"/>
      <c r="F40" s="3" t="s">
        <v>69</v>
      </c>
      <c r="G40" s="4">
        <v>5</v>
      </c>
      <c r="H40" s="4">
        <v>15</v>
      </c>
      <c r="I40" s="4">
        <v>19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68</v>
      </c>
      <c r="U40" s="1" t="e">
        <f>VLOOKUP(data[[#This Row],[Material]],'[1]Hoja para mrp'!$A:$Z,26,0)</f>
        <v>#N/A</v>
      </c>
      <c r="V40" s="1" t="e">
        <f>VLOOKUP(data[[#This Row],[Material]],'[1]Hoja para mrp'!$A:$Z,25,0)</f>
        <v>#N/A</v>
      </c>
    </row>
    <row r="41" spans="2:22" x14ac:dyDescent="0.25">
      <c r="B41" s="4">
        <v>20005074</v>
      </c>
      <c r="C41" s="1" t="s">
        <v>1237</v>
      </c>
      <c r="D41" s="4" t="s">
        <v>89</v>
      </c>
      <c r="E41" s="3"/>
      <c r="F41" s="3" t="s">
        <v>69</v>
      </c>
      <c r="G41" s="4">
        <v>100</v>
      </c>
      <c r="H41" s="4">
        <v>100</v>
      </c>
      <c r="I41" s="4">
        <v>200</v>
      </c>
      <c r="J41" s="4" t="s">
        <v>356</v>
      </c>
      <c r="K41" s="4" t="s">
        <v>7</v>
      </c>
      <c r="L41" s="11"/>
      <c r="M41" s="3"/>
      <c r="N41"/>
      <c r="O41" s="4"/>
      <c r="P41" s="1"/>
      <c r="Q41" s="22"/>
      <c r="R41"/>
      <c r="S41" s="11"/>
      <c r="T41" s="4" t="s">
        <v>68</v>
      </c>
      <c r="U41" s="1" t="e">
        <f>VLOOKUP(data[[#This Row],[Material]],'[1]Hoja para mrp'!$A:$Z,26,0)</f>
        <v>#N/A</v>
      </c>
      <c r="V41" s="1" t="e">
        <f>VLOOKUP(data[[#This Row],[Material]],'[1]Hoja para mrp'!$A:$Z,25,0)</f>
        <v>#N/A</v>
      </c>
    </row>
    <row r="42" spans="2:22" x14ac:dyDescent="0.25">
      <c r="B42" s="4">
        <v>20019901</v>
      </c>
      <c r="C42" s="1" t="s">
        <v>108</v>
      </c>
      <c r="D42" s="4" t="s">
        <v>89</v>
      </c>
      <c r="E42" s="3" t="s">
        <v>90</v>
      </c>
      <c r="F42" s="3" t="s">
        <v>92</v>
      </c>
      <c r="G42" s="4">
        <v>50</v>
      </c>
      <c r="H42" s="4">
        <v>30</v>
      </c>
      <c r="I42" s="4">
        <v>74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91</v>
      </c>
      <c r="S42" s="11"/>
      <c r="T42" s="4" t="s">
        <v>66</v>
      </c>
      <c r="U42" s="1" t="e">
        <f>VLOOKUP(data[[#This Row],[Material]],'[1]Hoja para mrp'!$A:$Z,26,0)</f>
        <v>#N/A</v>
      </c>
      <c r="V42" s="1" t="e">
        <f>VLOOKUP(data[[#This Row],[Material]],'[1]Hoja para mrp'!$A:$Z,25,0)</f>
        <v>#N/A</v>
      </c>
    </row>
    <row r="43" spans="2:22" x14ac:dyDescent="0.25">
      <c r="B43" s="4">
        <v>20005083</v>
      </c>
      <c r="C43" s="1" t="s">
        <v>1238</v>
      </c>
      <c r="D43" s="4" t="s">
        <v>89</v>
      </c>
      <c r="E43" s="3"/>
      <c r="F43" s="3" t="s">
        <v>69</v>
      </c>
      <c r="G43" s="4">
        <v>50</v>
      </c>
      <c r="H43" s="4">
        <v>100</v>
      </c>
      <c r="I43" s="4">
        <v>100</v>
      </c>
      <c r="J43" s="4" t="s">
        <v>356</v>
      </c>
      <c r="K43" s="4" t="s">
        <v>7</v>
      </c>
      <c r="L43" s="11"/>
      <c r="M43" s="3"/>
      <c r="N43"/>
      <c r="O43" s="4"/>
      <c r="P43" s="1"/>
      <c r="Q43" s="22"/>
      <c r="R43"/>
      <c r="S43" s="11"/>
      <c r="T43" s="4" t="s">
        <v>68</v>
      </c>
      <c r="U43" s="1" t="e">
        <f>VLOOKUP(data[[#This Row],[Material]],'[1]Hoja para mrp'!$A:$Z,26,0)</f>
        <v>#N/A</v>
      </c>
      <c r="V43" s="1" t="e">
        <f>VLOOKUP(data[[#This Row],[Material]],'[1]Hoja para mrp'!$A:$Z,25,0)</f>
        <v>#N/A</v>
      </c>
    </row>
    <row r="44" spans="2:22" x14ac:dyDescent="0.25">
      <c r="B44" s="4">
        <v>20005088</v>
      </c>
      <c r="C44" s="1" t="s">
        <v>1239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54</v>
      </c>
      <c r="J44" s="4" t="s">
        <v>8</v>
      </c>
      <c r="K44" s="4" t="s">
        <v>14</v>
      </c>
      <c r="L44" s="11">
        <v>1002660930</v>
      </c>
      <c r="M44" s="3">
        <v>4</v>
      </c>
      <c r="N44"/>
      <c r="O44" s="4"/>
      <c r="P44" s="1"/>
      <c r="Q44" s="22"/>
      <c r="R44"/>
      <c r="S44" s="11" t="s">
        <v>1588</v>
      </c>
      <c r="T44" s="4" t="s">
        <v>73</v>
      </c>
      <c r="U44" s="1" t="e">
        <f>VLOOKUP(data[[#This Row],[Material]],'[1]Hoja para mrp'!$A:$Z,26,0)</f>
        <v>#N/A</v>
      </c>
      <c r="V44" s="1" t="e">
        <f>VLOOKUP(data[[#This Row],[Material]],'[1]Hoja para mrp'!$A:$Z,25,0)</f>
        <v>#N/A</v>
      </c>
    </row>
    <row r="45" spans="2:22" x14ac:dyDescent="0.25">
      <c r="B45" s="4">
        <v>20005402</v>
      </c>
      <c r="C45" s="1" t="s">
        <v>109</v>
      </c>
      <c r="D45" s="4" t="s">
        <v>89</v>
      </c>
      <c r="E45" s="3" t="s">
        <v>90</v>
      </c>
      <c r="F45" s="3" t="s">
        <v>92</v>
      </c>
      <c r="G45" s="4">
        <v>2</v>
      </c>
      <c r="H45" s="4">
        <v>2</v>
      </c>
      <c r="I45" s="4">
        <v>3</v>
      </c>
      <c r="J45" s="4" t="s">
        <v>8</v>
      </c>
      <c r="K45" s="4" t="s">
        <v>7</v>
      </c>
      <c r="L45" s="11"/>
      <c r="M45" s="3"/>
      <c r="N45"/>
      <c r="O45" s="4"/>
      <c r="P45" s="1"/>
      <c r="Q45" s="22"/>
      <c r="R45" t="s">
        <v>91</v>
      </c>
      <c r="S45" s="11"/>
      <c r="T45" s="4" t="s">
        <v>66</v>
      </c>
      <c r="U45" s="1" t="e">
        <f>VLOOKUP(data[[#This Row],[Material]],'[1]Hoja para mrp'!$A:$Z,26,0)</f>
        <v>#N/A</v>
      </c>
      <c r="V45" s="1" t="e">
        <f>VLOOKUP(data[[#This Row],[Material]],'[1]Hoja para mrp'!$A:$Z,25,0)</f>
        <v>#N/A</v>
      </c>
    </row>
    <row r="46" spans="2:22" x14ac:dyDescent="0.25">
      <c r="B46" s="4">
        <v>20005106</v>
      </c>
      <c r="C46" s="1" t="s">
        <v>1240</v>
      </c>
      <c r="D46" s="4" t="s">
        <v>89</v>
      </c>
      <c r="E46" s="3"/>
      <c r="F46" s="3" t="s">
        <v>69</v>
      </c>
      <c r="G46" s="4">
        <v>2</v>
      </c>
      <c r="H46" s="4">
        <v>2</v>
      </c>
      <c r="I46" s="4">
        <v>2</v>
      </c>
      <c r="J46" s="4" t="s">
        <v>1241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68</v>
      </c>
      <c r="U46" s="1" t="e">
        <f>VLOOKUP(data[[#This Row],[Material]],'[1]Hoja para mrp'!$A:$Z,26,0)</f>
        <v>#N/A</v>
      </c>
      <c r="V46" s="1" t="e">
        <f>VLOOKUP(data[[#This Row],[Material]],'[1]Hoja para mrp'!$A:$Z,25,0)</f>
        <v>#N/A</v>
      </c>
    </row>
    <row r="47" spans="2:22" x14ac:dyDescent="0.25">
      <c r="B47" s="4">
        <v>20007923</v>
      </c>
      <c r="C47" s="1" t="s">
        <v>1380</v>
      </c>
      <c r="D47" s="4" t="s">
        <v>89</v>
      </c>
      <c r="E47" s="3"/>
      <c r="F47" s="3" t="s">
        <v>69</v>
      </c>
      <c r="G47" s="4">
        <v>10</v>
      </c>
      <c r="H47" s="4">
        <v>30</v>
      </c>
      <c r="I47" s="4">
        <v>6</v>
      </c>
      <c r="J47" s="4" t="s">
        <v>8</v>
      </c>
      <c r="K47" s="4" t="s">
        <v>9</v>
      </c>
      <c r="L47" s="11"/>
      <c r="M47" s="3"/>
      <c r="N47">
        <v>4502688506</v>
      </c>
      <c r="O47" s="4">
        <v>30</v>
      </c>
      <c r="P47" s="1" t="s">
        <v>1653</v>
      </c>
      <c r="Q47" s="22">
        <v>46209</v>
      </c>
      <c r="R47"/>
      <c r="S47" s="11"/>
      <c r="T47" s="4" t="s">
        <v>67</v>
      </c>
      <c r="U47" s="1" t="e">
        <f>VLOOKUP(data[[#This Row],[Material]],'[1]Hoja para mrp'!$A:$Z,26,0)</f>
        <v>#N/A</v>
      </c>
      <c r="V47" s="1" t="e">
        <f>VLOOKUP(data[[#This Row],[Material]],'[1]Hoja para mrp'!$A:$Z,25,0)</f>
        <v>#N/A</v>
      </c>
    </row>
    <row r="48" spans="2:22" x14ac:dyDescent="0.25">
      <c r="B48" s="4">
        <v>20005210</v>
      </c>
      <c r="C48" s="1" t="s">
        <v>1418</v>
      </c>
      <c r="D48" s="4" t="s">
        <v>89</v>
      </c>
      <c r="E48" s="3"/>
      <c r="F48" s="3" t="s">
        <v>69</v>
      </c>
      <c r="G48" s="4">
        <v>130</v>
      </c>
      <c r="H48" s="4">
        <v>200</v>
      </c>
      <c r="I48" s="4">
        <v>0</v>
      </c>
      <c r="J48" s="4" t="s">
        <v>24</v>
      </c>
      <c r="K48" s="4" t="s">
        <v>13</v>
      </c>
      <c r="L48" s="11">
        <v>1002667055</v>
      </c>
      <c r="M48" s="3">
        <v>200</v>
      </c>
      <c r="N48"/>
      <c r="O48" s="4"/>
      <c r="P48" s="1"/>
      <c r="Q48" s="22"/>
      <c r="R48"/>
      <c r="S48" s="11"/>
      <c r="T48" s="4" t="s">
        <v>68</v>
      </c>
      <c r="U48" s="1" t="e">
        <f>VLOOKUP(data[[#This Row],[Material]],'[1]Hoja para mrp'!$A:$Z,26,0)</f>
        <v>#N/A</v>
      </c>
      <c r="V48" s="1" t="e">
        <f>VLOOKUP(data[[#This Row],[Material]],'[1]Hoja para mrp'!$A:$Z,25,0)</f>
        <v>#N/A</v>
      </c>
    </row>
    <row r="49" spans="2:22" x14ac:dyDescent="0.25">
      <c r="B49" s="4">
        <v>20005414</v>
      </c>
      <c r="C49" s="1" t="s">
        <v>111</v>
      </c>
      <c r="D49" s="4" t="s">
        <v>89</v>
      </c>
      <c r="E49" s="3" t="s">
        <v>90</v>
      </c>
      <c r="F49" s="3" t="s">
        <v>92</v>
      </c>
      <c r="G49" s="4">
        <v>25</v>
      </c>
      <c r="H49" s="4">
        <v>50</v>
      </c>
      <c r="I49" s="4">
        <v>36</v>
      </c>
      <c r="J49" s="4" t="s">
        <v>24</v>
      </c>
      <c r="K49" s="4" t="s">
        <v>7</v>
      </c>
      <c r="L49" s="11"/>
      <c r="M49" s="3"/>
      <c r="N49"/>
      <c r="O49" s="4"/>
      <c r="P49" s="1"/>
      <c r="Q49" s="22"/>
      <c r="R49" t="s">
        <v>112</v>
      </c>
      <c r="S49" s="11"/>
      <c r="T49" s="4" t="s">
        <v>66</v>
      </c>
      <c r="U49" s="1" t="e">
        <f>VLOOKUP(data[[#This Row],[Material]],'[1]Hoja para mrp'!$A:$Z,26,0)</f>
        <v>#N/A</v>
      </c>
      <c r="V49" s="1" t="e">
        <f>VLOOKUP(data[[#This Row],[Material]],'[1]Hoja para mrp'!$A:$Z,25,0)</f>
        <v>#N/A</v>
      </c>
    </row>
    <row r="50" spans="2:22" x14ac:dyDescent="0.25">
      <c r="B50" s="4">
        <v>20005221</v>
      </c>
      <c r="C50" s="1" t="s">
        <v>1436</v>
      </c>
      <c r="D50" s="4" t="s">
        <v>89</v>
      </c>
      <c r="E50" s="3"/>
      <c r="F50" s="3" t="s">
        <v>69</v>
      </c>
      <c r="G50" s="4">
        <v>6</v>
      </c>
      <c r="H50" s="4">
        <v>10</v>
      </c>
      <c r="I50" s="4">
        <v>25</v>
      </c>
      <c r="J50" s="4" t="s">
        <v>8</v>
      </c>
      <c r="K50" s="4" t="s">
        <v>14</v>
      </c>
      <c r="L50" s="11"/>
      <c r="M50" s="3"/>
      <c r="N50"/>
      <c r="O50" s="4"/>
      <c r="P50" s="1"/>
      <c r="Q50" s="22"/>
      <c r="R50"/>
      <c r="S50" s="11"/>
      <c r="T50" s="4" t="s">
        <v>68</v>
      </c>
      <c r="U50" s="1" t="e">
        <f>VLOOKUP(data[[#This Row],[Material]],'[1]Hoja para mrp'!$A:$Z,26,0)</f>
        <v>#N/A</v>
      </c>
      <c r="V50" s="1" t="e">
        <f>VLOOKUP(data[[#This Row],[Material]],'[1]Hoja para mrp'!$A:$Z,25,0)</f>
        <v>#N/A</v>
      </c>
    </row>
    <row r="51" spans="2:22" x14ac:dyDescent="0.25">
      <c r="B51" s="4">
        <v>20005224</v>
      </c>
      <c r="C51" s="1" t="s">
        <v>1242</v>
      </c>
      <c r="D51" s="4" t="s">
        <v>89</v>
      </c>
      <c r="E51" s="3"/>
      <c r="F51" s="3" t="s">
        <v>69</v>
      </c>
      <c r="G51" s="4">
        <v>2</v>
      </c>
      <c r="H51" s="4">
        <v>2</v>
      </c>
      <c r="I51" s="4">
        <v>1</v>
      </c>
      <c r="J51" s="4" t="s">
        <v>8</v>
      </c>
      <c r="K51" s="4" t="s">
        <v>9</v>
      </c>
      <c r="L51" s="11">
        <v>1002637283</v>
      </c>
      <c r="M51" s="3">
        <v>2</v>
      </c>
      <c r="N51"/>
      <c r="O51" s="4"/>
      <c r="P51" s="1"/>
      <c r="Q51" s="22"/>
      <c r="R51"/>
      <c r="S51" s="11"/>
      <c r="T51" s="4" t="s">
        <v>68</v>
      </c>
      <c r="U51" s="1" t="e">
        <f>VLOOKUP(data[[#This Row],[Material]],'[1]Hoja para mrp'!$A:$Z,26,0)</f>
        <v>#N/A</v>
      </c>
      <c r="V51" s="1" t="e">
        <f>VLOOKUP(data[[#This Row],[Material]],'[1]Hoja para mrp'!$A:$Z,25,0)</f>
        <v>#N/A</v>
      </c>
    </row>
    <row r="52" spans="2:22" ht="14.45" customHeight="1" x14ac:dyDescent="0.25">
      <c r="B52" s="4">
        <v>20005460</v>
      </c>
      <c r="C52" s="1" t="s">
        <v>113</v>
      </c>
      <c r="D52" s="4" t="s">
        <v>89</v>
      </c>
      <c r="E52" s="3" t="s">
        <v>90</v>
      </c>
      <c r="F52" s="3" t="s">
        <v>92</v>
      </c>
      <c r="G52" s="4">
        <v>20</v>
      </c>
      <c r="H52" s="4">
        <v>20</v>
      </c>
      <c r="I52" s="4">
        <v>83</v>
      </c>
      <c r="J52" s="4" t="s">
        <v>24</v>
      </c>
      <c r="K52" s="4" t="s">
        <v>14</v>
      </c>
      <c r="L52" s="11"/>
      <c r="M52" s="3"/>
      <c r="N52"/>
      <c r="O52" s="4"/>
      <c r="P52" s="1"/>
      <c r="Q52" s="22"/>
      <c r="R52" t="s">
        <v>112</v>
      </c>
      <c r="S52" s="11"/>
      <c r="T52" s="4" t="s">
        <v>66</v>
      </c>
      <c r="U52" s="1" t="e">
        <f>VLOOKUP(data[[#This Row],[Material]],'[1]Hoja para mrp'!$A:$Z,26,0)</f>
        <v>#N/A</v>
      </c>
      <c r="V52" s="1" t="e">
        <f>VLOOKUP(data[[#This Row],[Material]],'[1]Hoja para mrp'!$A:$Z,25,0)</f>
        <v>#N/A</v>
      </c>
    </row>
    <row r="53" spans="2:22" ht="14.45" customHeight="1" x14ac:dyDescent="0.25">
      <c r="B53" s="4">
        <v>20005235</v>
      </c>
      <c r="C53" s="1" t="s">
        <v>1243</v>
      </c>
      <c r="D53" s="4" t="s">
        <v>89</v>
      </c>
      <c r="E53" s="3"/>
      <c r="F53" s="3" t="s">
        <v>69</v>
      </c>
      <c r="G53" s="4">
        <v>5</v>
      </c>
      <c r="H53" s="4">
        <v>10</v>
      </c>
      <c r="I53" s="4">
        <v>8</v>
      </c>
      <c r="J53" s="4" t="s">
        <v>1244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s="4" t="s">
        <v>68</v>
      </c>
      <c r="U53" s="1" t="e">
        <f>VLOOKUP(data[[#This Row],[Material]],'[1]Hoja para mrp'!$A:$Z,26,0)</f>
        <v>#N/A</v>
      </c>
      <c r="V53" s="1" t="e">
        <f>VLOOKUP(data[[#This Row],[Material]],'[1]Hoja para mrp'!$A:$Z,25,0)</f>
        <v>#N/A</v>
      </c>
    </row>
    <row r="54" spans="2:22" ht="14.45" customHeight="1" x14ac:dyDescent="0.25">
      <c r="B54" s="4">
        <v>20006115</v>
      </c>
      <c r="C54" s="1" t="s">
        <v>1221</v>
      </c>
      <c r="D54" s="4" t="s">
        <v>89</v>
      </c>
      <c r="E54" s="3"/>
      <c r="F54" s="3" t="s">
        <v>105</v>
      </c>
      <c r="G54" s="4">
        <v>200</v>
      </c>
      <c r="H54" s="4">
        <v>400</v>
      </c>
      <c r="I54" s="4">
        <v>600</v>
      </c>
      <c r="J54" s="4" t="s">
        <v>24</v>
      </c>
      <c r="K54" s="4" t="s">
        <v>7</v>
      </c>
      <c r="L54" s="11"/>
      <c r="M54" s="3"/>
      <c r="N54">
        <v>4502688510</v>
      </c>
      <c r="O54" s="4">
        <v>600</v>
      </c>
      <c r="P54" s="1" t="s">
        <v>1654</v>
      </c>
      <c r="Q54" s="22">
        <v>46216</v>
      </c>
      <c r="R54"/>
      <c r="S54" s="11"/>
      <c r="T54" s="4" t="s">
        <v>68</v>
      </c>
      <c r="U54" s="1" t="e">
        <f>VLOOKUP(data[[#This Row],[Material]],'[1]Hoja para mrp'!$A:$Z,26,0)</f>
        <v>#N/A</v>
      </c>
      <c r="V54" s="1" t="e">
        <f>VLOOKUP(data[[#This Row],[Material]],'[1]Hoja para mrp'!$A:$Z,25,0)</f>
        <v>#N/A</v>
      </c>
    </row>
    <row r="55" spans="2:22" ht="14.45" customHeight="1" x14ac:dyDescent="0.25">
      <c r="B55" s="4">
        <v>20005464</v>
      </c>
      <c r="C55" s="1" t="s">
        <v>114</v>
      </c>
      <c r="D55" s="4" t="s">
        <v>89</v>
      </c>
      <c r="E55" s="3" t="s">
        <v>90</v>
      </c>
      <c r="F55" s="3" t="s">
        <v>92</v>
      </c>
      <c r="G55" s="4">
        <v>20</v>
      </c>
      <c r="H55" s="4">
        <v>20</v>
      </c>
      <c r="I55" s="4">
        <v>25</v>
      </c>
      <c r="J55" s="4" t="s">
        <v>24</v>
      </c>
      <c r="K55" s="4" t="s">
        <v>7</v>
      </c>
      <c r="L55" s="11"/>
      <c r="M55" s="3"/>
      <c r="N55"/>
      <c r="O55" s="4"/>
      <c r="P55" s="1"/>
      <c r="Q55" s="22"/>
      <c r="R55" t="s">
        <v>112</v>
      </c>
      <c r="S55" s="11"/>
      <c r="T55" s="4" t="s">
        <v>66</v>
      </c>
      <c r="U55" s="1" t="e">
        <f>VLOOKUP(data[[#This Row],[Material]],'[1]Hoja para mrp'!$A:$Z,26,0)</f>
        <v>#N/A</v>
      </c>
      <c r="V55" s="1" t="e">
        <f>VLOOKUP(data[[#This Row],[Material]],'[1]Hoja para mrp'!$A:$Z,25,0)</f>
        <v>#N/A</v>
      </c>
    </row>
    <row r="56" spans="2:22" ht="14.45" customHeight="1" x14ac:dyDescent="0.25">
      <c r="B56" s="4">
        <v>20005258</v>
      </c>
      <c r="C56" s="1" t="s">
        <v>1409</v>
      </c>
      <c r="D56" s="4" t="s">
        <v>89</v>
      </c>
      <c r="E56" s="3"/>
      <c r="F56" s="3" t="s">
        <v>69</v>
      </c>
      <c r="G56" s="4">
        <v>10</v>
      </c>
      <c r="H56" s="4">
        <v>20</v>
      </c>
      <c r="I56" s="4">
        <v>42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68</v>
      </c>
      <c r="U56" s="1" t="e">
        <f>VLOOKUP(data[[#This Row],[Material]],'[1]Hoja para mrp'!$A:$Z,26,0)</f>
        <v>#N/A</v>
      </c>
      <c r="V56" s="1" t="e">
        <f>VLOOKUP(data[[#This Row],[Material]],'[1]Hoja para mrp'!$A:$Z,25,0)</f>
        <v>#N/A</v>
      </c>
    </row>
    <row r="57" spans="2:22" ht="14.45" customHeight="1" x14ac:dyDescent="0.25">
      <c r="B57" s="4">
        <v>20005259</v>
      </c>
      <c r="C57" s="1" t="s">
        <v>1245</v>
      </c>
      <c r="D57" s="4" t="s">
        <v>89</v>
      </c>
      <c r="E57" s="3"/>
      <c r="F57" s="3" t="s">
        <v>69</v>
      </c>
      <c r="G57" s="4">
        <v>2</v>
      </c>
      <c r="H57" s="4">
        <v>2</v>
      </c>
      <c r="I57" s="4">
        <v>6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68</v>
      </c>
      <c r="U57" s="1" t="e">
        <f>VLOOKUP(data[[#This Row],[Material]],'[1]Hoja para mrp'!$A:$Z,26,0)</f>
        <v>#N/A</v>
      </c>
      <c r="V57" s="1" t="e">
        <f>VLOOKUP(data[[#This Row],[Material]],'[1]Hoja para mrp'!$A:$Z,25,0)</f>
        <v>#N/A</v>
      </c>
    </row>
    <row r="58" spans="2:22" ht="14.45" customHeight="1" x14ac:dyDescent="0.25">
      <c r="B58" s="4">
        <v>20005498</v>
      </c>
      <c r="C58" s="1" t="s">
        <v>115</v>
      </c>
      <c r="D58" s="4" t="s">
        <v>89</v>
      </c>
      <c r="E58" s="3" t="s">
        <v>90</v>
      </c>
      <c r="F58" s="3" t="s">
        <v>92</v>
      </c>
      <c r="G58" s="4">
        <v>25</v>
      </c>
      <c r="H58" s="4">
        <v>50</v>
      </c>
      <c r="I58" s="4">
        <v>34</v>
      </c>
      <c r="J58" s="4" t="s">
        <v>24</v>
      </c>
      <c r="K58" s="4" t="s">
        <v>7</v>
      </c>
      <c r="L58" s="11"/>
      <c r="M58" s="3"/>
      <c r="N58"/>
      <c r="O58" s="4"/>
      <c r="P58" s="1"/>
      <c r="Q58" s="22"/>
      <c r="R58" t="s">
        <v>112</v>
      </c>
      <c r="S58" s="11"/>
      <c r="T58" s="4" t="s">
        <v>66</v>
      </c>
      <c r="U58" s="1" t="e">
        <f>VLOOKUP(data[[#This Row],[Material]],'[1]Hoja para mrp'!$A:$Z,26,0)</f>
        <v>#N/A</v>
      </c>
      <c r="V58" s="1" t="e">
        <f>VLOOKUP(data[[#This Row],[Material]],'[1]Hoja para mrp'!$A:$Z,25,0)</f>
        <v>#N/A</v>
      </c>
    </row>
    <row r="59" spans="2:22" ht="14.45" customHeight="1" x14ac:dyDescent="0.25">
      <c r="B59" s="4">
        <v>20005298</v>
      </c>
      <c r="C59" s="1" t="s">
        <v>1246</v>
      </c>
      <c r="D59" s="4" t="s">
        <v>89</v>
      </c>
      <c r="E59" s="3"/>
      <c r="F59" s="3" t="s">
        <v>69</v>
      </c>
      <c r="G59" s="4">
        <v>2</v>
      </c>
      <c r="H59" s="4">
        <v>10</v>
      </c>
      <c r="I59" s="4">
        <v>16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s="4" t="s">
        <v>68</v>
      </c>
      <c r="U59" s="1" t="e">
        <f>VLOOKUP(data[[#This Row],[Material]],'[1]Hoja para mrp'!$A:$Z,26,0)</f>
        <v>#N/A</v>
      </c>
      <c r="V59" s="1" t="e">
        <f>VLOOKUP(data[[#This Row],[Material]],'[1]Hoja para mrp'!$A:$Z,25,0)</f>
        <v>#N/A</v>
      </c>
    </row>
    <row r="60" spans="2:22" ht="14.45" customHeight="1" x14ac:dyDescent="0.25">
      <c r="B60" s="4">
        <v>20005318</v>
      </c>
      <c r="C60" s="1" t="s">
        <v>1453</v>
      </c>
      <c r="D60" s="4" t="s">
        <v>89</v>
      </c>
      <c r="E60" s="3"/>
      <c r="F60" s="3" t="s">
        <v>69</v>
      </c>
      <c r="G60" s="4">
        <v>5</v>
      </c>
      <c r="H60" s="4">
        <v>15</v>
      </c>
      <c r="I60" s="4">
        <v>30</v>
      </c>
      <c r="J60" s="4" t="s">
        <v>8</v>
      </c>
      <c r="K60" s="4" t="s">
        <v>14</v>
      </c>
      <c r="L60" s="11"/>
      <c r="M60" s="3"/>
      <c r="N60"/>
      <c r="O60" s="4"/>
      <c r="P60" s="1"/>
      <c r="Q60" s="22"/>
      <c r="R60"/>
      <c r="S60" s="11"/>
      <c r="T60" s="4" t="s">
        <v>68</v>
      </c>
      <c r="U60" s="1" t="e">
        <f>VLOOKUP(data[[#This Row],[Material]],'[1]Hoja para mrp'!$A:$Z,26,0)</f>
        <v>#N/A</v>
      </c>
      <c r="V60" s="1" t="e">
        <f>VLOOKUP(data[[#This Row],[Material]],'[1]Hoja para mrp'!$A:$Z,25,0)</f>
        <v>#N/A</v>
      </c>
    </row>
    <row r="61" spans="2:22" ht="14.45" customHeight="1" x14ac:dyDescent="0.25">
      <c r="B61" s="4">
        <v>20005877</v>
      </c>
      <c r="C61" s="1" t="s">
        <v>16</v>
      </c>
      <c r="D61" s="4" t="s">
        <v>89</v>
      </c>
      <c r="E61" s="3" t="s">
        <v>1641</v>
      </c>
      <c r="F61" s="3" t="s">
        <v>92</v>
      </c>
      <c r="G61" s="4">
        <v>72</v>
      </c>
      <c r="H61" s="4">
        <v>120</v>
      </c>
      <c r="I61" s="4">
        <v>141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 t="s">
        <v>116</v>
      </c>
      <c r="S61" s="11"/>
      <c r="T61" s="4" t="s">
        <v>70</v>
      </c>
      <c r="U61" s="1" t="e">
        <f>VLOOKUP(data[[#This Row],[Material]],'[1]Hoja para mrp'!$A:$Z,26,0)</f>
        <v>#N/A</v>
      </c>
      <c r="V61" s="1" t="e">
        <f>VLOOKUP(data[[#This Row],[Material]],'[1]Hoja para mrp'!$A:$Z,25,0)</f>
        <v>#N/A</v>
      </c>
    </row>
    <row r="62" spans="2:22" ht="14.45" customHeight="1" x14ac:dyDescent="0.25">
      <c r="B62" s="4">
        <v>20005324</v>
      </c>
      <c r="C62" s="1" t="s">
        <v>1247</v>
      </c>
      <c r="D62" s="4" t="s">
        <v>89</v>
      </c>
      <c r="E62" s="3"/>
      <c r="F62" s="3" t="s">
        <v>69</v>
      </c>
      <c r="G62" s="4">
        <v>3</v>
      </c>
      <c r="H62" s="4">
        <v>6</v>
      </c>
      <c r="I62" s="4">
        <v>1</v>
      </c>
      <c r="J62" s="4" t="s">
        <v>1244</v>
      </c>
      <c r="K62" s="4" t="s">
        <v>9</v>
      </c>
      <c r="L62" s="11" t="s">
        <v>1663</v>
      </c>
      <c r="M62" s="3">
        <v>6</v>
      </c>
      <c r="N62"/>
      <c r="O62" s="4"/>
      <c r="P62" s="1"/>
      <c r="Q62" s="22"/>
      <c r="R62"/>
      <c r="S62" s="11"/>
      <c r="T62" s="4" t="s">
        <v>71</v>
      </c>
      <c r="U62" s="1" t="e">
        <f>VLOOKUP(data[[#This Row],[Material]],'[1]Hoja para mrp'!$A:$Z,26,0)</f>
        <v>#N/A</v>
      </c>
      <c r="V62" s="1" t="e">
        <f>VLOOKUP(data[[#This Row],[Material]],'[1]Hoja para mrp'!$A:$Z,25,0)</f>
        <v>#N/A</v>
      </c>
    </row>
    <row r="63" spans="2:22" ht="14.45" customHeight="1" x14ac:dyDescent="0.25">
      <c r="B63" s="4">
        <v>20005325</v>
      </c>
      <c r="C63" s="1" t="s">
        <v>1248</v>
      </c>
      <c r="D63" s="4" t="s">
        <v>89</v>
      </c>
      <c r="E63" s="3"/>
      <c r="F63" s="3" t="s">
        <v>69</v>
      </c>
      <c r="G63" s="4">
        <v>5</v>
      </c>
      <c r="H63" s="4">
        <v>10</v>
      </c>
      <c r="I63" s="4">
        <v>10</v>
      </c>
      <c r="J63" s="4" t="s">
        <v>1244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s="4" t="s">
        <v>71</v>
      </c>
      <c r="U63" s="1" t="e">
        <f>VLOOKUP(data[[#This Row],[Material]],'[1]Hoja para mrp'!$A:$Z,26,0)</f>
        <v>#N/A</v>
      </c>
      <c r="V63" s="1" t="e">
        <f>VLOOKUP(data[[#This Row],[Material]],'[1]Hoja para mrp'!$A:$Z,25,0)</f>
        <v>#N/A</v>
      </c>
    </row>
    <row r="64" spans="2:22" ht="14.45" customHeight="1" x14ac:dyDescent="0.25">
      <c r="B64" s="4">
        <v>20005881</v>
      </c>
      <c r="C64" s="1" t="s">
        <v>117</v>
      </c>
      <c r="D64" s="4" t="s">
        <v>89</v>
      </c>
      <c r="E64" s="3" t="s">
        <v>118</v>
      </c>
      <c r="F64" s="3" t="s">
        <v>92</v>
      </c>
      <c r="G64" s="4">
        <v>15</v>
      </c>
      <c r="H64" s="4">
        <v>30</v>
      </c>
      <c r="I64" s="4">
        <v>23</v>
      </c>
      <c r="J64" s="4" t="s">
        <v>8</v>
      </c>
      <c r="K64" s="4" t="s">
        <v>7</v>
      </c>
      <c r="L64" s="11"/>
      <c r="M64" s="3"/>
      <c r="N64">
        <v>4502673375</v>
      </c>
      <c r="O64" s="4">
        <v>20</v>
      </c>
      <c r="P64" s="1" t="s">
        <v>22</v>
      </c>
      <c r="Q64" s="22">
        <v>46185</v>
      </c>
      <c r="R64" t="s">
        <v>119</v>
      </c>
      <c r="S64" s="11"/>
      <c r="T64" s="4" t="s">
        <v>68</v>
      </c>
      <c r="U64" s="1" t="e">
        <f>VLOOKUP(data[[#This Row],[Material]],'[1]Hoja para mrp'!$A:$Z,26,0)</f>
        <v>#N/A</v>
      </c>
      <c r="V64" s="1" t="e">
        <f>VLOOKUP(data[[#This Row],[Material]],'[1]Hoja para mrp'!$A:$Z,25,0)</f>
        <v>#N/A</v>
      </c>
    </row>
    <row r="65" spans="2:22" ht="14.45" customHeight="1" x14ac:dyDescent="0.25">
      <c r="B65" s="4">
        <v>20005329</v>
      </c>
      <c r="C65" s="1" t="s">
        <v>1249</v>
      </c>
      <c r="D65" s="4" t="s">
        <v>89</v>
      </c>
      <c r="E65" s="3"/>
      <c r="F65" s="3" t="s">
        <v>69</v>
      </c>
      <c r="G65" s="4">
        <v>2</v>
      </c>
      <c r="H65" s="4">
        <v>2</v>
      </c>
      <c r="I65" s="4">
        <v>24</v>
      </c>
      <c r="J65" s="4" t="s">
        <v>8</v>
      </c>
      <c r="K65" s="4" t="s">
        <v>14</v>
      </c>
      <c r="L65" s="11"/>
      <c r="M65" s="3"/>
      <c r="N65"/>
      <c r="O65" s="4"/>
      <c r="P65" s="1"/>
      <c r="Q65" s="22"/>
      <c r="R65"/>
      <c r="S65" s="11"/>
      <c r="T65" s="4" t="s">
        <v>70</v>
      </c>
      <c r="U65" s="1" t="e">
        <f>VLOOKUP(data[[#This Row],[Material]],'[1]Hoja para mrp'!$A:$Z,26,0)</f>
        <v>#N/A</v>
      </c>
      <c r="V65" s="1" t="e">
        <f>VLOOKUP(data[[#This Row],[Material]],'[1]Hoja para mrp'!$A:$Z,25,0)</f>
        <v>#N/A</v>
      </c>
    </row>
    <row r="66" spans="2:22" ht="14.45" customHeight="1" x14ac:dyDescent="0.25">
      <c r="B66" s="4">
        <v>20005883</v>
      </c>
      <c r="C66" s="1" t="s">
        <v>120</v>
      </c>
      <c r="D66" s="4" t="s">
        <v>89</v>
      </c>
      <c r="E66" s="3" t="s">
        <v>118</v>
      </c>
      <c r="F66" s="3" t="s">
        <v>92</v>
      </c>
      <c r="G66" s="4">
        <v>80</v>
      </c>
      <c r="H66" s="4">
        <v>80</v>
      </c>
      <c r="I66" s="4">
        <v>83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119</v>
      </c>
      <c r="S66" s="11" t="s">
        <v>1589</v>
      </c>
      <c r="T66" s="4" t="s">
        <v>70</v>
      </c>
      <c r="U66" s="1" t="e">
        <f>VLOOKUP(data[[#This Row],[Material]],'[1]Hoja para mrp'!$A:$Z,26,0)</f>
        <v>#N/A</v>
      </c>
      <c r="V66" s="1" t="e">
        <f>VLOOKUP(data[[#This Row],[Material]],'[1]Hoja para mrp'!$A:$Z,25,0)</f>
        <v>#N/A</v>
      </c>
    </row>
    <row r="67" spans="2:22" ht="14.45" customHeight="1" x14ac:dyDescent="0.25">
      <c r="B67" s="4">
        <v>20005923</v>
      </c>
      <c r="C67" s="1" t="s">
        <v>1217</v>
      </c>
      <c r="D67" s="4" t="s">
        <v>89</v>
      </c>
      <c r="E67" s="3" t="s">
        <v>1641</v>
      </c>
      <c r="F67" s="3" t="s">
        <v>92</v>
      </c>
      <c r="G67" s="4">
        <v>20</v>
      </c>
      <c r="H67" s="4">
        <v>20</v>
      </c>
      <c r="I67" s="4">
        <v>14</v>
      </c>
      <c r="J67" s="4" t="s">
        <v>8</v>
      </c>
      <c r="K67" s="4" t="s">
        <v>9</v>
      </c>
      <c r="L67" s="11"/>
      <c r="M67" s="3"/>
      <c r="N67">
        <v>4502687049</v>
      </c>
      <c r="O67" s="4">
        <v>20</v>
      </c>
      <c r="P67" s="1" t="s">
        <v>22</v>
      </c>
      <c r="Q67" s="22">
        <v>46205</v>
      </c>
      <c r="R67" t="s">
        <v>116</v>
      </c>
      <c r="S67" s="11"/>
      <c r="T67" s="4" t="s">
        <v>70</v>
      </c>
      <c r="U67" s="1" t="e">
        <f>VLOOKUP(data[[#This Row],[Material]],'[1]Hoja para mrp'!$A:$Z,26,0)</f>
        <v>#N/A</v>
      </c>
      <c r="V67" s="1" t="e">
        <f>VLOOKUP(data[[#This Row],[Material]],'[1]Hoja para mrp'!$A:$Z,25,0)</f>
        <v>#N/A</v>
      </c>
    </row>
    <row r="68" spans="2:22" ht="14.45" customHeight="1" x14ac:dyDescent="0.25">
      <c r="B68" s="4">
        <v>20005456</v>
      </c>
      <c r="C68" s="1" t="s">
        <v>360</v>
      </c>
      <c r="D68" s="4" t="s">
        <v>89</v>
      </c>
      <c r="E68" s="3"/>
      <c r="F68" s="3" t="s">
        <v>69</v>
      </c>
      <c r="G68" s="4">
        <v>25</v>
      </c>
      <c r="H68" s="4">
        <v>50</v>
      </c>
      <c r="I68" s="4">
        <v>46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66</v>
      </c>
      <c r="U68" s="1" t="e">
        <f>VLOOKUP(data[[#This Row],[Material]],'[1]Hoja para mrp'!$A:$Z,26,0)</f>
        <v>#N/A</v>
      </c>
      <c r="V68" s="1" t="e">
        <f>VLOOKUP(data[[#This Row],[Material]],'[1]Hoja para mrp'!$A:$Z,25,0)</f>
        <v>#N/A</v>
      </c>
    </row>
    <row r="69" spans="2:22" ht="14.45" customHeight="1" x14ac:dyDescent="0.25">
      <c r="B69" s="4">
        <v>20005942</v>
      </c>
      <c r="C69" s="1" t="s">
        <v>1376</v>
      </c>
      <c r="D69" s="4" t="s">
        <v>89</v>
      </c>
      <c r="E69" s="3" t="s">
        <v>121</v>
      </c>
      <c r="F69" s="3" t="s">
        <v>92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122</v>
      </c>
      <c r="S69" s="11"/>
      <c r="T69" s="4" t="s">
        <v>68</v>
      </c>
      <c r="U69" s="1" t="e">
        <f>VLOOKUP(data[[#This Row],[Material]],'[1]Hoja para mrp'!$A:$Z,26,0)</f>
        <v>#N/A</v>
      </c>
      <c r="V69" s="1" t="e">
        <f>VLOOKUP(data[[#This Row],[Material]],'[1]Hoja para mrp'!$A:$Z,25,0)</f>
        <v>#N/A</v>
      </c>
    </row>
    <row r="70" spans="2:22" ht="14.45" customHeight="1" x14ac:dyDescent="0.25">
      <c r="B70" s="4">
        <v>20005485</v>
      </c>
      <c r="C70" s="1" t="s">
        <v>359</v>
      </c>
      <c r="D70" s="4" t="s">
        <v>89</v>
      </c>
      <c r="E70" s="3"/>
      <c r="F70" s="3" t="s">
        <v>69</v>
      </c>
      <c r="G70" s="4">
        <v>40</v>
      </c>
      <c r="H70" s="4">
        <v>20</v>
      </c>
      <c r="I70" s="4">
        <v>40</v>
      </c>
      <c r="J70" s="4" t="s">
        <v>24</v>
      </c>
      <c r="K70" s="4" t="s">
        <v>7</v>
      </c>
      <c r="L70" s="69"/>
      <c r="M70" s="3"/>
      <c r="N70"/>
      <c r="O70" s="4"/>
      <c r="P70" s="1"/>
      <c r="Q70" s="22"/>
      <c r="R70"/>
      <c r="S70" s="11"/>
      <c r="T70" s="4" t="s">
        <v>66</v>
      </c>
      <c r="U70" s="1" t="e">
        <f>VLOOKUP(data[[#This Row],[Material]],'[1]Hoja para mrp'!$A:$Z,26,0)</f>
        <v>#N/A</v>
      </c>
      <c r="V70" s="1" t="e">
        <f>VLOOKUP(data[[#This Row],[Material]],'[1]Hoja para mrp'!$A:$Z,25,0)</f>
        <v>#N/A</v>
      </c>
    </row>
    <row r="71" spans="2:22" x14ac:dyDescent="0.25">
      <c r="B71" s="4">
        <v>20005494</v>
      </c>
      <c r="C71" s="1" t="s">
        <v>361</v>
      </c>
      <c r="D71" s="4" t="s">
        <v>89</v>
      </c>
      <c r="E71" s="3"/>
      <c r="F71" s="3" t="s">
        <v>69</v>
      </c>
      <c r="G71" s="4">
        <v>25</v>
      </c>
      <c r="H71" s="4">
        <v>50</v>
      </c>
      <c r="I71" s="4">
        <v>28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 t="e">
        <f>VLOOKUP(data[[#This Row],[Material]],'[1]Hoja para mrp'!$A:$Z,26,0)</f>
        <v>#N/A</v>
      </c>
      <c r="V71" s="1" t="e">
        <f>VLOOKUP(data[[#This Row],[Material]],'[1]Hoja para mrp'!$A:$Z,25,0)</f>
        <v>#N/A</v>
      </c>
    </row>
    <row r="72" spans="2:22" x14ac:dyDescent="0.25">
      <c r="B72" s="4">
        <v>20005496</v>
      </c>
      <c r="C72" s="1" t="s">
        <v>358</v>
      </c>
      <c r="D72" s="4" t="s">
        <v>89</v>
      </c>
      <c r="E72" s="3"/>
      <c r="F72" s="3" t="s">
        <v>69</v>
      </c>
      <c r="G72" s="4">
        <v>40</v>
      </c>
      <c r="H72" s="4">
        <v>100</v>
      </c>
      <c r="I72" s="4">
        <v>78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66</v>
      </c>
      <c r="U72" s="1" t="e">
        <f>VLOOKUP(data[[#This Row],[Material]],'[1]Hoja para mrp'!$A:$Z,26,0)</f>
        <v>#N/A</v>
      </c>
      <c r="V72" s="1" t="e">
        <f>VLOOKUP(data[[#This Row],[Material]],'[1]Hoja para mrp'!$A:$Z,25,0)</f>
        <v>#N/A</v>
      </c>
    </row>
    <row r="73" spans="2:22" x14ac:dyDescent="0.25">
      <c r="B73" s="4">
        <v>20005954</v>
      </c>
      <c r="C73" s="1" t="s">
        <v>1341</v>
      </c>
      <c r="D73" s="4" t="s">
        <v>89</v>
      </c>
      <c r="E73" s="3" t="s">
        <v>94</v>
      </c>
      <c r="F73" s="3" t="s">
        <v>92</v>
      </c>
      <c r="G73" s="4">
        <v>1166</v>
      </c>
      <c r="H73" s="4">
        <v>2300</v>
      </c>
      <c r="I73" s="4">
        <v>1200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95</v>
      </c>
      <c r="S73" s="11"/>
      <c r="T73" s="4" t="s">
        <v>71</v>
      </c>
      <c r="U73" s="1" t="e">
        <f>VLOOKUP(data[[#This Row],[Material]],'[1]Hoja para mrp'!$A:$Z,26,0)</f>
        <v>#N/A</v>
      </c>
      <c r="V73" s="1" t="e">
        <f>VLOOKUP(data[[#This Row],[Material]],'[1]Hoja para mrp'!$A:$Z,25,0)</f>
        <v>#N/A</v>
      </c>
    </row>
    <row r="74" spans="2:22" x14ac:dyDescent="0.25">
      <c r="B74" s="4">
        <v>20005497</v>
      </c>
      <c r="C74" s="1" t="s">
        <v>362</v>
      </c>
      <c r="D74" s="4" t="s">
        <v>89</v>
      </c>
      <c r="E74" s="3"/>
      <c r="F74" s="3" t="s">
        <v>69</v>
      </c>
      <c r="G74" s="4">
        <v>25</v>
      </c>
      <c r="H74" s="4">
        <v>50</v>
      </c>
      <c r="I74" s="4">
        <v>40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66</v>
      </c>
      <c r="U74" s="1" t="e">
        <f>VLOOKUP(data[[#This Row],[Material]],'[1]Hoja para mrp'!$A:$Z,26,0)</f>
        <v>#N/A</v>
      </c>
      <c r="V74" s="1" t="e">
        <f>VLOOKUP(data[[#This Row],[Material]],'[1]Hoja para mrp'!$A:$Z,25,0)</f>
        <v>#N/A</v>
      </c>
    </row>
    <row r="75" spans="2:22" x14ac:dyDescent="0.25">
      <c r="B75" s="4">
        <v>20005986</v>
      </c>
      <c r="C75" s="1" t="s">
        <v>123</v>
      </c>
      <c r="D75" s="4" t="s">
        <v>89</v>
      </c>
      <c r="E75" s="3" t="s">
        <v>118</v>
      </c>
      <c r="F75" s="3" t="s">
        <v>92</v>
      </c>
      <c r="G75" s="4">
        <v>10</v>
      </c>
      <c r="H75" s="4">
        <v>10</v>
      </c>
      <c r="I75" s="4">
        <v>8</v>
      </c>
      <c r="J75" s="4" t="s">
        <v>8</v>
      </c>
      <c r="K75" s="4" t="s">
        <v>9</v>
      </c>
      <c r="L75" s="11" t="s">
        <v>1664</v>
      </c>
      <c r="M75" s="3">
        <v>10</v>
      </c>
      <c r="N75"/>
      <c r="O75" s="4"/>
      <c r="P75" s="1"/>
      <c r="Q75" s="22"/>
      <c r="R75" t="s">
        <v>119</v>
      </c>
      <c r="S75" s="11"/>
      <c r="T75" s="4" t="s">
        <v>70</v>
      </c>
      <c r="U75" s="1" t="e">
        <f>VLOOKUP(data[[#This Row],[Material]],'[1]Hoja para mrp'!$A:$Z,26,0)</f>
        <v>#N/A</v>
      </c>
      <c r="V75" s="1" t="e">
        <f>VLOOKUP(data[[#This Row],[Material]],'[1]Hoja para mrp'!$A:$Z,25,0)</f>
        <v>#N/A</v>
      </c>
    </row>
    <row r="76" spans="2:22" x14ac:dyDescent="0.25">
      <c r="B76" s="4">
        <v>20005513</v>
      </c>
      <c r="C76" s="1" t="s">
        <v>1426</v>
      </c>
      <c r="D76" s="4" t="s">
        <v>89</v>
      </c>
      <c r="E76" s="3"/>
      <c r="F76" s="3" t="s">
        <v>69</v>
      </c>
      <c r="G76" s="4">
        <v>10</v>
      </c>
      <c r="H76" s="4">
        <v>10</v>
      </c>
      <c r="I76" s="4">
        <v>15</v>
      </c>
      <c r="J76" s="4" t="s">
        <v>24</v>
      </c>
      <c r="K76" s="4" t="s">
        <v>7</v>
      </c>
      <c r="L76" s="11"/>
      <c r="M76" s="3"/>
      <c r="N76"/>
      <c r="O76" s="4"/>
      <c r="P76" s="1"/>
      <c r="Q76" s="22"/>
      <c r="R76"/>
      <c r="S76" s="11"/>
      <c r="T76" s="4" t="s">
        <v>66</v>
      </c>
      <c r="U76" s="1" t="e">
        <f>VLOOKUP(data[[#This Row],[Material]],'[1]Hoja para mrp'!$A:$Z,26,0)</f>
        <v>#N/A</v>
      </c>
      <c r="V76" s="1" t="e">
        <f>VLOOKUP(data[[#This Row],[Material]],'[1]Hoja para mrp'!$A:$Z,25,0)</f>
        <v>#N/A</v>
      </c>
    </row>
    <row r="77" spans="2:22" x14ac:dyDescent="0.25">
      <c r="B77" s="4">
        <v>20005575</v>
      </c>
      <c r="C77" s="1" t="s">
        <v>1438</v>
      </c>
      <c r="D77" s="4" t="s">
        <v>89</v>
      </c>
      <c r="E77" s="3"/>
      <c r="F77" s="3" t="s">
        <v>69</v>
      </c>
      <c r="G77" s="4">
        <v>4</v>
      </c>
      <c r="H77" s="4">
        <v>10</v>
      </c>
      <c r="I77" s="4">
        <v>8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68</v>
      </c>
      <c r="U77" s="1" t="e">
        <f>VLOOKUP(data[[#This Row],[Material]],'[1]Hoja para mrp'!$A:$Z,26,0)</f>
        <v>#N/A</v>
      </c>
      <c r="V77" s="1" t="e">
        <f>VLOOKUP(data[[#This Row],[Material]],'[1]Hoja para mrp'!$A:$Z,25,0)</f>
        <v>#N/A</v>
      </c>
    </row>
    <row r="78" spans="2:22" x14ac:dyDescent="0.25">
      <c r="B78" s="4">
        <v>20014660</v>
      </c>
      <c r="C78" s="1" t="s">
        <v>124</v>
      </c>
      <c r="D78" s="4" t="s">
        <v>89</v>
      </c>
      <c r="E78" s="3" t="s">
        <v>1641</v>
      </c>
      <c r="F78" s="3" t="s">
        <v>92</v>
      </c>
      <c r="G78" s="4">
        <v>14</v>
      </c>
      <c r="H78" s="4">
        <v>20</v>
      </c>
      <c r="I78" s="4">
        <v>14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 t="s">
        <v>116</v>
      </c>
      <c r="S78" s="11"/>
      <c r="T78" s="4" t="s">
        <v>66</v>
      </c>
      <c r="U78" s="1" t="e">
        <f>VLOOKUP(data[[#This Row],[Material]],'[1]Hoja para mrp'!$A:$Z,26,0)</f>
        <v>#N/A</v>
      </c>
      <c r="V78" s="1" t="e">
        <f>VLOOKUP(data[[#This Row],[Material]],'[1]Hoja para mrp'!$A:$Z,25,0)</f>
        <v>#N/A</v>
      </c>
    </row>
    <row r="79" spans="2:22" x14ac:dyDescent="0.25">
      <c r="B79" s="4">
        <v>20005576</v>
      </c>
      <c r="C79" s="1" t="s">
        <v>1439</v>
      </c>
      <c r="D79" s="4" t="s">
        <v>89</v>
      </c>
      <c r="E79" s="3"/>
      <c r="F79" s="3" t="s">
        <v>69</v>
      </c>
      <c r="G79" s="4">
        <v>2</v>
      </c>
      <c r="H79" s="4">
        <v>4</v>
      </c>
      <c r="I79" s="4">
        <v>6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66</v>
      </c>
      <c r="U79" s="1" t="e">
        <f>VLOOKUP(data[[#This Row],[Material]],'[1]Hoja para mrp'!$A:$Z,26,0)</f>
        <v>#N/A</v>
      </c>
      <c r="V79" s="1" t="e">
        <f>VLOOKUP(data[[#This Row],[Material]],'[1]Hoja para mrp'!$A:$Z,25,0)</f>
        <v>#N/A</v>
      </c>
    </row>
    <row r="80" spans="2:22" x14ac:dyDescent="0.25">
      <c r="B80" s="4">
        <v>20005577</v>
      </c>
      <c r="C80" s="1" t="s">
        <v>1440</v>
      </c>
      <c r="D80" s="4" t="s">
        <v>89</v>
      </c>
      <c r="E80" s="3"/>
      <c r="F80" s="3" t="s">
        <v>69</v>
      </c>
      <c r="G80" s="4">
        <v>3</v>
      </c>
      <c r="H80" s="4">
        <v>6</v>
      </c>
      <c r="I80" s="4">
        <v>2</v>
      </c>
      <c r="J80" s="4" t="s">
        <v>8</v>
      </c>
      <c r="K80" s="4" t="s">
        <v>9</v>
      </c>
      <c r="L80" s="11" t="s">
        <v>1665</v>
      </c>
      <c r="M80" s="3">
        <v>6</v>
      </c>
      <c r="N80"/>
      <c r="O80" s="4"/>
      <c r="P80" s="1"/>
      <c r="Q80" s="22"/>
      <c r="R80"/>
      <c r="S80" s="11"/>
      <c r="T80" s="4" t="s">
        <v>68</v>
      </c>
      <c r="U80" s="1" t="e">
        <f>VLOOKUP(data[[#This Row],[Material]],'[1]Hoja para mrp'!$A:$Z,26,0)</f>
        <v>#N/A</v>
      </c>
      <c r="V80" s="1" t="e">
        <f>VLOOKUP(data[[#This Row],[Material]],'[1]Hoja para mrp'!$A:$Z,25,0)</f>
        <v>#N/A</v>
      </c>
    </row>
    <row r="81" spans="2:22" x14ac:dyDescent="0.25">
      <c r="B81" s="4">
        <v>20006108</v>
      </c>
      <c r="C81" s="1" t="s">
        <v>125</v>
      </c>
      <c r="D81" s="4" t="s">
        <v>89</v>
      </c>
      <c r="E81" s="3" t="s">
        <v>1641</v>
      </c>
      <c r="F81" s="3" t="s">
        <v>92</v>
      </c>
      <c r="G81" s="4">
        <v>20</v>
      </c>
      <c r="H81" s="4">
        <v>30</v>
      </c>
      <c r="I81" s="4">
        <v>39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66</v>
      </c>
      <c r="U81" s="1" t="e">
        <f>VLOOKUP(data[[#This Row],[Material]],'[1]Hoja para mrp'!$A:$Z,26,0)</f>
        <v>#N/A</v>
      </c>
      <c r="V81" s="1" t="e">
        <f>VLOOKUP(data[[#This Row],[Material]],'[1]Hoja para mrp'!$A:$Z,25,0)</f>
        <v>#N/A</v>
      </c>
    </row>
    <row r="82" spans="2:22" x14ac:dyDescent="0.25">
      <c r="B82" s="4">
        <v>20005749</v>
      </c>
      <c r="C82" s="1" t="s">
        <v>1116</v>
      </c>
      <c r="D82" s="4" t="s">
        <v>89</v>
      </c>
      <c r="E82" s="3"/>
      <c r="F82" s="3" t="s">
        <v>69</v>
      </c>
      <c r="G82" s="4">
        <v>10</v>
      </c>
      <c r="H82" s="4">
        <v>50</v>
      </c>
      <c r="I82" s="4">
        <v>50</v>
      </c>
      <c r="J82" s="4" t="s">
        <v>24</v>
      </c>
      <c r="K82" s="4" t="s">
        <v>7</v>
      </c>
      <c r="L82" s="11"/>
      <c r="M82" s="3"/>
      <c r="N82"/>
      <c r="O82" s="4"/>
      <c r="P82" s="1"/>
      <c r="Q82" s="22"/>
      <c r="R82"/>
      <c r="S82" s="11"/>
      <c r="T82" s="4" t="s">
        <v>66</v>
      </c>
      <c r="U82" s="1" t="e">
        <f>VLOOKUP(data[[#This Row],[Material]],'[1]Hoja para mrp'!$A:$Z,26,0)</f>
        <v>#N/A</v>
      </c>
      <c r="V82" s="1" t="e">
        <f>VLOOKUP(data[[#This Row],[Material]],'[1]Hoja para mrp'!$A:$Z,25,0)</f>
        <v>#N/A</v>
      </c>
    </row>
    <row r="83" spans="2:22" x14ac:dyDescent="0.25">
      <c r="B83" s="4">
        <v>20009103</v>
      </c>
      <c r="C83" s="1" t="s">
        <v>32</v>
      </c>
      <c r="D83" s="4" t="s">
        <v>89</v>
      </c>
      <c r="E83" s="3" t="s">
        <v>1641</v>
      </c>
      <c r="F83" s="3" t="s">
        <v>92</v>
      </c>
      <c r="G83" s="4">
        <v>80</v>
      </c>
      <c r="H83" s="4">
        <v>100</v>
      </c>
      <c r="I83" s="4">
        <v>122</v>
      </c>
      <c r="J83" s="4" t="s">
        <v>8</v>
      </c>
      <c r="K83" s="4" t="s">
        <v>7</v>
      </c>
      <c r="L83" s="11"/>
      <c r="M83" s="3"/>
      <c r="N83">
        <v>4502687337</v>
      </c>
      <c r="O83" s="4">
        <v>400</v>
      </c>
      <c r="P83" s="1" t="s">
        <v>1649</v>
      </c>
      <c r="Q83" s="22">
        <v>46207</v>
      </c>
      <c r="R83" t="s">
        <v>116</v>
      </c>
      <c r="S83" s="11"/>
      <c r="T83" s="4" t="s">
        <v>66</v>
      </c>
      <c r="U83" s="1" t="e">
        <f>VLOOKUP(data[[#This Row],[Material]],'[1]Hoja para mrp'!$A:$Z,26,0)</f>
        <v>#N/A</v>
      </c>
      <c r="V83" s="1" t="e">
        <f>VLOOKUP(data[[#This Row],[Material]],'[1]Hoja para mrp'!$A:$Z,25,0)</f>
        <v>#N/A</v>
      </c>
    </row>
    <row r="84" spans="2:22" x14ac:dyDescent="0.25">
      <c r="B84" s="4">
        <v>20006109</v>
      </c>
      <c r="C84" s="1" t="s">
        <v>26</v>
      </c>
      <c r="D84" s="4" t="s">
        <v>89</v>
      </c>
      <c r="E84" s="3" t="s">
        <v>1641</v>
      </c>
      <c r="F84" s="3" t="s">
        <v>92</v>
      </c>
      <c r="G84" s="4">
        <v>24</v>
      </c>
      <c r="H84" s="4">
        <v>48</v>
      </c>
      <c r="I84" s="4">
        <v>36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116</v>
      </c>
      <c r="S84" s="11"/>
      <c r="T84" s="4" t="s">
        <v>66</v>
      </c>
      <c r="U84" s="1" t="e">
        <f>VLOOKUP(data[[#This Row],[Material]],'[1]Hoja para mrp'!$A:$Z,26,0)</f>
        <v>#N/A</v>
      </c>
      <c r="V84" s="1" t="e">
        <f>VLOOKUP(data[[#This Row],[Material]],'[1]Hoja para mrp'!$A:$Z,25,0)</f>
        <v>#N/A</v>
      </c>
    </row>
    <row r="85" spans="2:22" x14ac:dyDescent="0.25">
      <c r="B85" s="4">
        <v>20005899</v>
      </c>
      <c r="C85" s="1" t="s">
        <v>1457</v>
      </c>
      <c r="D85" s="4" t="s">
        <v>89</v>
      </c>
      <c r="E85" s="3"/>
      <c r="F85" s="3" t="s">
        <v>69</v>
      </c>
      <c r="G85" s="4">
        <v>5</v>
      </c>
      <c r="H85" s="4">
        <v>10</v>
      </c>
      <c r="I85" s="4">
        <v>10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/>
      <c r="S85" s="11"/>
      <c r="T85" s="4" t="s">
        <v>70</v>
      </c>
      <c r="U85" s="1" t="e">
        <f>VLOOKUP(data[[#This Row],[Material]],'[1]Hoja para mrp'!$A:$Z,26,0)</f>
        <v>#N/A</v>
      </c>
      <c r="V85" s="1" t="e">
        <f>VLOOKUP(data[[#This Row],[Material]],'[1]Hoja para mrp'!$A:$Z,25,0)</f>
        <v>#N/A</v>
      </c>
    </row>
    <row r="86" spans="2:22" x14ac:dyDescent="0.25">
      <c r="B86" s="4">
        <v>20012260</v>
      </c>
      <c r="C86" s="1" t="s">
        <v>34</v>
      </c>
      <c r="D86" s="4" t="s">
        <v>89</v>
      </c>
      <c r="E86" s="3" t="s">
        <v>1641</v>
      </c>
      <c r="F86" s="3" t="s">
        <v>92</v>
      </c>
      <c r="G86" s="4">
        <v>25</v>
      </c>
      <c r="H86" s="4">
        <v>50</v>
      </c>
      <c r="I86" s="4">
        <v>35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116</v>
      </c>
      <c r="S86" s="11"/>
      <c r="T86" s="4" t="s">
        <v>66</v>
      </c>
      <c r="U86" s="1" t="e">
        <f>VLOOKUP(data[[#This Row],[Material]],'[1]Hoja para mrp'!$A:$Z,26,0)</f>
        <v>#N/A</v>
      </c>
      <c r="V86" s="1" t="e">
        <f>VLOOKUP(data[[#This Row],[Material]],'[1]Hoja para mrp'!$A:$Z,25,0)</f>
        <v>#N/A</v>
      </c>
    </row>
    <row r="87" spans="2:22" x14ac:dyDescent="0.25">
      <c r="B87" s="4">
        <v>20006153</v>
      </c>
      <c r="C87" s="1" t="s">
        <v>1220</v>
      </c>
      <c r="D87" s="4" t="s">
        <v>89</v>
      </c>
      <c r="E87" s="3" t="s">
        <v>1641</v>
      </c>
      <c r="F87" s="3" t="s">
        <v>92</v>
      </c>
      <c r="G87" s="4">
        <v>550</v>
      </c>
      <c r="H87" s="4">
        <v>900</v>
      </c>
      <c r="I87" s="4">
        <v>315</v>
      </c>
      <c r="J87" s="4" t="s">
        <v>24</v>
      </c>
      <c r="K87" s="4" t="s">
        <v>9</v>
      </c>
      <c r="L87" s="11"/>
      <c r="M87" s="3"/>
      <c r="N87">
        <v>4502684794</v>
      </c>
      <c r="O87" s="4">
        <v>1200</v>
      </c>
      <c r="P87" s="1" t="s">
        <v>1566</v>
      </c>
      <c r="Q87" s="22">
        <v>46188</v>
      </c>
      <c r="R87" t="s">
        <v>116</v>
      </c>
      <c r="S87" s="11"/>
      <c r="T87" s="4" t="s">
        <v>71</v>
      </c>
      <c r="U87" s="1" t="e">
        <f>VLOOKUP(data[[#This Row],[Material]],'[1]Hoja para mrp'!$A:$Z,26,0)</f>
        <v>#N/A</v>
      </c>
      <c r="V87" s="1" t="e">
        <f>VLOOKUP(data[[#This Row],[Material]],'[1]Hoja para mrp'!$A:$Z,25,0)</f>
        <v>#N/A</v>
      </c>
    </row>
    <row r="88" spans="2:22" x14ac:dyDescent="0.25">
      <c r="B88" s="4">
        <v>20006114</v>
      </c>
      <c r="C88" s="1" t="s">
        <v>126</v>
      </c>
      <c r="D88" s="4" t="s">
        <v>89</v>
      </c>
      <c r="E88" s="3" t="s">
        <v>1641</v>
      </c>
      <c r="F88" s="3" t="s">
        <v>92</v>
      </c>
      <c r="G88" s="4">
        <v>6</v>
      </c>
      <c r="H88" s="4">
        <v>24</v>
      </c>
      <c r="I88" s="4">
        <v>14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116</v>
      </c>
      <c r="S88" s="11"/>
      <c r="T88" s="4" t="s">
        <v>68</v>
      </c>
      <c r="U88" s="1" t="e">
        <f>VLOOKUP(data[[#This Row],[Material]],'[1]Hoja para mrp'!$A:$Z,26,0)</f>
        <v>#N/A</v>
      </c>
      <c r="V88" s="1" t="e">
        <f>VLOOKUP(data[[#This Row],[Material]],'[1]Hoja para mrp'!$A:$Z,25,0)</f>
        <v>#N/A</v>
      </c>
    </row>
    <row r="89" spans="2:22" x14ac:dyDescent="0.25">
      <c r="B89" s="4">
        <v>20005974</v>
      </c>
      <c r="C89" s="1" t="s">
        <v>1267</v>
      </c>
      <c r="D89" s="4" t="s">
        <v>89</v>
      </c>
      <c r="E89" s="3"/>
      <c r="F89" s="3" t="s">
        <v>69</v>
      </c>
      <c r="G89" s="4">
        <v>5</v>
      </c>
      <c r="H89" s="4">
        <v>10</v>
      </c>
      <c r="I89" s="4">
        <v>8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/>
      <c r="S89" s="11"/>
      <c r="T89" s="4" t="s">
        <v>68</v>
      </c>
      <c r="U89" s="1" t="e">
        <f>VLOOKUP(data[[#This Row],[Material]],'[1]Hoja para mrp'!$A:$Z,26,0)</f>
        <v>#N/A</v>
      </c>
      <c r="V89" s="1" t="e">
        <f>VLOOKUP(data[[#This Row],[Material]],'[1]Hoja para mrp'!$A:$Z,25,0)</f>
        <v>#N/A</v>
      </c>
    </row>
    <row r="90" spans="2:22" x14ac:dyDescent="0.25">
      <c r="B90" s="4">
        <v>20006120</v>
      </c>
      <c r="C90" s="1" t="s">
        <v>127</v>
      </c>
      <c r="D90" s="4" t="s">
        <v>89</v>
      </c>
      <c r="E90" s="3" t="s">
        <v>1641</v>
      </c>
      <c r="F90" s="3" t="s">
        <v>92</v>
      </c>
      <c r="G90" s="4">
        <v>72</v>
      </c>
      <c r="H90" s="4">
        <v>72</v>
      </c>
      <c r="I90" s="4">
        <v>72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116</v>
      </c>
      <c r="S90" s="11"/>
      <c r="T90" s="4" t="s">
        <v>68</v>
      </c>
      <c r="U90" s="1" t="e">
        <f>VLOOKUP(data[[#This Row],[Material]],'[1]Hoja para mrp'!$A:$Z,26,0)</f>
        <v>#N/A</v>
      </c>
      <c r="V90" s="1" t="e">
        <f>VLOOKUP(data[[#This Row],[Material]],'[1]Hoja para mrp'!$A:$Z,25,0)</f>
        <v>#N/A</v>
      </c>
    </row>
    <row r="91" spans="2:22" x14ac:dyDescent="0.25">
      <c r="B91" s="4">
        <v>20011841</v>
      </c>
      <c r="C91" s="1" t="s">
        <v>128</v>
      </c>
      <c r="D91" s="4" t="s">
        <v>89</v>
      </c>
      <c r="E91" s="3" t="s">
        <v>90</v>
      </c>
      <c r="F91" s="3" t="s">
        <v>92</v>
      </c>
      <c r="G91" s="4">
        <v>325</v>
      </c>
      <c r="H91" s="4">
        <v>378</v>
      </c>
      <c r="I91" s="4">
        <v>270</v>
      </c>
      <c r="J91" s="4" t="s">
        <v>24</v>
      </c>
      <c r="K91" s="4" t="s">
        <v>9</v>
      </c>
      <c r="L91" s="11">
        <v>1002637281</v>
      </c>
      <c r="M91" s="3">
        <v>378</v>
      </c>
      <c r="N91"/>
      <c r="O91" s="4"/>
      <c r="P91" s="1"/>
      <c r="Q91" s="22"/>
      <c r="R91" t="s">
        <v>91</v>
      </c>
      <c r="S91" s="11"/>
      <c r="T91" s="4" t="s">
        <v>73</v>
      </c>
      <c r="U91" s="1" t="e">
        <f>VLOOKUP(data[[#This Row],[Material]],'[1]Hoja para mrp'!$A:$Z,26,0)</f>
        <v>#N/A</v>
      </c>
      <c r="V91" s="1" t="e">
        <f>VLOOKUP(data[[#This Row],[Material]],'[1]Hoja para mrp'!$A:$Z,25,0)</f>
        <v>#N/A</v>
      </c>
    </row>
    <row r="92" spans="2:22" x14ac:dyDescent="0.25">
      <c r="B92" s="4">
        <v>20006144</v>
      </c>
      <c r="C92" s="1" t="s">
        <v>1218</v>
      </c>
      <c r="D92" s="4" t="s">
        <v>89</v>
      </c>
      <c r="E92" s="3" t="s">
        <v>90</v>
      </c>
      <c r="F92" s="3" t="s">
        <v>92</v>
      </c>
      <c r="G92" s="4">
        <v>96</v>
      </c>
      <c r="H92" s="4">
        <v>60</v>
      </c>
      <c r="I92" s="4">
        <v>108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91</v>
      </c>
      <c r="S92" s="11"/>
      <c r="T92" s="4" t="s">
        <v>67</v>
      </c>
      <c r="U92" s="1" t="e">
        <f>VLOOKUP(data[[#This Row],[Material]],'[1]Hoja para mrp'!$A:$Z,26,0)</f>
        <v>#N/A</v>
      </c>
      <c r="V92" s="1" t="e">
        <f>VLOOKUP(data[[#This Row],[Material]],'[1]Hoja para mrp'!$A:$Z,25,0)</f>
        <v>#N/A</v>
      </c>
    </row>
    <row r="93" spans="2:22" x14ac:dyDescent="0.25">
      <c r="B93" s="4">
        <v>20006145</v>
      </c>
      <c r="C93" s="1" t="s">
        <v>129</v>
      </c>
      <c r="D93" s="4" t="s">
        <v>89</v>
      </c>
      <c r="E93" s="3" t="s">
        <v>90</v>
      </c>
      <c r="F93" s="3" t="s">
        <v>92</v>
      </c>
      <c r="G93" s="4">
        <v>60</v>
      </c>
      <c r="H93" s="4">
        <v>60</v>
      </c>
      <c r="I93" s="4">
        <v>113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 t="s">
        <v>91</v>
      </c>
      <c r="S93" s="11"/>
      <c r="T93" s="4" t="s">
        <v>68</v>
      </c>
      <c r="U93" s="1" t="e">
        <f>VLOOKUP(data[[#This Row],[Material]],'[1]Hoja para mrp'!$A:$Z,26,0)</f>
        <v>#N/A</v>
      </c>
      <c r="V93" s="1" t="e">
        <f>VLOOKUP(data[[#This Row],[Material]],'[1]Hoja para mrp'!$A:$Z,25,0)</f>
        <v>#N/A</v>
      </c>
    </row>
    <row r="94" spans="2:22" x14ac:dyDescent="0.25">
      <c r="B94" s="4">
        <v>20006158</v>
      </c>
      <c r="C94" s="1" t="s">
        <v>130</v>
      </c>
      <c r="D94" s="4" t="s">
        <v>89</v>
      </c>
      <c r="E94" s="3" t="s">
        <v>1641</v>
      </c>
      <c r="F94" s="3" t="s">
        <v>92</v>
      </c>
      <c r="G94" s="4">
        <v>50</v>
      </c>
      <c r="H94" s="4">
        <v>50</v>
      </c>
      <c r="I94" s="4">
        <v>42</v>
      </c>
      <c r="J94" s="4" t="s">
        <v>8</v>
      </c>
      <c r="K94" s="4" t="s">
        <v>9</v>
      </c>
      <c r="L94" s="11">
        <v>1002660931</v>
      </c>
      <c r="M94" s="3">
        <v>50</v>
      </c>
      <c r="N94"/>
      <c r="O94" s="4"/>
      <c r="P94" s="1"/>
      <c r="Q94" s="22"/>
      <c r="R94" t="s">
        <v>116</v>
      </c>
      <c r="S94" s="11"/>
      <c r="T94" s="4" t="s">
        <v>68</v>
      </c>
      <c r="U94" s="1" t="e">
        <f>VLOOKUP(data[[#This Row],[Material]],'[1]Hoja para mrp'!$A:$Z,26,0)</f>
        <v>#N/A</v>
      </c>
      <c r="V94" s="1" t="e">
        <f>VLOOKUP(data[[#This Row],[Material]],'[1]Hoja para mrp'!$A:$Z,25,0)</f>
        <v>#N/A</v>
      </c>
    </row>
    <row r="95" spans="2:22" x14ac:dyDescent="0.25">
      <c r="B95" s="4">
        <v>20006156</v>
      </c>
      <c r="C95" s="1" t="s">
        <v>1437</v>
      </c>
      <c r="D95" s="4" t="s">
        <v>89</v>
      </c>
      <c r="E95" s="3"/>
      <c r="F95" s="3" t="s">
        <v>69</v>
      </c>
      <c r="G95" s="4">
        <v>10</v>
      </c>
      <c r="H95" s="4">
        <v>10</v>
      </c>
      <c r="I95" s="4">
        <v>24</v>
      </c>
      <c r="J95" s="4" t="s">
        <v>8</v>
      </c>
      <c r="K95" s="4" t="s">
        <v>14</v>
      </c>
      <c r="L95" s="11"/>
      <c r="M95" s="3"/>
      <c r="N95"/>
      <c r="O95" s="4"/>
      <c r="P95" s="1"/>
      <c r="Q95" s="22"/>
      <c r="R95"/>
      <c r="S95" s="11"/>
      <c r="T95" s="4" t="s">
        <v>71</v>
      </c>
      <c r="U95" s="1" t="e">
        <f>VLOOKUP(data[[#This Row],[Material]],'[1]Hoja para mrp'!$A:$Z,26,0)</f>
        <v>#N/A</v>
      </c>
      <c r="V95" s="1" t="e">
        <f>VLOOKUP(data[[#This Row],[Material]],'[1]Hoja para mrp'!$A:$Z,25,0)</f>
        <v>#N/A</v>
      </c>
    </row>
    <row r="96" spans="2:22" x14ac:dyDescent="0.25">
      <c r="B96" s="4">
        <v>20006165</v>
      </c>
      <c r="C96" s="1" t="s">
        <v>131</v>
      </c>
      <c r="D96" s="4" t="s">
        <v>89</v>
      </c>
      <c r="E96" s="3" t="s">
        <v>132</v>
      </c>
      <c r="F96" s="3" t="s">
        <v>92</v>
      </c>
      <c r="G96" s="4">
        <v>400</v>
      </c>
      <c r="H96" s="4">
        <v>400</v>
      </c>
      <c r="I96" s="4">
        <v>800</v>
      </c>
      <c r="J96" s="4" t="s">
        <v>24</v>
      </c>
      <c r="K96" s="4" t="s">
        <v>7</v>
      </c>
      <c r="L96" s="11"/>
      <c r="M96" s="3"/>
      <c r="N96"/>
      <c r="O96" s="4"/>
      <c r="P96" s="1"/>
      <c r="Q96" s="22"/>
      <c r="R96" t="s">
        <v>133</v>
      </c>
      <c r="S96" s="11"/>
      <c r="T96" s="4" t="s">
        <v>68</v>
      </c>
      <c r="U96" s="1" t="e">
        <f>VLOOKUP(data[[#This Row],[Material]],'[1]Hoja para mrp'!$A:$Z,26,0)</f>
        <v>#N/A</v>
      </c>
      <c r="V96" s="1" t="e">
        <f>VLOOKUP(data[[#This Row],[Material]],'[1]Hoja para mrp'!$A:$Z,25,0)</f>
        <v>#N/A</v>
      </c>
    </row>
    <row r="97" spans="2:22" x14ac:dyDescent="0.25">
      <c r="B97" s="4">
        <v>20006551</v>
      </c>
      <c r="C97" s="1" t="s">
        <v>134</v>
      </c>
      <c r="D97" s="4" t="s">
        <v>89</v>
      </c>
      <c r="E97" s="3" t="s">
        <v>1641</v>
      </c>
      <c r="F97" s="3" t="s">
        <v>92</v>
      </c>
      <c r="G97" s="4">
        <v>80</v>
      </c>
      <c r="H97" s="4">
        <v>80</v>
      </c>
      <c r="I97" s="4">
        <v>80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116</v>
      </c>
      <c r="S97" s="11"/>
      <c r="T97" s="4" t="s">
        <v>66</v>
      </c>
      <c r="U97" s="1" t="e">
        <f>VLOOKUP(data[[#This Row],[Material]],'[1]Hoja para mrp'!$A:$Z,26,0)</f>
        <v>#N/A</v>
      </c>
      <c r="V97" s="1" t="e">
        <f>VLOOKUP(data[[#This Row],[Material]],'[1]Hoja para mrp'!$A:$Z,25,0)</f>
        <v>#N/A</v>
      </c>
    </row>
    <row r="98" spans="2:22" x14ac:dyDescent="0.25">
      <c r="B98" s="4">
        <v>20006694</v>
      </c>
      <c r="C98" s="1" t="s">
        <v>135</v>
      </c>
      <c r="D98" s="4" t="s">
        <v>89</v>
      </c>
      <c r="E98" s="3" t="s">
        <v>1641</v>
      </c>
      <c r="F98" s="3" t="s">
        <v>92</v>
      </c>
      <c r="G98" s="4">
        <v>150</v>
      </c>
      <c r="H98" s="4">
        <v>250</v>
      </c>
      <c r="I98" s="4">
        <v>233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116</v>
      </c>
      <c r="S98" s="11"/>
      <c r="T98" s="4" t="s">
        <v>66</v>
      </c>
      <c r="U98" s="1" t="e">
        <f>VLOOKUP(data[[#This Row],[Material]],'[1]Hoja para mrp'!$A:$Z,26,0)</f>
        <v>#N/A</v>
      </c>
      <c r="V98" s="1" t="e">
        <f>VLOOKUP(data[[#This Row],[Material]],'[1]Hoja para mrp'!$A:$Z,25,0)</f>
        <v>#N/A</v>
      </c>
    </row>
    <row r="99" spans="2:22" x14ac:dyDescent="0.25">
      <c r="B99" s="4">
        <v>20006588</v>
      </c>
      <c r="C99" s="1" t="s">
        <v>1368</v>
      </c>
      <c r="D99" s="4" t="s">
        <v>89</v>
      </c>
      <c r="E99" s="3"/>
      <c r="F99" s="3" t="s">
        <v>69</v>
      </c>
      <c r="G99" s="4">
        <v>2</v>
      </c>
      <c r="H99" s="4">
        <v>2</v>
      </c>
      <c r="I99" s="4">
        <v>5</v>
      </c>
      <c r="J99" s="4" t="s">
        <v>8</v>
      </c>
      <c r="K99" s="4" t="s">
        <v>14</v>
      </c>
      <c r="L99" s="11"/>
      <c r="M99" s="3"/>
      <c r="N99"/>
      <c r="O99" s="4"/>
      <c r="P99" s="1"/>
      <c r="Q99" s="22"/>
      <c r="R99"/>
      <c r="S99" s="11"/>
      <c r="T99" s="4" t="s">
        <v>66</v>
      </c>
      <c r="U99" s="1" t="e">
        <f>VLOOKUP(data[[#This Row],[Material]],'[1]Hoja para mrp'!$A:$Z,26,0)</f>
        <v>#N/A</v>
      </c>
      <c r="V99" s="1" t="e">
        <f>VLOOKUP(data[[#This Row],[Material]],'[1]Hoja para mrp'!$A:$Z,25,0)</f>
        <v>#N/A</v>
      </c>
    </row>
    <row r="100" spans="2:22" x14ac:dyDescent="0.25">
      <c r="B100" s="4">
        <v>20006695</v>
      </c>
      <c r="C100" s="1" t="s">
        <v>136</v>
      </c>
      <c r="D100" s="4" t="s">
        <v>89</v>
      </c>
      <c r="E100" s="3" t="s">
        <v>1641</v>
      </c>
      <c r="F100" s="3" t="s">
        <v>92</v>
      </c>
      <c r="G100" s="4">
        <v>150</v>
      </c>
      <c r="H100" s="4">
        <v>250</v>
      </c>
      <c r="I100" s="4">
        <v>153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116</v>
      </c>
      <c r="S100" s="11"/>
      <c r="T100" s="4" t="s">
        <v>66</v>
      </c>
      <c r="U100" s="1" t="e">
        <f>VLOOKUP(data[[#This Row],[Material]],'[1]Hoja para mrp'!$A:$Z,26,0)</f>
        <v>#N/A</v>
      </c>
      <c r="V100" s="1" t="e">
        <f>VLOOKUP(data[[#This Row],[Material]],'[1]Hoja para mrp'!$A:$Z,25,0)</f>
        <v>#N/A</v>
      </c>
    </row>
    <row r="101" spans="2:22" x14ac:dyDescent="0.25">
      <c r="B101" s="4">
        <v>20006647</v>
      </c>
      <c r="C101" s="1" t="s">
        <v>363</v>
      </c>
      <c r="D101" s="4" t="s">
        <v>89</v>
      </c>
      <c r="E101" s="3"/>
      <c r="F101" s="3" t="s">
        <v>69</v>
      </c>
      <c r="G101" s="4">
        <v>30</v>
      </c>
      <c r="H101" s="4">
        <v>50</v>
      </c>
      <c r="I101" s="4">
        <v>30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66</v>
      </c>
      <c r="U101" s="1" t="e">
        <f>VLOOKUP(data[[#This Row],[Material]],'[1]Hoja para mrp'!$A:$Z,26,0)</f>
        <v>#N/A</v>
      </c>
      <c r="V101" s="1" t="e">
        <f>VLOOKUP(data[[#This Row],[Material]],'[1]Hoja para mrp'!$A:$Z,25,0)</f>
        <v>#N/A</v>
      </c>
    </row>
    <row r="102" spans="2:22" x14ac:dyDescent="0.25">
      <c r="B102" s="4">
        <v>20006952</v>
      </c>
      <c r="C102" s="1" t="s">
        <v>137</v>
      </c>
      <c r="D102" s="4" t="s">
        <v>89</v>
      </c>
      <c r="E102" s="3" t="s">
        <v>1641</v>
      </c>
      <c r="F102" s="3" t="s">
        <v>92</v>
      </c>
      <c r="G102" s="4">
        <v>4</v>
      </c>
      <c r="H102" s="4">
        <v>8</v>
      </c>
      <c r="I102" s="4">
        <v>12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116</v>
      </c>
      <c r="S102" s="11"/>
      <c r="T102" s="4" t="s">
        <v>66</v>
      </c>
      <c r="U102" s="1" t="e">
        <f>VLOOKUP(data[[#This Row],[Material]],'[1]Hoja para mrp'!$A:$Z,26,0)</f>
        <v>#N/A</v>
      </c>
      <c r="V102" s="1" t="e">
        <f>VLOOKUP(data[[#This Row],[Material]],'[1]Hoja para mrp'!$A:$Z,25,0)</f>
        <v>#N/A</v>
      </c>
    </row>
    <row r="103" spans="2:22" x14ac:dyDescent="0.25">
      <c r="B103" s="4">
        <v>20006648</v>
      </c>
      <c r="C103" s="1" t="s">
        <v>1328</v>
      </c>
      <c r="D103" s="4" t="s">
        <v>89</v>
      </c>
      <c r="E103" s="3"/>
      <c r="F103" s="3" t="s">
        <v>69</v>
      </c>
      <c r="G103" s="4">
        <v>20</v>
      </c>
      <c r="H103" s="4">
        <v>40</v>
      </c>
      <c r="I103" s="4">
        <v>37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s="4" t="s">
        <v>66</v>
      </c>
      <c r="U103" s="1" t="e">
        <f>VLOOKUP(data[[#This Row],[Material]],'[1]Hoja para mrp'!$A:$Z,26,0)</f>
        <v>#N/A</v>
      </c>
      <c r="V103" s="1" t="e">
        <f>VLOOKUP(data[[#This Row],[Material]],'[1]Hoja para mrp'!$A:$Z,25,0)</f>
        <v>#N/A</v>
      </c>
    </row>
    <row r="104" spans="2:22" x14ac:dyDescent="0.25">
      <c r="B104" s="4">
        <v>20006650</v>
      </c>
      <c r="C104" s="1" t="s">
        <v>1225</v>
      </c>
      <c r="D104" s="4" t="s">
        <v>89</v>
      </c>
      <c r="E104" s="3"/>
      <c r="F104" s="3" t="s">
        <v>69</v>
      </c>
      <c r="G104" s="4">
        <v>30</v>
      </c>
      <c r="H104" s="4">
        <v>40</v>
      </c>
      <c r="I104" s="4">
        <v>45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/>
      <c r="S104" s="11"/>
      <c r="T104" s="4" t="s">
        <v>66</v>
      </c>
      <c r="U104" s="1" t="e">
        <f>VLOOKUP(data[[#This Row],[Material]],'[1]Hoja para mrp'!$A:$Z,26,0)</f>
        <v>#N/A</v>
      </c>
      <c r="V104" s="1" t="e">
        <f>VLOOKUP(data[[#This Row],[Material]],'[1]Hoja para mrp'!$A:$Z,25,0)</f>
        <v>#N/A</v>
      </c>
    </row>
    <row r="105" spans="2:22" x14ac:dyDescent="0.25">
      <c r="B105" s="4">
        <v>20007185</v>
      </c>
      <c r="C105" s="1" t="s">
        <v>138</v>
      </c>
      <c r="D105" s="4" t="s">
        <v>89</v>
      </c>
      <c r="E105" s="3" t="s">
        <v>90</v>
      </c>
      <c r="F105" s="3" t="s">
        <v>92</v>
      </c>
      <c r="G105" s="4">
        <v>30</v>
      </c>
      <c r="H105" s="4">
        <v>10</v>
      </c>
      <c r="I105" s="4">
        <v>28</v>
      </c>
      <c r="J105" s="4" t="s">
        <v>8</v>
      </c>
      <c r="K105" s="4" t="s">
        <v>9</v>
      </c>
      <c r="L105" s="11" t="s">
        <v>1666</v>
      </c>
      <c r="M105" s="3">
        <v>10</v>
      </c>
      <c r="N105"/>
      <c r="O105" s="4"/>
      <c r="P105" s="1"/>
      <c r="Q105" s="22"/>
      <c r="R105" t="s">
        <v>91</v>
      </c>
      <c r="S105" s="11"/>
      <c r="T105" s="4" t="s">
        <v>73</v>
      </c>
      <c r="U105" s="1" t="e">
        <f>VLOOKUP(data[[#This Row],[Material]],'[1]Hoja para mrp'!$A:$Z,26,0)</f>
        <v>#N/A</v>
      </c>
      <c r="V105" s="1" t="e">
        <f>VLOOKUP(data[[#This Row],[Material]],'[1]Hoja para mrp'!$A:$Z,25,0)</f>
        <v>#N/A</v>
      </c>
    </row>
    <row r="106" spans="2:22" x14ac:dyDescent="0.25">
      <c r="B106" s="4">
        <v>20007186</v>
      </c>
      <c r="C106" s="1" t="s">
        <v>139</v>
      </c>
      <c r="D106" s="4" t="s">
        <v>89</v>
      </c>
      <c r="E106" s="3" t="s">
        <v>90</v>
      </c>
      <c r="F106" s="3" t="s">
        <v>92</v>
      </c>
      <c r="G106" s="4">
        <v>20</v>
      </c>
      <c r="H106" s="4">
        <v>20</v>
      </c>
      <c r="I106" s="4">
        <v>33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91</v>
      </c>
      <c r="S106" s="11"/>
      <c r="T106" s="4" t="s">
        <v>73</v>
      </c>
      <c r="U106" s="1" t="e">
        <f>VLOOKUP(data[[#This Row],[Material]],'[1]Hoja para mrp'!$A:$Z,26,0)</f>
        <v>#N/A</v>
      </c>
      <c r="V106" s="1" t="e">
        <f>VLOOKUP(data[[#This Row],[Material]],'[1]Hoja para mrp'!$A:$Z,25,0)</f>
        <v>#N/A</v>
      </c>
    </row>
    <row r="107" spans="2:22" x14ac:dyDescent="0.25">
      <c r="B107" s="4">
        <v>20007008</v>
      </c>
      <c r="C107" s="1" t="s">
        <v>1065</v>
      </c>
      <c r="D107" s="4" t="s">
        <v>89</v>
      </c>
      <c r="E107" s="3"/>
      <c r="F107" s="3" t="s">
        <v>69</v>
      </c>
      <c r="G107" s="4">
        <v>8</v>
      </c>
      <c r="H107" s="4">
        <v>2</v>
      </c>
      <c r="I107" s="4">
        <v>8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73</v>
      </c>
      <c r="U107" s="1" t="e">
        <f>VLOOKUP(data[[#This Row],[Material]],'[1]Hoja para mrp'!$A:$Z,26,0)</f>
        <v>#N/A</v>
      </c>
      <c r="V107" s="1" t="e">
        <f>VLOOKUP(data[[#This Row],[Material]],'[1]Hoja para mrp'!$A:$Z,25,0)</f>
        <v>#N/A</v>
      </c>
    </row>
    <row r="108" spans="2:22" x14ac:dyDescent="0.25">
      <c r="B108" s="4">
        <v>20007189</v>
      </c>
      <c r="C108" s="1" t="s">
        <v>140</v>
      </c>
      <c r="D108" s="4" t="s">
        <v>89</v>
      </c>
      <c r="E108" s="3" t="s">
        <v>90</v>
      </c>
      <c r="F108" s="3" t="s">
        <v>92</v>
      </c>
      <c r="G108" s="4">
        <v>8</v>
      </c>
      <c r="H108" s="4">
        <v>8</v>
      </c>
      <c r="I108" s="4">
        <v>11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91</v>
      </c>
      <c r="S108" s="11"/>
      <c r="T108" s="4" t="s">
        <v>73</v>
      </c>
      <c r="U108" s="1" t="e">
        <f>VLOOKUP(data[[#This Row],[Material]],'[1]Hoja para mrp'!$A:$Z,26,0)</f>
        <v>#N/A</v>
      </c>
      <c r="V108" s="1" t="e">
        <f>VLOOKUP(data[[#This Row],[Material]],'[1]Hoja para mrp'!$A:$Z,25,0)</f>
        <v>#N/A</v>
      </c>
    </row>
    <row r="109" spans="2:22" x14ac:dyDescent="0.25">
      <c r="B109" s="4">
        <v>20007010</v>
      </c>
      <c r="C109" s="1" t="s">
        <v>1066</v>
      </c>
      <c r="D109" s="4" t="s">
        <v>89</v>
      </c>
      <c r="E109" s="3"/>
      <c r="F109" s="3" t="s">
        <v>69</v>
      </c>
      <c r="G109" s="4">
        <v>5</v>
      </c>
      <c r="H109" s="4">
        <v>5</v>
      </c>
      <c r="I109" s="4">
        <v>6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73</v>
      </c>
      <c r="U109" s="1" t="e">
        <f>VLOOKUP(data[[#This Row],[Material]],'[1]Hoja para mrp'!$A:$Z,26,0)</f>
        <v>#N/A</v>
      </c>
      <c r="V109" s="1" t="e">
        <f>VLOOKUP(data[[#This Row],[Material]],'[1]Hoja para mrp'!$A:$Z,25,0)</f>
        <v>#N/A</v>
      </c>
    </row>
    <row r="110" spans="2:22" x14ac:dyDescent="0.25">
      <c r="B110" s="4">
        <v>20007011</v>
      </c>
      <c r="C110" s="1" t="s">
        <v>1067</v>
      </c>
      <c r="D110" s="4" t="s">
        <v>89</v>
      </c>
      <c r="E110" s="3"/>
      <c r="F110" s="3" t="s">
        <v>69</v>
      </c>
      <c r="G110" s="4">
        <v>8</v>
      </c>
      <c r="H110" s="4">
        <v>2</v>
      </c>
      <c r="I110" s="4">
        <v>9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73</v>
      </c>
      <c r="U110" s="1" t="e">
        <f>VLOOKUP(data[[#This Row],[Material]],'[1]Hoja para mrp'!$A:$Z,26,0)</f>
        <v>#N/A</v>
      </c>
      <c r="V110" s="1" t="e">
        <f>VLOOKUP(data[[#This Row],[Material]],'[1]Hoja para mrp'!$A:$Z,25,0)</f>
        <v>#N/A</v>
      </c>
    </row>
    <row r="111" spans="2:22" x14ac:dyDescent="0.25">
      <c r="B111" s="4">
        <v>20008355</v>
      </c>
      <c r="C111" s="1" t="s">
        <v>30</v>
      </c>
      <c r="D111" s="4" t="s">
        <v>89</v>
      </c>
      <c r="E111" s="3" t="s">
        <v>141</v>
      </c>
      <c r="F111" s="3" t="s">
        <v>92</v>
      </c>
      <c r="G111" s="4">
        <v>2000</v>
      </c>
      <c r="H111" s="4">
        <v>3000</v>
      </c>
      <c r="I111" s="4">
        <v>2300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 t="s">
        <v>142</v>
      </c>
      <c r="S111" s="11"/>
      <c r="T111" s="4" t="s">
        <v>67</v>
      </c>
      <c r="U111" s="1" t="e">
        <f>VLOOKUP(data[[#This Row],[Material]],'[1]Hoja para mrp'!$A:$Z,26,0)</f>
        <v>#N/A</v>
      </c>
      <c r="V111" s="1" t="e">
        <f>VLOOKUP(data[[#This Row],[Material]],'[1]Hoja para mrp'!$A:$Z,25,0)</f>
        <v>#N/A</v>
      </c>
    </row>
    <row r="112" spans="2:22" x14ac:dyDescent="0.25">
      <c r="B112" s="4">
        <v>20007143</v>
      </c>
      <c r="C112" s="1" t="s">
        <v>1551</v>
      </c>
      <c r="D112" s="4" t="s">
        <v>89</v>
      </c>
      <c r="E112" s="3"/>
      <c r="F112" s="3" t="s">
        <v>69</v>
      </c>
      <c r="G112" s="4">
        <v>1</v>
      </c>
      <c r="H112" s="4">
        <v>1</v>
      </c>
      <c r="I112" s="4">
        <v>2</v>
      </c>
      <c r="J112" s="4" t="s">
        <v>8</v>
      </c>
      <c r="K112" s="4" t="s">
        <v>7</v>
      </c>
      <c r="L112" s="11">
        <v>1002666229</v>
      </c>
      <c r="M112" s="3">
        <v>2</v>
      </c>
      <c r="N112"/>
      <c r="O112" s="4"/>
      <c r="P112" s="1"/>
      <c r="Q112" s="22"/>
      <c r="R112"/>
      <c r="S112" s="11"/>
      <c r="T112" s="4" t="s">
        <v>70</v>
      </c>
      <c r="U112" s="1" t="e">
        <f>VLOOKUP(data[[#This Row],[Material]],'[1]Hoja para mrp'!$A:$Z,26,0)</f>
        <v>#N/A</v>
      </c>
      <c r="V112" s="1" t="e">
        <f>VLOOKUP(data[[#This Row],[Material]],'[1]Hoja para mrp'!$A:$Z,25,0)</f>
        <v>#N/A</v>
      </c>
    </row>
    <row r="113" spans="2:22" x14ac:dyDescent="0.25">
      <c r="B113" s="4">
        <v>20007190</v>
      </c>
      <c r="C113" s="1" t="s">
        <v>143</v>
      </c>
      <c r="D113" s="4" t="s">
        <v>89</v>
      </c>
      <c r="E113" s="3" t="s">
        <v>90</v>
      </c>
      <c r="F113" s="3" t="s">
        <v>92</v>
      </c>
      <c r="G113" s="4">
        <v>20</v>
      </c>
      <c r="H113" s="4">
        <v>20</v>
      </c>
      <c r="I113" s="4">
        <v>13</v>
      </c>
      <c r="J113" s="4" t="s">
        <v>8</v>
      </c>
      <c r="K113" s="4" t="s">
        <v>9</v>
      </c>
      <c r="L113" s="11">
        <v>1002653864</v>
      </c>
      <c r="M113" s="3">
        <v>20</v>
      </c>
      <c r="N113"/>
      <c r="O113" s="4"/>
      <c r="P113" s="1"/>
      <c r="Q113" s="22"/>
      <c r="R113" t="s">
        <v>91</v>
      </c>
      <c r="S113" s="11"/>
      <c r="T113" s="4" t="s">
        <v>73</v>
      </c>
      <c r="U113" s="1" t="e">
        <f>VLOOKUP(data[[#This Row],[Material]],'[1]Hoja para mrp'!$A:$Z,26,0)</f>
        <v>#N/A</v>
      </c>
      <c r="V113" s="1" t="e">
        <f>VLOOKUP(data[[#This Row],[Material]],'[1]Hoja para mrp'!$A:$Z,25,0)</f>
        <v>#N/A</v>
      </c>
    </row>
    <row r="114" spans="2:22" x14ac:dyDescent="0.25">
      <c r="B114" s="4">
        <v>20007164</v>
      </c>
      <c r="C114" s="1" t="s">
        <v>1109</v>
      </c>
      <c r="D114" s="4" t="s">
        <v>89</v>
      </c>
      <c r="E114" s="3"/>
      <c r="F114" s="3" t="s">
        <v>69</v>
      </c>
      <c r="G114" s="4">
        <v>80</v>
      </c>
      <c r="H114" s="4">
        <v>100</v>
      </c>
      <c r="I114" s="4">
        <v>107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74</v>
      </c>
      <c r="U114" s="1" t="e">
        <f>VLOOKUP(data[[#This Row],[Material]],'[1]Hoja para mrp'!$A:$Z,26,0)</f>
        <v>#N/A</v>
      </c>
      <c r="V114" s="1" t="e">
        <f>VLOOKUP(data[[#This Row],[Material]],'[1]Hoja para mrp'!$A:$Z,25,0)</f>
        <v>#N/A</v>
      </c>
    </row>
    <row r="115" spans="2:22" x14ac:dyDescent="0.25">
      <c r="B115" s="4">
        <v>20007184</v>
      </c>
      <c r="C115" s="1" t="s">
        <v>1458</v>
      </c>
      <c r="D115" s="4" t="s">
        <v>89</v>
      </c>
      <c r="E115" s="3"/>
      <c r="F115" s="3" t="s">
        <v>69</v>
      </c>
      <c r="G115" s="4">
        <v>5</v>
      </c>
      <c r="H115" s="4">
        <v>2</v>
      </c>
      <c r="I115" s="4">
        <v>0</v>
      </c>
      <c r="J115" s="4" t="s">
        <v>8</v>
      </c>
      <c r="K115" s="4" t="s">
        <v>13</v>
      </c>
      <c r="L115" s="11">
        <v>1002663550</v>
      </c>
      <c r="M115" s="3">
        <v>2</v>
      </c>
      <c r="N115"/>
      <c r="O115" s="4"/>
      <c r="P115" s="1"/>
      <c r="Q115" s="22"/>
      <c r="R115"/>
      <c r="S115" s="11"/>
      <c r="T115" s="4" t="s">
        <v>73</v>
      </c>
      <c r="U115" s="1" t="e">
        <f>VLOOKUP(data[[#This Row],[Material]],'[1]Hoja para mrp'!$A:$Z,26,0)</f>
        <v>#N/A</v>
      </c>
      <c r="V115" s="1" t="e">
        <f>VLOOKUP(data[[#This Row],[Material]],'[1]Hoja para mrp'!$A:$Z,25,0)</f>
        <v>#N/A</v>
      </c>
    </row>
    <row r="116" spans="2:22" x14ac:dyDescent="0.25">
      <c r="B116" s="4">
        <v>20015134</v>
      </c>
      <c r="C116" s="1" t="s">
        <v>144</v>
      </c>
      <c r="D116" s="4" t="s">
        <v>89</v>
      </c>
      <c r="E116" s="3" t="s">
        <v>94</v>
      </c>
      <c r="F116" s="3" t="s">
        <v>92</v>
      </c>
      <c r="G116" s="4">
        <v>2001</v>
      </c>
      <c r="H116" s="4">
        <v>5000</v>
      </c>
      <c r="I116" s="4">
        <v>1955</v>
      </c>
      <c r="J116" s="4" t="s">
        <v>10</v>
      </c>
      <c r="K116" s="4" t="s">
        <v>9</v>
      </c>
      <c r="L116" s="11">
        <v>1002654975</v>
      </c>
      <c r="M116" s="3">
        <v>5000</v>
      </c>
      <c r="N116"/>
      <c r="O116" s="4"/>
      <c r="P116" s="1"/>
      <c r="Q116" s="22"/>
      <c r="R116" t="s">
        <v>95</v>
      </c>
      <c r="S116" s="11"/>
      <c r="T116" s="4" t="s">
        <v>71</v>
      </c>
      <c r="U116" s="1" t="e">
        <f>VLOOKUP(data[[#This Row],[Material]],'[1]Hoja para mrp'!$A:$Z,26,0)</f>
        <v>#N/A</v>
      </c>
      <c r="V116" s="1" t="e">
        <f>VLOOKUP(data[[#This Row],[Material]],'[1]Hoja para mrp'!$A:$Z,25,0)</f>
        <v>#N/A</v>
      </c>
    </row>
    <row r="117" spans="2:22" x14ac:dyDescent="0.25">
      <c r="B117" s="4">
        <v>20007187</v>
      </c>
      <c r="C117" s="1" t="s">
        <v>1068</v>
      </c>
      <c r="D117" s="4" t="s">
        <v>89</v>
      </c>
      <c r="E117" s="3"/>
      <c r="F117" s="3" t="s">
        <v>69</v>
      </c>
      <c r="G117" s="4">
        <v>25</v>
      </c>
      <c r="H117" s="4">
        <v>25</v>
      </c>
      <c r="I117" s="4">
        <v>44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73</v>
      </c>
      <c r="U117" s="1" t="e">
        <f>VLOOKUP(data[[#This Row],[Material]],'[1]Hoja para mrp'!$A:$Z,26,0)</f>
        <v>#N/A</v>
      </c>
      <c r="V117" s="1" t="e">
        <f>VLOOKUP(data[[#This Row],[Material]],'[1]Hoja para mrp'!$A:$Z,25,0)</f>
        <v>#N/A</v>
      </c>
    </row>
    <row r="118" spans="2:22" x14ac:dyDescent="0.25">
      <c r="B118" s="4">
        <v>20007265</v>
      </c>
      <c r="C118" s="1" t="s">
        <v>146</v>
      </c>
      <c r="D118" s="4" t="s">
        <v>89</v>
      </c>
      <c r="E118" s="3" t="s">
        <v>90</v>
      </c>
      <c r="F118" s="3" t="s">
        <v>92</v>
      </c>
      <c r="G118" s="4">
        <v>15</v>
      </c>
      <c r="H118" s="4">
        <v>30</v>
      </c>
      <c r="I118" s="4">
        <v>38</v>
      </c>
      <c r="J118" s="4" t="s">
        <v>23</v>
      </c>
      <c r="K118" s="4" t="s">
        <v>7</v>
      </c>
      <c r="L118" s="11"/>
      <c r="M118" s="3"/>
      <c r="N118"/>
      <c r="O118" s="4"/>
      <c r="P118" s="1"/>
      <c r="Q118" s="22"/>
      <c r="R118" t="s">
        <v>91</v>
      </c>
      <c r="S118" s="11"/>
      <c r="T118" s="4" t="s">
        <v>71</v>
      </c>
      <c r="U118" s="1" t="e">
        <f>VLOOKUP(data[[#This Row],[Material]],'[1]Hoja para mrp'!$A:$Z,26,0)</f>
        <v>#N/A</v>
      </c>
      <c r="V118" s="1" t="e">
        <f>VLOOKUP(data[[#This Row],[Material]],'[1]Hoja para mrp'!$A:$Z,25,0)</f>
        <v>#N/A</v>
      </c>
    </row>
    <row r="119" spans="2:22" x14ac:dyDescent="0.25">
      <c r="B119" s="4">
        <v>20007191</v>
      </c>
      <c r="C119" s="1" t="s">
        <v>1222</v>
      </c>
      <c r="D119" s="4" t="s">
        <v>89</v>
      </c>
      <c r="E119" s="3"/>
      <c r="F119" s="3" t="s">
        <v>69</v>
      </c>
      <c r="G119" s="4">
        <v>8</v>
      </c>
      <c r="H119" s="4">
        <v>3</v>
      </c>
      <c r="I119" s="4">
        <v>11</v>
      </c>
      <c r="J119" s="4" t="s">
        <v>8</v>
      </c>
      <c r="K119" s="4" t="s">
        <v>7</v>
      </c>
      <c r="L119" s="69"/>
      <c r="M119" s="3"/>
      <c r="N119"/>
      <c r="O119" s="4"/>
      <c r="P119" s="1"/>
      <c r="Q119" s="22"/>
      <c r="R119"/>
      <c r="S119" s="11"/>
      <c r="T119" s="4" t="s">
        <v>73</v>
      </c>
      <c r="U119" s="1" t="e">
        <f>VLOOKUP(data[[#This Row],[Material]],'[1]Hoja para mrp'!$A:$Z,26,0)</f>
        <v>#N/A</v>
      </c>
      <c r="V119" s="1" t="e">
        <f>VLOOKUP(data[[#This Row],[Material]],'[1]Hoja para mrp'!$A:$Z,25,0)</f>
        <v>#N/A</v>
      </c>
    </row>
    <row r="120" spans="2:22" x14ac:dyDescent="0.25">
      <c r="B120" s="4">
        <v>20007290</v>
      </c>
      <c r="C120" s="1" t="s">
        <v>148</v>
      </c>
      <c r="D120" s="4" t="s">
        <v>89</v>
      </c>
      <c r="E120" s="3" t="s">
        <v>90</v>
      </c>
      <c r="F120" s="3" t="s">
        <v>92</v>
      </c>
      <c r="G120" s="4">
        <v>5</v>
      </c>
      <c r="H120" s="4">
        <v>10</v>
      </c>
      <c r="I120" s="4">
        <v>10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91</v>
      </c>
      <c r="S120" s="11"/>
      <c r="T120" s="4" t="s">
        <v>71</v>
      </c>
      <c r="U120" s="1" t="e">
        <f>VLOOKUP(data[[#This Row],[Material]],'[1]Hoja para mrp'!$A:$Z,26,0)</f>
        <v>#N/A</v>
      </c>
      <c r="V120" s="1" t="e">
        <f>VLOOKUP(data[[#This Row],[Material]],'[1]Hoja para mrp'!$A:$Z,25,0)</f>
        <v>#N/A</v>
      </c>
    </row>
    <row r="121" spans="2:22" x14ac:dyDescent="0.25">
      <c r="B121" s="4">
        <v>20007327</v>
      </c>
      <c r="C121" s="1" t="s">
        <v>1419</v>
      </c>
      <c r="D121" s="4" t="s">
        <v>89</v>
      </c>
      <c r="E121" s="3" t="s">
        <v>90</v>
      </c>
      <c r="F121" s="3" t="s">
        <v>92</v>
      </c>
      <c r="G121" s="4">
        <v>8</v>
      </c>
      <c r="H121" s="4">
        <v>6</v>
      </c>
      <c r="I121" s="4">
        <v>13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91</v>
      </c>
      <c r="S121" s="11" t="s">
        <v>1590</v>
      </c>
      <c r="T121" s="4" t="s">
        <v>71</v>
      </c>
      <c r="U121" s="1" t="e">
        <f>VLOOKUP(data[[#This Row],[Material]],'[1]Hoja para mrp'!$A:$Z,26,0)</f>
        <v>#N/A</v>
      </c>
      <c r="V121" s="1" t="e">
        <f>VLOOKUP(data[[#This Row],[Material]],'[1]Hoja para mrp'!$A:$Z,25,0)</f>
        <v>#N/A</v>
      </c>
    </row>
    <row r="122" spans="2:22" x14ac:dyDescent="0.25">
      <c r="B122" s="4">
        <v>20007435</v>
      </c>
      <c r="C122" s="1" t="s">
        <v>149</v>
      </c>
      <c r="D122" s="4" t="s">
        <v>89</v>
      </c>
      <c r="E122" s="3" t="s">
        <v>100</v>
      </c>
      <c r="F122" s="3" t="s">
        <v>92</v>
      </c>
      <c r="G122" s="4">
        <v>1</v>
      </c>
      <c r="H122" s="4">
        <v>1</v>
      </c>
      <c r="I122" s="4">
        <v>7</v>
      </c>
      <c r="J122" s="4" t="s">
        <v>8</v>
      </c>
      <c r="K122" s="4" t="s">
        <v>14</v>
      </c>
      <c r="L122" s="11"/>
      <c r="M122" s="65"/>
      <c r="N122"/>
      <c r="O122" s="4"/>
      <c r="P122" s="1"/>
      <c r="Q122" s="22"/>
      <c r="R122" t="s">
        <v>101</v>
      </c>
      <c r="S122" s="11"/>
      <c r="T122" s="4" t="s">
        <v>67</v>
      </c>
      <c r="U122" s="1" t="e">
        <f>VLOOKUP(data[[#This Row],[Material]],'[1]Hoja para mrp'!$A:$Z,26,0)</f>
        <v>#N/A</v>
      </c>
      <c r="V122" s="1" t="e">
        <f>VLOOKUP(data[[#This Row],[Material]],'[1]Hoja para mrp'!$A:$Z,25,0)</f>
        <v>#N/A</v>
      </c>
    </row>
    <row r="123" spans="2:22" x14ac:dyDescent="0.25">
      <c r="B123" s="4">
        <v>20007514</v>
      </c>
      <c r="C123" s="1" t="s">
        <v>150</v>
      </c>
      <c r="D123" s="4" t="s">
        <v>89</v>
      </c>
      <c r="E123" s="3" t="s">
        <v>121</v>
      </c>
      <c r="F123" s="3" t="s">
        <v>92</v>
      </c>
      <c r="G123" s="4">
        <v>2</v>
      </c>
      <c r="H123" s="4">
        <v>2</v>
      </c>
      <c r="I123" s="4">
        <v>13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151</v>
      </c>
      <c r="S123" s="11"/>
      <c r="T123" s="4" t="s">
        <v>67</v>
      </c>
      <c r="U123" s="1" t="e">
        <f>VLOOKUP(data[[#This Row],[Material]],'[1]Hoja para mrp'!$A:$Z,26,0)</f>
        <v>#N/A</v>
      </c>
      <c r="V123" s="1" t="e">
        <f>VLOOKUP(data[[#This Row],[Material]],'[1]Hoja para mrp'!$A:$Z,25,0)</f>
        <v>#N/A</v>
      </c>
    </row>
    <row r="124" spans="2:22" x14ac:dyDescent="0.25">
      <c r="B124" s="4">
        <v>20007531</v>
      </c>
      <c r="C124" s="1" t="s">
        <v>152</v>
      </c>
      <c r="D124" s="4" t="s">
        <v>89</v>
      </c>
      <c r="E124" s="3" t="s">
        <v>121</v>
      </c>
      <c r="F124" s="3" t="s">
        <v>92</v>
      </c>
      <c r="G124" s="4">
        <v>5</v>
      </c>
      <c r="H124" s="4">
        <v>8</v>
      </c>
      <c r="I124" s="4">
        <v>9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151</v>
      </c>
      <c r="S124" s="11"/>
      <c r="T124" s="4" t="s">
        <v>67</v>
      </c>
      <c r="U124" s="1" t="e">
        <f>VLOOKUP(data[[#This Row],[Material]],'[1]Hoja para mrp'!$A:$Z,26,0)</f>
        <v>#N/A</v>
      </c>
      <c r="V124" s="1" t="e">
        <f>VLOOKUP(data[[#This Row],[Material]],'[1]Hoja para mrp'!$A:$Z,25,0)</f>
        <v>#N/A</v>
      </c>
    </row>
    <row r="125" spans="2:22" x14ac:dyDescent="0.25">
      <c r="B125" s="4">
        <v>20007335</v>
      </c>
      <c r="C125" s="1" t="s">
        <v>1491</v>
      </c>
      <c r="D125" s="4" t="s">
        <v>89</v>
      </c>
      <c r="E125" s="3"/>
      <c r="F125" s="3" t="s">
        <v>69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73</v>
      </c>
      <c r="U125" s="1" t="e">
        <f>VLOOKUP(data[[#This Row],[Material]],'[1]Hoja para mrp'!$A:$Z,26,0)</f>
        <v>#N/A</v>
      </c>
      <c r="V125" s="1" t="e">
        <f>VLOOKUP(data[[#This Row],[Material]],'[1]Hoja para mrp'!$A:$Z,25,0)</f>
        <v>#N/A</v>
      </c>
    </row>
    <row r="126" spans="2:22" x14ac:dyDescent="0.25">
      <c r="B126" s="4">
        <v>20007548</v>
      </c>
      <c r="C126" s="1" t="s">
        <v>153</v>
      </c>
      <c r="D126" s="4" t="s">
        <v>89</v>
      </c>
      <c r="E126" s="3" t="s">
        <v>121</v>
      </c>
      <c r="F126" s="3" t="s">
        <v>92</v>
      </c>
      <c r="G126" s="4">
        <v>2</v>
      </c>
      <c r="H126" s="4">
        <v>2</v>
      </c>
      <c r="I126" s="4">
        <v>0</v>
      </c>
      <c r="J126" s="4" t="s">
        <v>8</v>
      </c>
      <c r="K126" s="4" t="s">
        <v>13</v>
      </c>
      <c r="L126" s="11" t="s">
        <v>1659</v>
      </c>
      <c r="M126" s="3"/>
      <c r="N126"/>
      <c r="O126" s="4"/>
      <c r="P126" s="1"/>
      <c r="Q126" s="22"/>
      <c r="R126" t="s">
        <v>151</v>
      </c>
      <c r="S126" s="11" t="s">
        <v>1591</v>
      </c>
      <c r="T126" s="4" t="s">
        <v>67</v>
      </c>
      <c r="U126" s="1" t="e">
        <f>VLOOKUP(data[[#This Row],[Material]],'[1]Hoja para mrp'!$A:$Z,26,0)</f>
        <v>#N/A</v>
      </c>
      <c r="V126" s="1" t="e">
        <f>VLOOKUP(data[[#This Row],[Material]],'[1]Hoja para mrp'!$A:$Z,25,0)</f>
        <v>#N/A</v>
      </c>
    </row>
    <row r="127" spans="2:22" x14ac:dyDescent="0.25">
      <c r="B127" s="4">
        <v>20007338</v>
      </c>
      <c r="C127" s="1" t="s">
        <v>1492</v>
      </c>
      <c r="D127" s="4" t="s">
        <v>89</v>
      </c>
      <c r="E127" s="3"/>
      <c r="F127" s="3" t="s">
        <v>69</v>
      </c>
      <c r="G127" s="4">
        <v>1</v>
      </c>
      <c r="H127" s="4">
        <v>2</v>
      </c>
      <c r="I127" s="4">
        <v>3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73</v>
      </c>
      <c r="U127" s="1" t="e">
        <f>VLOOKUP(data[[#This Row],[Material]],'[1]Hoja para mrp'!$A:$Z,26,0)</f>
        <v>#N/A</v>
      </c>
      <c r="V127" s="1" t="e">
        <f>VLOOKUP(data[[#This Row],[Material]],'[1]Hoja para mrp'!$A:$Z,25,0)</f>
        <v>#N/A</v>
      </c>
    </row>
    <row r="128" spans="2:22" x14ac:dyDescent="0.25">
      <c r="B128" s="4">
        <v>20007563</v>
      </c>
      <c r="C128" s="1" t="s">
        <v>27</v>
      </c>
      <c r="D128" s="4" t="s">
        <v>89</v>
      </c>
      <c r="E128" s="3" t="s">
        <v>1641</v>
      </c>
      <c r="F128" s="3" t="s">
        <v>92</v>
      </c>
      <c r="G128" s="4">
        <v>8</v>
      </c>
      <c r="H128" s="4">
        <v>12</v>
      </c>
      <c r="I128" s="4">
        <v>19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116</v>
      </c>
      <c r="S128" s="11"/>
      <c r="T128" s="4" t="s">
        <v>71</v>
      </c>
      <c r="U128" s="1" t="e">
        <f>VLOOKUP(data[[#This Row],[Material]],'[1]Hoja para mrp'!$A:$Z,26,0)</f>
        <v>#N/A</v>
      </c>
      <c r="V128" s="1" t="e">
        <f>VLOOKUP(data[[#This Row],[Material]],'[1]Hoja para mrp'!$A:$Z,25,0)</f>
        <v>#N/A</v>
      </c>
    </row>
    <row r="129" spans="2:23" x14ac:dyDescent="0.25">
      <c r="B129" s="4">
        <v>20007835</v>
      </c>
      <c r="C129" s="1" t="s">
        <v>154</v>
      </c>
      <c r="D129" s="4" t="s">
        <v>89</v>
      </c>
      <c r="E129" s="3" t="s">
        <v>121</v>
      </c>
      <c r="F129" s="3" t="s">
        <v>92</v>
      </c>
      <c r="G129" s="4">
        <v>20</v>
      </c>
      <c r="H129" s="4">
        <v>30</v>
      </c>
      <c r="I129" s="4">
        <v>47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151</v>
      </c>
      <c r="S129" s="11"/>
      <c r="T129" s="4" t="s">
        <v>67</v>
      </c>
      <c r="U129" s="1" t="e">
        <f>VLOOKUP(data[[#This Row],[Material]],'[1]Hoja para mrp'!$A:$Z,26,0)</f>
        <v>#N/A</v>
      </c>
      <c r="V129" s="1" t="e">
        <f>VLOOKUP(data[[#This Row],[Material]],'[1]Hoja para mrp'!$A:$Z,25,0)</f>
        <v>#N/A</v>
      </c>
    </row>
    <row r="130" spans="2:23" x14ac:dyDescent="0.25">
      <c r="B130" s="4">
        <v>20007926</v>
      </c>
      <c r="C130" s="1" t="s">
        <v>155</v>
      </c>
      <c r="D130" s="4" t="s">
        <v>89</v>
      </c>
      <c r="E130" s="3" t="s">
        <v>121</v>
      </c>
      <c r="F130" s="3" t="s">
        <v>92</v>
      </c>
      <c r="G130" s="4">
        <v>4</v>
      </c>
      <c r="H130" s="4">
        <v>7</v>
      </c>
      <c r="I130" s="4">
        <v>4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151</v>
      </c>
      <c r="S130" s="11"/>
      <c r="T130" s="4" t="s">
        <v>66</v>
      </c>
      <c r="U130" s="1" t="e">
        <f>VLOOKUP(data[[#This Row],[Material]],'[1]Hoja para mrp'!$A:$Z,26,0)</f>
        <v>#N/A</v>
      </c>
      <c r="V130" s="1" t="e">
        <f>VLOOKUP(data[[#This Row],[Material]],'[1]Hoja para mrp'!$A:$Z,25,0)</f>
        <v>#N/A</v>
      </c>
    </row>
    <row r="131" spans="2:23" x14ac:dyDescent="0.25">
      <c r="B131" s="4">
        <v>20007928</v>
      </c>
      <c r="C131" s="1" t="s">
        <v>1523</v>
      </c>
      <c r="D131" s="4" t="s">
        <v>89</v>
      </c>
      <c r="E131" s="3" t="s">
        <v>121</v>
      </c>
      <c r="F131" s="3" t="s">
        <v>92</v>
      </c>
      <c r="G131" s="4">
        <v>16</v>
      </c>
      <c r="H131" s="4">
        <v>32</v>
      </c>
      <c r="I131" s="4">
        <v>36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151</v>
      </c>
      <c r="S131" s="11"/>
      <c r="T131" s="4" t="s">
        <v>67</v>
      </c>
      <c r="U131" s="1" t="e">
        <f>VLOOKUP(data[[#This Row],[Material]],'[1]Hoja para mrp'!$A:$Z,26,0)</f>
        <v>#N/A</v>
      </c>
      <c r="V131" s="1" t="e">
        <f>VLOOKUP(data[[#This Row],[Material]],'[1]Hoja para mrp'!$A:$Z,25,0)</f>
        <v>#N/A</v>
      </c>
    </row>
    <row r="132" spans="2:23" x14ac:dyDescent="0.25">
      <c r="B132" s="4">
        <v>20008028</v>
      </c>
      <c r="C132" s="1" t="s">
        <v>156</v>
      </c>
      <c r="D132" s="4" t="s">
        <v>89</v>
      </c>
      <c r="E132" s="3" t="s">
        <v>121</v>
      </c>
      <c r="F132" s="3" t="s">
        <v>92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74</v>
      </c>
      <c r="U132" s="1" t="e">
        <f>VLOOKUP(data[[#This Row],[Material]],'[1]Hoja para mrp'!$A:$Z,26,0)</f>
        <v>#N/A</v>
      </c>
      <c r="V132" s="1" t="e">
        <f>VLOOKUP(data[[#This Row],[Material]],'[1]Hoja para mrp'!$A:$Z,25,0)</f>
        <v>#N/A</v>
      </c>
    </row>
    <row r="133" spans="2:23" x14ac:dyDescent="0.25">
      <c r="B133" s="4">
        <v>20007652</v>
      </c>
      <c r="C133" s="1" t="s">
        <v>1279</v>
      </c>
      <c r="D133" s="4" t="s">
        <v>89</v>
      </c>
      <c r="E133" s="3"/>
      <c r="F133" s="3" t="s">
        <v>69</v>
      </c>
      <c r="G133" s="4">
        <v>50</v>
      </c>
      <c r="H133" s="4">
        <v>30</v>
      </c>
      <c r="I133" s="4">
        <v>0</v>
      </c>
      <c r="J133" s="4" t="s">
        <v>25</v>
      </c>
      <c r="K133" s="4" t="s">
        <v>13</v>
      </c>
      <c r="L133" s="11">
        <v>1002660927</v>
      </c>
      <c r="M133" s="3">
        <v>80</v>
      </c>
      <c r="N133"/>
      <c r="O133" s="4"/>
      <c r="P133" s="1"/>
      <c r="Q133" s="22"/>
      <c r="R133"/>
      <c r="S133" s="11"/>
      <c r="T133" s="4" t="s">
        <v>67</v>
      </c>
      <c r="U133" s="1" t="e">
        <f>VLOOKUP(data[[#This Row],[Material]],'[1]Hoja para mrp'!$A:$Z,26,0)</f>
        <v>#N/A</v>
      </c>
      <c r="V133" s="1" t="e">
        <f>VLOOKUP(data[[#This Row],[Material]],'[1]Hoja para mrp'!$A:$Z,25,0)</f>
        <v>#N/A</v>
      </c>
    </row>
    <row r="134" spans="2:23" x14ac:dyDescent="0.25">
      <c r="B134" s="4">
        <v>20008058</v>
      </c>
      <c r="C134" s="1" t="s">
        <v>28</v>
      </c>
      <c r="D134" s="4" t="s">
        <v>89</v>
      </c>
      <c r="E134" s="3" t="s">
        <v>1641</v>
      </c>
      <c r="F134" s="3" t="s">
        <v>92</v>
      </c>
      <c r="G134" s="4">
        <v>100</v>
      </c>
      <c r="H134" s="4">
        <v>200</v>
      </c>
      <c r="I134" s="4">
        <v>20</v>
      </c>
      <c r="J134" s="4" t="s">
        <v>8</v>
      </c>
      <c r="K134" s="4" t="s">
        <v>9</v>
      </c>
      <c r="L134" s="11"/>
      <c r="M134" s="3"/>
      <c r="N134">
        <v>4502688102</v>
      </c>
      <c r="O134" s="4">
        <v>204</v>
      </c>
      <c r="P134" s="1" t="s">
        <v>1655</v>
      </c>
      <c r="Q134" s="22">
        <v>46203</v>
      </c>
      <c r="R134" t="s">
        <v>116</v>
      </c>
      <c r="S134" s="11"/>
      <c r="T134" s="4" t="s">
        <v>71</v>
      </c>
      <c r="U134" s="1" t="e">
        <f>VLOOKUP(data[[#This Row],[Material]],'[1]Hoja para mrp'!$A:$Z,26,0)</f>
        <v>#N/A</v>
      </c>
      <c r="V134" s="1" t="e">
        <f>VLOOKUP(data[[#This Row],[Material]],'[1]Hoja para mrp'!$A:$Z,25,0)</f>
        <v>#N/A</v>
      </c>
    </row>
    <row r="135" spans="2:23" x14ac:dyDescent="0.25">
      <c r="B135" s="4">
        <v>20007660</v>
      </c>
      <c r="C135" s="1" t="s">
        <v>1280</v>
      </c>
      <c r="D135" s="4" t="s">
        <v>89</v>
      </c>
      <c r="E135" s="3"/>
      <c r="F135" s="3" t="s">
        <v>69</v>
      </c>
      <c r="G135" s="4">
        <v>50</v>
      </c>
      <c r="H135" s="4">
        <v>100</v>
      </c>
      <c r="I135" s="4">
        <v>100</v>
      </c>
      <c r="J135" s="4" t="s">
        <v>25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s="4" t="s">
        <v>67</v>
      </c>
      <c r="U135" s="1" t="e">
        <f>VLOOKUP(data[[#This Row],[Material]],'[1]Hoja para mrp'!$A:$Z,26,0)</f>
        <v>#N/A</v>
      </c>
      <c r="V135" s="1" t="e">
        <f>VLOOKUP(data[[#This Row],[Material]],'[1]Hoja para mrp'!$A:$Z,25,0)</f>
        <v>#N/A</v>
      </c>
    </row>
    <row r="136" spans="2:23" x14ac:dyDescent="0.25">
      <c r="B136" s="4">
        <v>20008069</v>
      </c>
      <c r="C136" s="1" t="s">
        <v>29</v>
      </c>
      <c r="D136" s="4" t="s">
        <v>89</v>
      </c>
      <c r="E136" s="3" t="s">
        <v>1641</v>
      </c>
      <c r="F136" s="3" t="s">
        <v>92</v>
      </c>
      <c r="G136" s="4">
        <v>150</v>
      </c>
      <c r="H136" s="4">
        <v>250</v>
      </c>
      <c r="I136" s="4">
        <v>142</v>
      </c>
      <c r="J136" s="4" t="s">
        <v>8</v>
      </c>
      <c r="K136" s="4" t="s">
        <v>9</v>
      </c>
      <c r="L136" s="11"/>
      <c r="M136" s="3"/>
      <c r="N136">
        <v>4502688800</v>
      </c>
      <c r="O136" s="4">
        <v>252</v>
      </c>
      <c r="P136" s="1" t="s">
        <v>1655</v>
      </c>
      <c r="Q136" s="22">
        <v>46197</v>
      </c>
      <c r="R136" t="s">
        <v>116</v>
      </c>
      <c r="S136" s="11"/>
      <c r="T136" s="4" t="s">
        <v>71</v>
      </c>
      <c r="U136" s="1" t="e">
        <f>VLOOKUP(data[[#This Row],[Material]],'[1]Hoja para mrp'!$A:$Z,26,0)</f>
        <v>#N/A</v>
      </c>
      <c r="V136" s="1" t="e">
        <f>VLOOKUP(data[[#This Row],[Material]],'[1]Hoja para mrp'!$A:$Z,25,0)</f>
        <v>#N/A</v>
      </c>
    </row>
    <row r="137" spans="2:23" x14ac:dyDescent="0.25">
      <c r="B137" s="4">
        <v>20007824</v>
      </c>
      <c r="C137" s="1" t="s">
        <v>1497</v>
      </c>
      <c r="D137" s="4" t="s">
        <v>89</v>
      </c>
      <c r="E137" s="3"/>
      <c r="F137" s="3" t="s">
        <v>69</v>
      </c>
      <c r="G137" s="4">
        <v>3</v>
      </c>
      <c r="H137" s="4">
        <v>3</v>
      </c>
      <c r="I137" s="4">
        <v>10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67</v>
      </c>
      <c r="U137" s="1" t="e">
        <f>VLOOKUP(data[[#This Row],[Material]],'[1]Hoja para mrp'!$A:$Z,26,0)</f>
        <v>#N/A</v>
      </c>
      <c r="V137" s="1" t="e">
        <f>VLOOKUP(data[[#This Row],[Material]],'[1]Hoja para mrp'!$A:$Z,25,0)</f>
        <v>#N/A</v>
      </c>
    </row>
    <row r="138" spans="2:23" x14ac:dyDescent="0.25">
      <c r="B138" s="4">
        <v>20008258</v>
      </c>
      <c r="C138" s="1" t="s">
        <v>157</v>
      </c>
      <c r="D138" s="4" t="s">
        <v>89</v>
      </c>
      <c r="E138" s="3" t="s">
        <v>121</v>
      </c>
      <c r="F138" s="3" t="s">
        <v>92</v>
      </c>
      <c r="G138" s="4">
        <v>8</v>
      </c>
      <c r="H138" s="4">
        <v>10</v>
      </c>
      <c r="I138" s="4">
        <v>7</v>
      </c>
      <c r="J138" s="4" t="s">
        <v>8</v>
      </c>
      <c r="K138" s="4" t="s">
        <v>9</v>
      </c>
      <c r="L138" s="11"/>
      <c r="M138" s="3"/>
      <c r="N138">
        <v>4502669999</v>
      </c>
      <c r="O138" s="4">
        <v>10</v>
      </c>
      <c r="P138" s="1" t="s">
        <v>1425</v>
      </c>
      <c r="Q138" s="22">
        <v>46181</v>
      </c>
      <c r="R138" t="s">
        <v>151</v>
      </c>
      <c r="S138" s="11"/>
      <c r="T138" s="4" t="s">
        <v>67</v>
      </c>
      <c r="U138" s="1" t="e">
        <f>VLOOKUP(data[[#This Row],[Material]],'[1]Hoja para mrp'!$A:$Z,26,0)</f>
        <v>#N/A</v>
      </c>
      <c r="V138" s="1" t="e">
        <f>VLOOKUP(data[[#This Row],[Material]],'[1]Hoja para mrp'!$A:$Z,25,0)</f>
        <v>#N/A</v>
      </c>
      <c r="W138" s="1" t="s">
        <v>1672</v>
      </c>
    </row>
    <row r="139" spans="2:23" x14ac:dyDescent="0.25">
      <c r="B139" s="4">
        <v>20007855</v>
      </c>
      <c r="C139" s="1" t="s">
        <v>1524</v>
      </c>
      <c r="D139" s="4" t="s">
        <v>89</v>
      </c>
      <c r="E139" s="3"/>
      <c r="F139" s="3" t="s">
        <v>69</v>
      </c>
      <c r="G139" s="4">
        <v>4</v>
      </c>
      <c r="H139" s="4">
        <v>4</v>
      </c>
      <c r="I139" s="4">
        <v>2</v>
      </c>
      <c r="J139" s="4" t="s">
        <v>8</v>
      </c>
      <c r="K139" s="4" t="s">
        <v>9</v>
      </c>
      <c r="L139" s="11"/>
      <c r="M139" s="3"/>
      <c r="N139">
        <v>4502669999</v>
      </c>
      <c r="O139" s="4">
        <v>6</v>
      </c>
      <c r="P139" s="1" t="s">
        <v>1425</v>
      </c>
      <c r="Q139" s="22">
        <v>46181</v>
      </c>
      <c r="R139"/>
      <c r="S139" s="11"/>
      <c r="T139" s="4" t="s">
        <v>67</v>
      </c>
      <c r="U139" s="1" t="e">
        <f>VLOOKUP(data[[#This Row],[Material]],'[1]Hoja para mrp'!$A:$Z,26,0)</f>
        <v>#N/A</v>
      </c>
      <c r="V139" s="1" t="e">
        <f>VLOOKUP(data[[#This Row],[Material]],'[1]Hoja para mrp'!$A:$Z,25,0)</f>
        <v>#N/A</v>
      </c>
      <c r="W139" s="1" t="s">
        <v>1672</v>
      </c>
    </row>
    <row r="140" spans="2:23" x14ac:dyDescent="0.25">
      <c r="B140" s="4">
        <v>20008271</v>
      </c>
      <c r="C140" s="1" t="s">
        <v>158</v>
      </c>
      <c r="D140" s="4" t="s">
        <v>89</v>
      </c>
      <c r="E140" s="3" t="s">
        <v>121</v>
      </c>
      <c r="F140" s="3" t="s">
        <v>92</v>
      </c>
      <c r="G140" s="4">
        <v>8</v>
      </c>
      <c r="H140" s="4">
        <v>16</v>
      </c>
      <c r="I140" s="4">
        <v>30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 t="s">
        <v>159</v>
      </c>
      <c r="S140" s="11"/>
      <c r="T140" s="4" t="s">
        <v>73</v>
      </c>
      <c r="U140" s="1" t="e">
        <f>VLOOKUP(data[[#This Row],[Material]],'[1]Hoja para mrp'!$A:$Z,26,0)</f>
        <v>#N/A</v>
      </c>
      <c r="V140" s="1" t="e">
        <f>VLOOKUP(data[[#This Row],[Material]],'[1]Hoja para mrp'!$A:$Z,25,0)</f>
        <v>#N/A</v>
      </c>
    </row>
    <row r="141" spans="2:23" x14ac:dyDescent="0.25">
      <c r="B141" s="4">
        <v>20008525</v>
      </c>
      <c r="C141" s="1" t="s">
        <v>160</v>
      </c>
      <c r="D141" s="4" t="s">
        <v>89</v>
      </c>
      <c r="E141" s="3" t="s">
        <v>1641</v>
      </c>
      <c r="F141" s="3" t="s">
        <v>92</v>
      </c>
      <c r="G141" s="4">
        <v>144</v>
      </c>
      <c r="H141" s="4">
        <v>288</v>
      </c>
      <c r="I141" s="4">
        <v>2500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116</v>
      </c>
      <c r="S141" s="11"/>
      <c r="T141" s="4" t="s">
        <v>67</v>
      </c>
      <c r="U141" s="1" t="e">
        <f>VLOOKUP(data[[#This Row],[Material]],'[1]Hoja para mrp'!$A:$Z,26,0)</f>
        <v>#N/A</v>
      </c>
      <c r="V141" s="1" t="e">
        <f>VLOOKUP(data[[#This Row],[Material]],'[1]Hoja para mrp'!$A:$Z,25,0)</f>
        <v>#N/A</v>
      </c>
    </row>
    <row r="142" spans="2:23" x14ac:dyDescent="0.25">
      <c r="B142" s="4">
        <v>20007924</v>
      </c>
      <c r="C142" s="1" t="s">
        <v>1381</v>
      </c>
      <c r="D142" s="4" t="s">
        <v>89</v>
      </c>
      <c r="E142" s="3"/>
      <c r="F142" s="3" t="s">
        <v>69</v>
      </c>
      <c r="G142" s="4">
        <v>10</v>
      </c>
      <c r="H142" s="4">
        <v>30</v>
      </c>
      <c r="I142" s="4">
        <v>34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67</v>
      </c>
      <c r="U142" s="1" t="e">
        <f>VLOOKUP(data[[#This Row],[Material]],'[1]Hoja para mrp'!$A:$Z,26,0)</f>
        <v>#N/A</v>
      </c>
      <c r="V142" s="1" t="e">
        <f>VLOOKUP(data[[#This Row],[Material]],'[1]Hoja para mrp'!$A:$Z,25,0)</f>
        <v>#N/A</v>
      </c>
    </row>
    <row r="143" spans="2:23" x14ac:dyDescent="0.25">
      <c r="B143" s="4">
        <v>20008954</v>
      </c>
      <c r="C143" s="1" t="s">
        <v>31</v>
      </c>
      <c r="D143" s="4" t="s">
        <v>89</v>
      </c>
      <c r="E143" s="3" t="s">
        <v>90</v>
      </c>
      <c r="F143" s="3" t="s">
        <v>92</v>
      </c>
      <c r="G143" s="4">
        <v>30</v>
      </c>
      <c r="H143" s="4">
        <v>50</v>
      </c>
      <c r="I143" s="4">
        <v>37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91</v>
      </c>
      <c r="S143" s="11"/>
      <c r="T143" s="4" t="s">
        <v>66</v>
      </c>
      <c r="U143" s="1" t="e">
        <f>VLOOKUP(data[[#This Row],[Material]],'[1]Hoja para mrp'!$A:$Z,26,0)</f>
        <v>#N/A</v>
      </c>
      <c r="V143" s="1" t="e">
        <f>VLOOKUP(data[[#This Row],[Material]],'[1]Hoja para mrp'!$A:$Z,25,0)</f>
        <v>#N/A</v>
      </c>
    </row>
    <row r="144" spans="2:23" x14ac:dyDescent="0.25">
      <c r="B144" s="4">
        <v>20009101</v>
      </c>
      <c r="C144" s="1" t="s">
        <v>49</v>
      </c>
      <c r="D144" s="4" t="s">
        <v>89</v>
      </c>
      <c r="E144" s="3" t="s">
        <v>90</v>
      </c>
      <c r="F144" s="3" t="s">
        <v>92</v>
      </c>
      <c r="G144" s="4">
        <v>100</v>
      </c>
      <c r="H144" s="4">
        <v>150</v>
      </c>
      <c r="I144" s="4">
        <v>184</v>
      </c>
      <c r="J144" s="4" t="s">
        <v>8</v>
      </c>
      <c r="K144" s="4" t="s">
        <v>7</v>
      </c>
      <c r="L144" s="11"/>
      <c r="M144" s="3"/>
      <c r="N144">
        <v>4502687337</v>
      </c>
      <c r="O144" s="4">
        <v>400</v>
      </c>
      <c r="P144" s="1" t="s">
        <v>1649</v>
      </c>
      <c r="Q144" s="22">
        <v>46207</v>
      </c>
      <c r="R144" t="s">
        <v>91</v>
      </c>
      <c r="S144" s="11"/>
      <c r="T144" s="4" t="s">
        <v>66</v>
      </c>
      <c r="U144" s="1" t="e">
        <f>VLOOKUP(data[[#This Row],[Material]],'[1]Hoja para mrp'!$A:$Z,26,0)</f>
        <v>#N/A</v>
      </c>
      <c r="V144" s="1" t="e">
        <f>VLOOKUP(data[[#This Row],[Material]],'[1]Hoja para mrp'!$A:$Z,25,0)</f>
        <v>#N/A</v>
      </c>
    </row>
    <row r="145" spans="2:23" x14ac:dyDescent="0.25">
      <c r="B145" s="4">
        <v>20007931</v>
      </c>
      <c r="C145" s="1" t="s">
        <v>1382</v>
      </c>
      <c r="D145" s="4" t="s">
        <v>89</v>
      </c>
      <c r="E145" s="3"/>
      <c r="F145" s="3" t="s">
        <v>69</v>
      </c>
      <c r="G145" s="4">
        <v>10</v>
      </c>
      <c r="H145" s="4">
        <v>30</v>
      </c>
      <c r="I145" s="4">
        <v>16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67</v>
      </c>
      <c r="U145" s="1" t="e">
        <f>VLOOKUP(data[[#This Row],[Material]],'[1]Hoja para mrp'!$A:$Z,26,0)</f>
        <v>#N/A</v>
      </c>
      <c r="V145" s="1" t="e">
        <f>VLOOKUP(data[[#This Row],[Material]],'[1]Hoja para mrp'!$A:$Z,25,0)</f>
        <v>#N/A</v>
      </c>
    </row>
    <row r="146" spans="2:23" x14ac:dyDescent="0.25">
      <c r="B146" s="4">
        <v>20009109</v>
      </c>
      <c r="C146" s="1" t="s">
        <v>161</v>
      </c>
      <c r="D146" s="4" t="s">
        <v>89</v>
      </c>
      <c r="E146" s="3" t="s">
        <v>90</v>
      </c>
      <c r="F146" s="3" t="s">
        <v>92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91</v>
      </c>
      <c r="S146" s="11"/>
      <c r="T146" s="4" t="s">
        <v>66</v>
      </c>
      <c r="U146" s="1" t="e">
        <f>VLOOKUP(data[[#This Row],[Material]],'[1]Hoja para mrp'!$A:$Z,26,0)</f>
        <v>#N/A</v>
      </c>
      <c r="V146" s="1" t="e">
        <f>VLOOKUP(data[[#This Row],[Material]],'[1]Hoja para mrp'!$A:$Z,25,0)</f>
        <v>#N/A</v>
      </c>
    </row>
    <row r="147" spans="2:23" x14ac:dyDescent="0.25">
      <c r="B147" s="4">
        <v>20009155</v>
      </c>
      <c r="C147" s="1" t="s">
        <v>162</v>
      </c>
      <c r="D147" s="4" t="s">
        <v>89</v>
      </c>
      <c r="E147" s="3" t="s">
        <v>90</v>
      </c>
      <c r="F147" s="3" t="s">
        <v>92</v>
      </c>
      <c r="G147" s="4">
        <v>80</v>
      </c>
      <c r="H147" s="4">
        <v>100</v>
      </c>
      <c r="I147" s="4">
        <v>140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91</v>
      </c>
      <c r="S147" s="11"/>
      <c r="T147" s="4" t="s">
        <v>66</v>
      </c>
      <c r="U147" s="1" t="e">
        <f>VLOOKUP(data[[#This Row],[Material]],'[1]Hoja para mrp'!$A:$Z,26,0)</f>
        <v>#N/A</v>
      </c>
      <c r="V147" s="1" t="e">
        <f>VLOOKUP(data[[#This Row],[Material]],'[1]Hoja para mrp'!$A:$Z,25,0)</f>
        <v>#N/A</v>
      </c>
    </row>
    <row r="148" spans="2:23" x14ac:dyDescent="0.25">
      <c r="B148" s="4">
        <v>20009194</v>
      </c>
      <c r="C148" s="1" t="s">
        <v>33</v>
      </c>
      <c r="D148" s="4" t="s">
        <v>89</v>
      </c>
      <c r="E148" s="3" t="s">
        <v>90</v>
      </c>
      <c r="F148" s="3" t="s">
        <v>92</v>
      </c>
      <c r="G148" s="4">
        <v>32</v>
      </c>
      <c r="H148" s="4">
        <v>64</v>
      </c>
      <c r="I148" s="4">
        <v>82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91</v>
      </c>
      <c r="S148" s="11"/>
      <c r="T148" s="4" t="s">
        <v>66</v>
      </c>
      <c r="U148" s="1" t="e">
        <f>VLOOKUP(data[[#This Row],[Material]],'[1]Hoja para mrp'!$A:$Z,26,0)</f>
        <v>#N/A</v>
      </c>
      <c r="V148" s="1" t="e">
        <f>VLOOKUP(data[[#This Row],[Material]],'[1]Hoja para mrp'!$A:$Z,25,0)</f>
        <v>#N/A</v>
      </c>
    </row>
    <row r="149" spans="2:23" x14ac:dyDescent="0.25">
      <c r="B149" s="4">
        <v>20008305</v>
      </c>
      <c r="C149" s="1" t="s">
        <v>1261</v>
      </c>
      <c r="D149" s="4" t="s">
        <v>89</v>
      </c>
      <c r="E149" s="3"/>
      <c r="F149" s="3" t="s">
        <v>69</v>
      </c>
      <c r="G149" s="4">
        <v>6</v>
      </c>
      <c r="H149" s="4">
        <v>3</v>
      </c>
      <c r="I149" s="4">
        <v>7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s="4" t="s">
        <v>67</v>
      </c>
      <c r="U149" s="1" t="e">
        <f>VLOOKUP(data[[#This Row],[Material]],'[1]Hoja para mrp'!$A:$Z,26,0)</f>
        <v>#N/A</v>
      </c>
      <c r="V149" s="1" t="e">
        <f>VLOOKUP(data[[#This Row],[Material]],'[1]Hoja para mrp'!$A:$Z,25,0)</f>
        <v>#N/A</v>
      </c>
    </row>
    <row r="150" spans="2:23" x14ac:dyDescent="0.25">
      <c r="B150" s="4">
        <v>20009196</v>
      </c>
      <c r="C150" s="1" t="s">
        <v>163</v>
      </c>
      <c r="D150" s="4" t="s">
        <v>89</v>
      </c>
      <c r="E150" s="3" t="s">
        <v>90</v>
      </c>
      <c r="F150" s="3" t="s">
        <v>92</v>
      </c>
      <c r="G150" s="4">
        <v>50</v>
      </c>
      <c r="H150" s="4">
        <v>100</v>
      </c>
      <c r="I150" s="4">
        <v>61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66</v>
      </c>
      <c r="U150" s="1" t="str">
        <f>VLOOKUP(data[[#This Row],[Material]],'[1]Hoja para mrp'!$A:$Z,26,0)</f>
        <v>2da compra</v>
      </c>
      <c r="V150" s="1">
        <f>VLOOKUP(data[[#This Row],[Material]],'[1]Hoja para mrp'!$A:$Z,25,0)</f>
        <v>100</v>
      </c>
    </row>
    <row r="151" spans="2:23" x14ac:dyDescent="0.25">
      <c r="B151" s="4">
        <v>20009224</v>
      </c>
      <c r="C151" s="1" t="s">
        <v>164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75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 t="e">
        <f>VLOOKUP(data[[#This Row],[Material]],'[1]Hoja para mrp'!$A:$Z,26,0)</f>
        <v>#N/A</v>
      </c>
      <c r="V151" s="1" t="e">
        <f>VLOOKUP(data[[#This Row],[Material]],'[1]Hoja para mrp'!$A:$Z,25,0)</f>
        <v>#N/A</v>
      </c>
    </row>
    <row r="152" spans="2:23" x14ac:dyDescent="0.25">
      <c r="B152" s="4">
        <v>20009231</v>
      </c>
      <c r="C152" s="1" t="s">
        <v>165</v>
      </c>
      <c r="D152" s="4" t="s">
        <v>89</v>
      </c>
      <c r="E152" s="3" t="s">
        <v>90</v>
      </c>
      <c r="F152" s="3" t="s">
        <v>92</v>
      </c>
      <c r="G152" s="4">
        <v>30</v>
      </c>
      <c r="H152" s="4">
        <v>50</v>
      </c>
      <c r="I152" s="4">
        <v>28</v>
      </c>
      <c r="J152" s="4" t="s">
        <v>8</v>
      </c>
      <c r="K152" s="4" t="s">
        <v>9</v>
      </c>
      <c r="L152" s="11" t="s">
        <v>1667</v>
      </c>
      <c r="M152" s="3">
        <v>50</v>
      </c>
      <c r="N152"/>
      <c r="O152" s="4"/>
      <c r="P152" s="1"/>
      <c r="Q152" s="22"/>
      <c r="R152" t="s">
        <v>91</v>
      </c>
      <c r="S152" s="11"/>
      <c r="T152" s="4" t="s">
        <v>66</v>
      </c>
      <c r="U152" s="1" t="e">
        <f>VLOOKUP(data[[#This Row],[Material]],'[1]Hoja para mrp'!$A:$Z,26,0)</f>
        <v>#N/A</v>
      </c>
      <c r="V152" s="1" t="e">
        <f>VLOOKUP(data[[#This Row],[Material]],'[1]Hoja para mrp'!$A:$Z,25,0)</f>
        <v>#N/A</v>
      </c>
    </row>
    <row r="153" spans="2:23" x14ac:dyDescent="0.25">
      <c r="B153" s="4">
        <v>20008985</v>
      </c>
      <c r="C153" s="1" t="s">
        <v>364</v>
      </c>
      <c r="D153" s="4" t="s">
        <v>89</v>
      </c>
      <c r="E153" s="3"/>
      <c r="F153" s="3" t="s">
        <v>69</v>
      </c>
      <c r="G153" s="4">
        <v>20</v>
      </c>
      <c r="H153" s="15">
        <v>20</v>
      </c>
      <c r="I153" s="4">
        <v>27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s="4" t="s">
        <v>73</v>
      </c>
      <c r="U153" s="1" t="e">
        <f>VLOOKUP(data[[#This Row],[Material]],'[1]Hoja para mrp'!$A:$Z,26,0)</f>
        <v>#N/A</v>
      </c>
      <c r="V153" s="1" t="e">
        <f>VLOOKUP(data[[#This Row],[Material]],'[1]Hoja para mrp'!$A:$Z,25,0)</f>
        <v>#N/A</v>
      </c>
    </row>
    <row r="154" spans="2:23" x14ac:dyDescent="0.25">
      <c r="B154" s="4">
        <v>20009248</v>
      </c>
      <c r="C154" s="1" t="s">
        <v>166</v>
      </c>
      <c r="D154" s="4" t="s">
        <v>89</v>
      </c>
      <c r="E154" s="3" t="s">
        <v>90</v>
      </c>
      <c r="F154" s="3" t="s">
        <v>92</v>
      </c>
      <c r="G154" s="4">
        <v>200</v>
      </c>
      <c r="H154" s="4">
        <v>200</v>
      </c>
      <c r="I154" s="4">
        <v>2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1557</v>
      </c>
      <c r="Q154" s="22">
        <v>46041</v>
      </c>
      <c r="R154" t="s">
        <v>91</v>
      </c>
      <c r="S154" s="11"/>
      <c r="T154" s="4" t="s">
        <v>66</v>
      </c>
      <c r="U154" s="1" t="e">
        <f>VLOOKUP(data[[#This Row],[Material]],'[1]Hoja para mrp'!$A:$Z,26,0)</f>
        <v>#N/A</v>
      </c>
      <c r="V154" s="1" t="e">
        <f>VLOOKUP(data[[#This Row],[Material]],'[1]Hoja para mrp'!$A:$Z,25,0)</f>
        <v>#N/A</v>
      </c>
      <c r="W154" s="1" t="s">
        <v>1696</v>
      </c>
    </row>
    <row r="155" spans="2:23" x14ac:dyDescent="0.25">
      <c r="B155" s="4">
        <v>20009261</v>
      </c>
      <c r="C155" s="1" t="s">
        <v>167</v>
      </c>
      <c r="D155" s="4" t="s">
        <v>89</v>
      </c>
      <c r="E155" s="3" t="s">
        <v>90</v>
      </c>
      <c r="F155" s="3" t="s">
        <v>92</v>
      </c>
      <c r="G155" s="4">
        <v>20</v>
      </c>
      <c r="H155" s="4">
        <v>50</v>
      </c>
      <c r="I155" s="4">
        <v>81</v>
      </c>
      <c r="J155" s="4" t="s">
        <v>8</v>
      </c>
      <c r="K155" s="4" t="s">
        <v>14</v>
      </c>
      <c r="L155" s="11"/>
      <c r="M155" s="3"/>
      <c r="N155"/>
      <c r="O155" s="4"/>
      <c r="P155" s="1"/>
      <c r="Q155" s="22"/>
      <c r="R155" t="s">
        <v>91</v>
      </c>
      <c r="S155" s="11"/>
      <c r="T155" s="4" t="s">
        <v>66</v>
      </c>
      <c r="U155" s="1" t="e">
        <f>VLOOKUP(data[[#This Row],[Material]],'[1]Hoja para mrp'!$A:$Z,26,0)</f>
        <v>#N/A</v>
      </c>
      <c r="V155" s="1" t="e">
        <f>VLOOKUP(data[[#This Row],[Material]],'[1]Hoja para mrp'!$A:$Z,25,0)</f>
        <v>#N/A</v>
      </c>
    </row>
    <row r="156" spans="2:23" x14ac:dyDescent="0.25">
      <c r="B156" s="4">
        <v>20009104</v>
      </c>
      <c r="C156" s="1" t="s">
        <v>1579</v>
      </c>
      <c r="D156" s="4" t="s">
        <v>89</v>
      </c>
      <c r="E156" s="3"/>
      <c r="F156" s="3" t="s">
        <v>69</v>
      </c>
      <c r="G156" s="4">
        <v>50</v>
      </c>
      <c r="H156" s="4">
        <v>100</v>
      </c>
      <c r="I156" s="4">
        <v>100</v>
      </c>
      <c r="J156" s="4" t="s">
        <v>8</v>
      </c>
      <c r="K156" s="4" t="s">
        <v>7</v>
      </c>
      <c r="L156" s="11"/>
      <c r="M156" s="3"/>
      <c r="N156"/>
      <c r="O156" s="4"/>
      <c r="P156" s="1"/>
      <c r="Q156" s="22"/>
      <c r="R156"/>
      <c r="S156" s="11"/>
      <c r="T156" s="4" t="s">
        <v>66</v>
      </c>
      <c r="U156" s="1" t="e">
        <f>VLOOKUP(data[[#This Row],[Material]],'[1]Hoja para mrp'!$A:$Z,26,0)</f>
        <v>#N/A</v>
      </c>
      <c r="V156" s="1" t="e">
        <f>VLOOKUP(data[[#This Row],[Material]],'[1]Hoja para mrp'!$A:$Z,25,0)</f>
        <v>#N/A</v>
      </c>
    </row>
    <row r="157" spans="2:23" x14ac:dyDescent="0.25">
      <c r="B157" s="4">
        <v>20009266</v>
      </c>
      <c r="C157" s="1" t="s">
        <v>168</v>
      </c>
      <c r="D157" s="4" t="s">
        <v>89</v>
      </c>
      <c r="E157" s="3" t="s">
        <v>90</v>
      </c>
      <c r="F157" s="3" t="s">
        <v>92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91</v>
      </c>
      <c r="S157" s="11"/>
      <c r="T157" s="4" t="s">
        <v>66</v>
      </c>
      <c r="U157" s="1" t="e">
        <f>VLOOKUP(data[[#This Row],[Material]],'[1]Hoja para mrp'!$A:$Z,26,0)</f>
        <v>#N/A</v>
      </c>
      <c r="V157" s="1" t="e">
        <f>VLOOKUP(data[[#This Row],[Material]],'[1]Hoja para mrp'!$A:$Z,25,0)</f>
        <v>#N/A</v>
      </c>
    </row>
    <row r="158" spans="2:23" x14ac:dyDescent="0.25">
      <c r="B158" s="4">
        <v>20009278</v>
      </c>
      <c r="C158" s="1" t="s">
        <v>169</v>
      </c>
      <c r="D158" s="4" t="s">
        <v>89</v>
      </c>
      <c r="E158" s="3" t="s">
        <v>90</v>
      </c>
      <c r="F158" s="3" t="s">
        <v>92</v>
      </c>
      <c r="G158" s="4">
        <v>50</v>
      </c>
      <c r="H158" s="4">
        <v>100</v>
      </c>
      <c r="I158" s="4">
        <v>80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 t="e">
        <f>VLOOKUP(data[[#This Row],[Material]],'[1]Hoja para mrp'!$A:$Z,26,0)</f>
        <v>#N/A</v>
      </c>
      <c r="V158" s="1" t="e">
        <f>VLOOKUP(data[[#This Row],[Material]],'[1]Hoja para mrp'!$A:$Z,25,0)</f>
        <v>#N/A</v>
      </c>
    </row>
    <row r="159" spans="2:23" x14ac:dyDescent="0.25">
      <c r="B159" s="4">
        <v>20009440</v>
      </c>
      <c r="C159" s="1" t="s">
        <v>170</v>
      </c>
      <c r="D159" s="4" t="s">
        <v>89</v>
      </c>
      <c r="E159" s="3" t="s">
        <v>90</v>
      </c>
      <c r="F159" s="3" t="s">
        <v>92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 t="e">
        <f>VLOOKUP(data[[#This Row],[Material]],'[1]Hoja para mrp'!$A:$Z,26,0)</f>
        <v>#N/A</v>
      </c>
      <c r="V159" s="1" t="e">
        <f>VLOOKUP(data[[#This Row],[Material]],'[1]Hoja para mrp'!$A:$Z,25,0)</f>
        <v>#N/A</v>
      </c>
    </row>
    <row r="160" spans="2:23" x14ac:dyDescent="0.25">
      <c r="B160" s="4">
        <v>20009470</v>
      </c>
      <c r="C160" s="1" t="s">
        <v>171</v>
      </c>
      <c r="D160" s="4" t="s">
        <v>89</v>
      </c>
      <c r="E160" s="3" t="s">
        <v>90</v>
      </c>
      <c r="F160" s="3" t="s">
        <v>92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91</v>
      </c>
      <c r="S160" s="11"/>
      <c r="T160" s="4" t="s">
        <v>66</v>
      </c>
      <c r="U160" s="1" t="e">
        <f>VLOOKUP(data[[#This Row],[Material]],'[1]Hoja para mrp'!$A:$Z,26,0)</f>
        <v>#N/A</v>
      </c>
      <c r="V160" s="1" t="e">
        <f>VLOOKUP(data[[#This Row],[Material]],'[1]Hoja para mrp'!$A:$Z,25,0)</f>
        <v>#N/A</v>
      </c>
    </row>
    <row r="161" spans="2:23" x14ac:dyDescent="0.25">
      <c r="B161" s="4">
        <v>20009512</v>
      </c>
      <c r="C161" s="1" t="s">
        <v>172</v>
      </c>
      <c r="D161" s="4" t="s">
        <v>89</v>
      </c>
      <c r="E161" s="3" t="s">
        <v>90</v>
      </c>
      <c r="F161" s="3" t="s">
        <v>92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/>
      <c r="M161" s="3"/>
      <c r="N161"/>
      <c r="O161" s="16"/>
      <c r="P161" s="73"/>
      <c r="Q161" s="23"/>
      <c r="R161" t="s">
        <v>91</v>
      </c>
      <c r="S161" s="11"/>
      <c r="T161" s="4" t="s">
        <v>66</v>
      </c>
      <c r="U161" s="1" t="e">
        <f>VLOOKUP(data[[#This Row],[Material]],'[1]Hoja para mrp'!$A:$Z,26,0)</f>
        <v>#N/A</v>
      </c>
      <c r="V161" s="1" t="e">
        <f>VLOOKUP(data[[#This Row],[Material]],'[1]Hoja para mrp'!$A:$Z,25,0)</f>
        <v>#N/A</v>
      </c>
    </row>
    <row r="162" spans="2:23" x14ac:dyDescent="0.25">
      <c r="B162" s="4">
        <v>20009543</v>
      </c>
      <c r="C162" s="1" t="s">
        <v>173</v>
      </c>
      <c r="D162" s="4" t="s">
        <v>89</v>
      </c>
      <c r="E162" s="3" t="s">
        <v>90</v>
      </c>
      <c r="F162" s="3" t="s">
        <v>92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 t="e">
        <f>VLOOKUP(data[[#This Row],[Material]],'[1]Hoja para mrp'!$A:$Z,26,0)</f>
        <v>#N/A</v>
      </c>
      <c r="V162" s="1" t="e">
        <f>VLOOKUP(data[[#This Row],[Material]],'[1]Hoja para mrp'!$A:$Z,25,0)</f>
        <v>#N/A</v>
      </c>
    </row>
    <row r="163" spans="2:23" x14ac:dyDescent="0.25">
      <c r="B163" s="4">
        <v>20009279</v>
      </c>
      <c r="C163" s="1" t="s">
        <v>1383</v>
      </c>
      <c r="D163" s="4" t="s">
        <v>89</v>
      </c>
      <c r="E163" s="3"/>
      <c r="F163" s="3" t="s">
        <v>69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66</v>
      </c>
      <c r="U163" s="1" t="e">
        <f>VLOOKUP(data[[#This Row],[Material]],'[1]Hoja para mrp'!$A:$Z,26,0)</f>
        <v>#N/A</v>
      </c>
      <c r="V163" s="1" t="e">
        <f>VLOOKUP(data[[#This Row],[Material]],'[1]Hoja para mrp'!$A:$Z,25,0)</f>
        <v>#N/A</v>
      </c>
      <c r="W163" s="1" t="s">
        <v>1673</v>
      </c>
    </row>
    <row r="164" spans="2:23" x14ac:dyDescent="0.25">
      <c r="B164" s="4">
        <v>20009671</v>
      </c>
      <c r="C164" s="1" t="s">
        <v>174</v>
      </c>
      <c r="D164" s="4" t="s">
        <v>89</v>
      </c>
      <c r="E164" s="3" t="s">
        <v>90</v>
      </c>
      <c r="F164" s="3" t="s">
        <v>92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 t="e">
        <f>VLOOKUP(data[[#This Row],[Material]],'[1]Hoja para mrp'!$A:$Z,26,0)</f>
        <v>#N/A</v>
      </c>
      <c r="V164" s="1" t="e">
        <f>VLOOKUP(data[[#This Row],[Material]],'[1]Hoja para mrp'!$A:$Z,25,0)</f>
        <v>#N/A</v>
      </c>
    </row>
    <row r="165" spans="2:23" x14ac:dyDescent="0.25">
      <c r="B165" s="4">
        <v>20009690</v>
      </c>
      <c r="C165" s="1" t="s">
        <v>175</v>
      </c>
      <c r="D165" s="4" t="s">
        <v>89</v>
      </c>
      <c r="E165" s="3" t="s">
        <v>90</v>
      </c>
      <c r="F165" s="3" t="s">
        <v>92</v>
      </c>
      <c r="G165" s="4">
        <v>41</v>
      </c>
      <c r="H165" s="4">
        <v>82</v>
      </c>
      <c r="I165" s="4">
        <v>83</v>
      </c>
      <c r="J165" s="4" t="s">
        <v>8</v>
      </c>
      <c r="K165" s="4" t="s">
        <v>7</v>
      </c>
      <c r="L165" s="11"/>
      <c r="M165" s="3"/>
      <c r="N165">
        <v>4502687337</v>
      </c>
      <c r="O165" s="4">
        <v>200</v>
      </c>
      <c r="P165" s="1" t="s">
        <v>1649</v>
      </c>
      <c r="Q165" s="22">
        <v>46207</v>
      </c>
      <c r="R165" t="s">
        <v>91</v>
      </c>
      <c r="S165" s="11"/>
      <c r="T165" s="4" t="s">
        <v>66</v>
      </c>
      <c r="U165" s="1" t="e">
        <f>VLOOKUP(data[[#This Row],[Material]],'[1]Hoja para mrp'!$A:$Z,26,0)</f>
        <v>#N/A</v>
      </c>
      <c r="V165" s="1" t="e">
        <f>VLOOKUP(data[[#This Row],[Material]],'[1]Hoja para mrp'!$A:$Z,25,0)</f>
        <v>#N/A</v>
      </c>
    </row>
    <row r="166" spans="2:23" x14ac:dyDescent="0.25">
      <c r="B166" s="4">
        <v>20009697</v>
      </c>
      <c r="C166" s="1" t="s">
        <v>176</v>
      </c>
      <c r="D166" s="4" t="s">
        <v>89</v>
      </c>
      <c r="E166" s="3" t="s">
        <v>90</v>
      </c>
      <c r="F166" s="3" t="s">
        <v>92</v>
      </c>
      <c r="G166" s="4">
        <v>50</v>
      </c>
      <c r="H166" s="4">
        <v>100</v>
      </c>
      <c r="I166" s="4">
        <v>48</v>
      </c>
      <c r="J166" s="4" t="s">
        <v>8</v>
      </c>
      <c r="K166" s="4" t="s">
        <v>9</v>
      </c>
      <c r="L166" s="11">
        <v>1002663549</v>
      </c>
      <c r="M166" s="3">
        <v>100</v>
      </c>
      <c r="N166"/>
      <c r="O166" s="4"/>
      <c r="P166" s="1"/>
      <c r="Q166" s="22"/>
      <c r="R166" t="s">
        <v>91</v>
      </c>
      <c r="S166" s="11"/>
      <c r="T166" s="4" t="s">
        <v>66</v>
      </c>
      <c r="U166" s="1" t="e">
        <f>VLOOKUP(data[[#This Row],[Material]],'[1]Hoja para mrp'!$A:$Z,26,0)</f>
        <v>#N/A</v>
      </c>
      <c r="V166" s="1" t="e">
        <f>VLOOKUP(data[[#This Row],[Material]],'[1]Hoja para mrp'!$A:$Z,25,0)</f>
        <v>#N/A</v>
      </c>
    </row>
    <row r="167" spans="2:23" x14ac:dyDescent="0.25">
      <c r="B167" s="4">
        <v>20010594</v>
      </c>
      <c r="C167" s="1" t="s">
        <v>177</v>
      </c>
      <c r="D167" s="4" t="s">
        <v>89</v>
      </c>
      <c r="E167" s="3" t="s">
        <v>90</v>
      </c>
      <c r="F167" s="3" t="s">
        <v>92</v>
      </c>
      <c r="G167" s="4">
        <v>10</v>
      </c>
      <c r="H167" s="4">
        <v>20</v>
      </c>
      <c r="I167" s="4">
        <v>27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73</v>
      </c>
      <c r="U167" s="1" t="e">
        <f>VLOOKUP(data[[#This Row],[Material]],'[1]Hoja para mrp'!$A:$Z,26,0)</f>
        <v>#N/A</v>
      </c>
      <c r="V167" s="1" t="e">
        <f>VLOOKUP(data[[#This Row],[Material]],'[1]Hoja para mrp'!$A:$Z,25,0)</f>
        <v>#N/A</v>
      </c>
    </row>
    <row r="168" spans="2:23" x14ac:dyDescent="0.25">
      <c r="B168" s="4">
        <v>20009586</v>
      </c>
      <c r="C168" s="1" t="s">
        <v>1281</v>
      </c>
      <c r="D168" s="4" t="s">
        <v>89</v>
      </c>
      <c r="E168" s="3"/>
      <c r="F168" s="3" t="s">
        <v>69</v>
      </c>
      <c r="G168" s="4">
        <v>1000</v>
      </c>
      <c r="H168" s="4">
        <v>2000</v>
      </c>
      <c r="I168" s="4">
        <v>3000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66</v>
      </c>
      <c r="U168" s="1" t="e">
        <f>VLOOKUP(data[[#This Row],[Material]],'[1]Hoja para mrp'!$A:$Z,26,0)</f>
        <v>#N/A</v>
      </c>
      <c r="V168" s="1" t="e">
        <f>VLOOKUP(data[[#This Row],[Material]],'[1]Hoja para mrp'!$A:$Z,25,0)</f>
        <v>#N/A</v>
      </c>
    </row>
    <row r="169" spans="2:23" x14ac:dyDescent="0.25">
      <c r="B169" s="4">
        <v>20009587</v>
      </c>
      <c r="C169" s="1" t="s">
        <v>1282</v>
      </c>
      <c r="D169" s="4" t="s">
        <v>89</v>
      </c>
      <c r="E169" s="3"/>
      <c r="F169" s="3" t="s">
        <v>69</v>
      </c>
      <c r="G169" s="4">
        <v>1000</v>
      </c>
      <c r="H169" s="4">
        <v>2000</v>
      </c>
      <c r="I169" s="4">
        <v>1000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66</v>
      </c>
      <c r="U169" s="1" t="e">
        <f>VLOOKUP(data[[#This Row],[Material]],'[1]Hoja para mrp'!$A:$Z,26,0)</f>
        <v>#N/A</v>
      </c>
      <c r="V169" s="1" t="e">
        <f>VLOOKUP(data[[#This Row],[Material]],'[1]Hoja para mrp'!$A:$Z,25,0)</f>
        <v>#N/A</v>
      </c>
    </row>
    <row r="170" spans="2:23" x14ac:dyDescent="0.25">
      <c r="B170" s="4">
        <v>20010751</v>
      </c>
      <c r="C170" s="1" t="s">
        <v>178</v>
      </c>
      <c r="D170" s="4" t="s">
        <v>89</v>
      </c>
      <c r="E170" s="3" t="s">
        <v>90</v>
      </c>
      <c r="F170" s="3" t="s">
        <v>92</v>
      </c>
      <c r="G170" s="4">
        <v>6</v>
      </c>
      <c r="H170" s="4">
        <v>12</v>
      </c>
      <c r="I170" s="4">
        <v>7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91</v>
      </c>
      <c r="S170" s="11"/>
      <c r="T170" s="4" t="s">
        <v>66</v>
      </c>
      <c r="U170" s="1" t="e">
        <f>VLOOKUP(data[[#This Row],[Material]],'[1]Hoja para mrp'!$A:$Z,26,0)</f>
        <v>#N/A</v>
      </c>
      <c r="V170" s="1" t="e">
        <f>VLOOKUP(data[[#This Row],[Material]],'[1]Hoja para mrp'!$A:$Z,25,0)</f>
        <v>#N/A</v>
      </c>
    </row>
    <row r="171" spans="2:23" x14ac:dyDescent="0.25">
      <c r="B171" s="4">
        <v>20009588</v>
      </c>
      <c r="C171" s="1" t="s">
        <v>1283</v>
      </c>
      <c r="D171" s="4" t="s">
        <v>89</v>
      </c>
      <c r="E171" s="3"/>
      <c r="F171" s="3" t="s">
        <v>69</v>
      </c>
      <c r="G171" s="4">
        <v>2000</v>
      </c>
      <c r="H171" s="4">
        <v>4000</v>
      </c>
      <c r="I171" s="4">
        <v>2400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66</v>
      </c>
      <c r="U171" s="1" t="e">
        <f>VLOOKUP(data[[#This Row],[Material]],'[1]Hoja para mrp'!$A:$Z,26,0)</f>
        <v>#N/A</v>
      </c>
      <c r="V171" s="1" t="e">
        <f>VLOOKUP(data[[#This Row],[Material]],'[1]Hoja para mrp'!$A:$Z,25,0)</f>
        <v>#N/A</v>
      </c>
    </row>
    <row r="172" spans="2:23" x14ac:dyDescent="0.25">
      <c r="B172" s="4">
        <v>20011173</v>
      </c>
      <c r="C172" s="1" t="s">
        <v>53</v>
      </c>
      <c r="D172" s="4" t="s">
        <v>89</v>
      </c>
      <c r="E172" s="3" t="s">
        <v>90</v>
      </c>
      <c r="F172" s="3" t="s">
        <v>92</v>
      </c>
      <c r="G172" s="4">
        <v>8</v>
      </c>
      <c r="H172" s="4">
        <v>10</v>
      </c>
      <c r="I172" s="4">
        <v>13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 t="s">
        <v>91</v>
      </c>
      <c r="S172" s="11"/>
      <c r="T172" s="4" t="s">
        <v>73</v>
      </c>
      <c r="U172" s="1" t="e">
        <f>VLOOKUP(data[[#This Row],[Material]],'[1]Hoja para mrp'!$A:$Z,26,0)</f>
        <v>#N/A</v>
      </c>
      <c r="V172" s="1" t="e">
        <f>VLOOKUP(data[[#This Row],[Material]],'[1]Hoja para mrp'!$A:$Z,25,0)</f>
        <v>#N/A</v>
      </c>
    </row>
    <row r="173" spans="2:23" x14ac:dyDescent="0.25">
      <c r="B173" s="4">
        <v>20009641</v>
      </c>
      <c r="C173" s="1" t="s">
        <v>1215</v>
      </c>
      <c r="D173" s="4" t="s">
        <v>89</v>
      </c>
      <c r="E173" s="3"/>
      <c r="F173" s="3" t="s">
        <v>69</v>
      </c>
      <c r="G173" s="4">
        <v>5000</v>
      </c>
      <c r="H173" s="4">
        <v>10000</v>
      </c>
      <c r="I173" s="4">
        <v>10150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/>
      <c r="S173" s="11"/>
      <c r="T173" s="4" t="s">
        <v>66</v>
      </c>
      <c r="U173" s="1" t="e">
        <f>VLOOKUP(data[[#This Row],[Material]],'[1]Hoja para mrp'!$A:$Z,26,0)</f>
        <v>#N/A</v>
      </c>
      <c r="V173" s="1" t="e">
        <f>VLOOKUP(data[[#This Row],[Material]],'[1]Hoja para mrp'!$A:$Z,25,0)</f>
        <v>#N/A</v>
      </c>
    </row>
    <row r="174" spans="2:23" x14ac:dyDescent="0.25">
      <c r="B174" s="4">
        <v>20011174</v>
      </c>
      <c r="C174" s="1" t="s">
        <v>54</v>
      </c>
      <c r="D174" s="4" t="s">
        <v>89</v>
      </c>
      <c r="E174" s="3" t="s">
        <v>90</v>
      </c>
      <c r="F174" s="3" t="s">
        <v>92</v>
      </c>
      <c r="G174" s="4">
        <v>3</v>
      </c>
      <c r="H174" s="4">
        <v>7</v>
      </c>
      <c r="I174" s="4">
        <v>12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 t="s">
        <v>91</v>
      </c>
      <c r="S174" s="11"/>
      <c r="T174" s="4" t="s">
        <v>73</v>
      </c>
      <c r="U174" s="1" t="e">
        <f>VLOOKUP(data[[#This Row],[Material]],'[1]Hoja para mrp'!$A:$Z,26,0)</f>
        <v>#N/A</v>
      </c>
      <c r="V174" s="1" t="e">
        <f>VLOOKUP(data[[#This Row],[Material]],'[1]Hoja para mrp'!$A:$Z,25,0)</f>
        <v>#N/A</v>
      </c>
    </row>
    <row r="175" spans="2:23" x14ac:dyDescent="0.25">
      <c r="B175" s="4">
        <v>20011177</v>
      </c>
      <c r="C175" s="1" t="s">
        <v>55</v>
      </c>
      <c r="D175" s="4" t="s">
        <v>89</v>
      </c>
      <c r="E175" s="3" t="s">
        <v>90</v>
      </c>
      <c r="F175" s="3" t="s">
        <v>92</v>
      </c>
      <c r="G175" s="4">
        <v>5</v>
      </c>
      <c r="H175" s="4">
        <v>8</v>
      </c>
      <c r="I175" s="4">
        <v>11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 t="e">
        <f>VLOOKUP(data[[#This Row],[Material]],'[1]Hoja para mrp'!$A:$Z,26,0)</f>
        <v>#N/A</v>
      </c>
      <c r="V175" s="1" t="e">
        <f>VLOOKUP(data[[#This Row],[Material]],'[1]Hoja para mrp'!$A:$Z,25,0)</f>
        <v>#N/A</v>
      </c>
    </row>
    <row r="176" spans="2:23" x14ac:dyDescent="0.25">
      <c r="B176" s="4">
        <v>20011480</v>
      </c>
      <c r="C176" s="1" t="s">
        <v>179</v>
      </c>
      <c r="D176" s="4" t="s">
        <v>89</v>
      </c>
      <c r="E176" s="3" t="s">
        <v>100</v>
      </c>
      <c r="F176" s="3" t="s">
        <v>92</v>
      </c>
      <c r="G176" s="4">
        <v>10</v>
      </c>
      <c r="H176" s="4">
        <v>20</v>
      </c>
      <c r="I176" s="4">
        <v>19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101</v>
      </c>
      <c r="S176" s="11"/>
      <c r="T176" s="4" t="s">
        <v>71</v>
      </c>
      <c r="U176" s="1" t="e">
        <f>VLOOKUP(data[[#This Row],[Material]],'[1]Hoja para mrp'!$A:$Z,26,0)</f>
        <v>#N/A</v>
      </c>
      <c r="V176" s="1" t="e">
        <f>VLOOKUP(data[[#This Row],[Material]],'[1]Hoja para mrp'!$A:$Z,25,0)</f>
        <v>#N/A</v>
      </c>
    </row>
    <row r="177" spans="2:22" x14ac:dyDescent="0.25">
      <c r="B177" s="4">
        <v>20009699</v>
      </c>
      <c r="C177" s="1" t="s">
        <v>1384</v>
      </c>
      <c r="D177" s="4" t="s">
        <v>89</v>
      </c>
      <c r="E177" s="3"/>
      <c r="F177" s="3" t="s">
        <v>69</v>
      </c>
      <c r="G177" s="4">
        <v>30</v>
      </c>
      <c r="H177" s="4">
        <v>60</v>
      </c>
      <c r="I177" s="4">
        <v>38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s="4" t="s">
        <v>66</v>
      </c>
      <c r="U177" s="1" t="e">
        <f>VLOOKUP(data[[#This Row],[Material]],'[1]Hoja para mrp'!$A:$Z,26,0)</f>
        <v>#N/A</v>
      </c>
      <c r="V177" s="1" t="e">
        <f>VLOOKUP(data[[#This Row],[Material]],'[1]Hoja para mrp'!$A:$Z,25,0)</f>
        <v>#N/A</v>
      </c>
    </row>
    <row r="178" spans="2:22" x14ac:dyDescent="0.25">
      <c r="B178" s="4">
        <v>20009765</v>
      </c>
      <c r="C178" s="1" t="s">
        <v>1493</v>
      </c>
      <c r="D178" s="4" t="s">
        <v>89</v>
      </c>
      <c r="E178" s="3"/>
      <c r="F178" s="3" t="s">
        <v>69</v>
      </c>
      <c r="G178" s="4">
        <v>2</v>
      </c>
      <c r="H178" s="4">
        <v>2</v>
      </c>
      <c r="I178" s="4">
        <v>5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/>
      <c r="S178" s="11"/>
      <c r="T178" s="4" t="s">
        <v>73</v>
      </c>
      <c r="U178" s="1" t="e">
        <f>VLOOKUP(data[[#This Row],[Material]],'[1]Hoja para mrp'!$A:$Z,26,0)</f>
        <v>#N/A</v>
      </c>
      <c r="V178" s="1" t="e">
        <f>VLOOKUP(data[[#This Row],[Material]],'[1]Hoja para mrp'!$A:$Z,25,0)</f>
        <v>#N/A</v>
      </c>
    </row>
    <row r="179" spans="2:22" x14ac:dyDescent="0.25">
      <c r="B179" s="4">
        <v>20019648</v>
      </c>
      <c r="C179" s="1" t="s">
        <v>180</v>
      </c>
      <c r="D179" s="4" t="s">
        <v>89</v>
      </c>
      <c r="E179" s="3" t="s">
        <v>100</v>
      </c>
      <c r="F179" s="3" t="s">
        <v>92</v>
      </c>
      <c r="G179" s="4">
        <v>7</v>
      </c>
      <c r="H179" s="4">
        <v>11</v>
      </c>
      <c r="I179" s="4">
        <v>26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 t="s">
        <v>101</v>
      </c>
      <c r="S179" s="11"/>
      <c r="T179" s="4" t="s">
        <v>67</v>
      </c>
      <c r="U179" s="1" t="e">
        <f>VLOOKUP(data[[#This Row],[Material]],'[1]Hoja para mrp'!$A:$Z,26,0)</f>
        <v>#N/A</v>
      </c>
      <c r="V179" s="1" t="e">
        <f>VLOOKUP(data[[#This Row],[Material]],'[1]Hoja para mrp'!$A:$Z,25,0)</f>
        <v>#N/A</v>
      </c>
    </row>
    <row r="180" spans="2:22" x14ac:dyDescent="0.25">
      <c r="B180" s="4">
        <v>20011481</v>
      </c>
      <c r="C180" s="1" t="s">
        <v>181</v>
      </c>
      <c r="D180" s="4" t="s">
        <v>89</v>
      </c>
      <c r="E180" s="3" t="s">
        <v>100</v>
      </c>
      <c r="F180" s="3" t="s">
        <v>92</v>
      </c>
      <c r="G180" s="4">
        <v>4</v>
      </c>
      <c r="H180" s="4">
        <v>8</v>
      </c>
      <c r="I180" s="4">
        <v>6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101</v>
      </c>
      <c r="S180" s="11"/>
      <c r="T180" s="4" t="s">
        <v>71</v>
      </c>
      <c r="U180" s="1" t="e">
        <f>VLOOKUP(data[[#This Row],[Material]],'[1]Hoja para mrp'!$A:$Z,26,0)</f>
        <v>#N/A</v>
      </c>
      <c r="V180" s="1" t="e">
        <f>VLOOKUP(data[[#This Row],[Material]],'[1]Hoja para mrp'!$A:$Z,25,0)</f>
        <v>#N/A</v>
      </c>
    </row>
    <row r="181" spans="2:22" x14ac:dyDescent="0.25">
      <c r="B181" s="4">
        <v>20011483</v>
      </c>
      <c r="C181" s="1" t="s">
        <v>182</v>
      </c>
      <c r="D181" s="4" t="s">
        <v>89</v>
      </c>
      <c r="E181" s="3" t="s">
        <v>100</v>
      </c>
      <c r="F181" s="3" t="s">
        <v>92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 t="e">
        <f>VLOOKUP(data[[#This Row],[Material]],'[1]Hoja para mrp'!$A:$Z,26,0)</f>
        <v>#N/A</v>
      </c>
      <c r="V181" s="1" t="e">
        <f>VLOOKUP(data[[#This Row],[Material]],'[1]Hoja para mrp'!$A:$Z,25,0)</f>
        <v>#N/A</v>
      </c>
    </row>
    <row r="182" spans="2:22" x14ac:dyDescent="0.2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20</v>
      </c>
      <c r="J182" s="4" t="s">
        <v>25</v>
      </c>
      <c r="K182" s="4" t="s">
        <v>7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 t="e">
        <f>VLOOKUP(data[[#This Row],[Material]],'[1]Hoja para mrp'!$A:$Z,26,0)</f>
        <v>#N/A</v>
      </c>
      <c r="V182" s="1" t="e">
        <f>VLOOKUP(data[[#This Row],[Material]],'[1]Hoja para mrp'!$A:$Z,25,0)</f>
        <v>#N/A</v>
      </c>
    </row>
    <row r="183" spans="2:22" x14ac:dyDescent="0.2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 t="e">
        <f>VLOOKUP(data[[#This Row],[Material]],'[1]Hoja para mrp'!$A:$Z,26,0)</f>
        <v>#N/A</v>
      </c>
      <c r="V183" s="1" t="e">
        <f>VLOOKUP(data[[#This Row],[Material]],'[1]Hoja para mrp'!$A:$Z,25,0)</f>
        <v>#N/A</v>
      </c>
    </row>
    <row r="184" spans="2:22" x14ac:dyDescent="0.2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 t="e">
        <f>VLOOKUP(data[[#This Row],[Material]],'[1]Hoja para mrp'!$A:$Z,26,0)</f>
        <v>#N/A</v>
      </c>
      <c r="V184" s="1" t="e">
        <f>VLOOKUP(data[[#This Row],[Material]],'[1]Hoja para mrp'!$A:$Z,25,0)</f>
        <v>#N/A</v>
      </c>
    </row>
    <row r="185" spans="2:22" x14ac:dyDescent="0.25">
      <c r="B185" s="4">
        <v>20011281</v>
      </c>
      <c r="C185" s="1" t="s">
        <v>1273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 t="e">
        <f>VLOOKUP(data[[#This Row],[Material]],'[1]Hoja para mrp'!$A:$Z,26,0)</f>
        <v>#N/A</v>
      </c>
      <c r="V185" s="1" t="e">
        <f>VLOOKUP(data[[#This Row],[Material]],'[1]Hoja para mrp'!$A:$Z,25,0)</f>
        <v>#N/A</v>
      </c>
    </row>
    <row r="186" spans="2:22" x14ac:dyDescent="0.25">
      <c r="B186" s="4">
        <v>20011297</v>
      </c>
      <c r="C186" s="1" t="s">
        <v>1274</v>
      </c>
      <c r="D186" s="4" t="s">
        <v>89</v>
      </c>
      <c r="E186" s="3"/>
      <c r="F186" s="3" t="s">
        <v>69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66</v>
      </c>
      <c r="U186" s="1" t="e">
        <f>VLOOKUP(data[[#This Row],[Material]],'[1]Hoja para mrp'!$A:$Z,26,0)</f>
        <v>#N/A</v>
      </c>
      <c r="V186" s="1" t="e">
        <f>VLOOKUP(data[[#This Row],[Material]],'[1]Hoja para mrp'!$A:$Z,25,0)</f>
        <v>#N/A</v>
      </c>
    </row>
    <row r="187" spans="2:22" x14ac:dyDescent="0.25">
      <c r="B187" s="4">
        <v>20011723</v>
      </c>
      <c r="C187" s="1" t="s">
        <v>185</v>
      </c>
      <c r="D187" s="4" t="s">
        <v>89</v>
      </c>
      <c r="E187" s="3" t="s">
        <v>90</v>
      </c>
      <c r="F187" s="3" t="s">
        <v>105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91</v>
      </c>
      <c r="S187" s="11"/>
      <c r="T187" s="4" t="s">
        <v>73</v>
      </c>
      <c r="U187" s="1" t="e">
        <f>VLOOKUP(data[[#This Row],[Material]],'[1]Hoja para mrp'!$A:$Z,26,0)</f>
        <v>#N/A</v>
      </c>
      <c r="V187" s="1" t="e">
        <f>VLOOKUP(data[[#This Row],[Material]],'[1]Hoja para mrp'!$A:$Z,25,0)</f>
        <v>#N/A</v>
      </c>
    </row>
    <row r="188" spans="2:22" x14ac:dyDescent="0.2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 t="e">
        <f>VLOOKUP(data[[#This Row],[Material]],'[1]Hoja para mrp'!$A:$Z,26,0)</f>
        <v>#N/A</v>
      </c>
      <c r="V188" s="1" t="e">
        <f>VLOOKUP(data[[#This Row],[Material]],'[1]Hoja para mrp'!$A:$Z,25,0)</f>
        <v>#N/A</v>
      </c>
    </row>
    <row r="189" spans="2:22" x14ac:dyDescent="0.2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 t="e">
        <f>VLOOKUP(data[[#This Row],[Material]],'[1]Hoja para mrp'!$A:$Z,26,0)</f>
        <v>#N/A</v>
      </c>
      <c r="V189" s="1" t="e">
        <f>VLOOKUP(data[[#This Row],[Material]],'[1]Hoja para mrp'!$A:$Z,25,0)</f>
        <v>#N/A</v>
      </c>
    </row>
    <row r="190" spans="2:22" x14ac:dyDescent="0.25">
      <c r="B190" s="4">
        <v>20011891</v>
      </c>
      <c r="C190" s="1" t="s">
        <v>1375</v>
      </c>
      <c r="D190" s="4" t="s">
        <v>89</v>
      </c>
      <c r="E190" s="3" t="s">
        <v>1641</v>
      </c>
      <c r="F190" s="3" t="s">
        <v>92</v>
      </c>
      <c r="G190" s="4">
        <v>55</v>
      </c>
      <c r="H190" s="4">
        <v>100</v>
      </c>
      <c r="I190" s="4">
        <v>89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 t="e">
        <f>VLOOKUP(data[[#This Row],[Material]],'[1]Hoja para mrp'!$A:$Z,26,0)</f>
        <v>#N/A</v>
      </c>
      <c r="V190" s="1" t="e">
        <f>VLOOKUP(data[[#This Row],[Material]],'[1]Hoja para mrp'!$A:$Z,25,0)</f>
        <v>#N/A</v>
      </c>
    </row>
    <row r="191" spans="2:22" x14ac:dyDescent="0.25">
      <c r="B191" s="4">
        <v>20011612</v>
      </c>
      <c r="C191" s="1" t="s">
        <v>1385</v>
      </c>
      <c r="D191" s="4" t="s">
        <v>89</v>
      </c>
      <c r="E191" s="3"/>
      <c r="F191" s="3" t="s">
        <v>69</v>
      </c>
      <c r="G191" s="4">
        <v>12</v>
      </c>
      <c r="H191" s="4">
        <v>40</v>
      </c>
      <c r="I191" s="4">
        <v>40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73</v>
      </c>
      <c r="U191" s="1" t="e">
        <f>VLOOKUP(data[[#This Row],[Material]],'[1]Hoja para mrp'!$A:$Z,26,0)</f>
        <v>#N/A</v>
      </c>
      <c r="V191" s="1" t="e">
        <f>VLOOKUP(data[[#This Row],[Material]],'[1]Hoja para mrp'!$A:$Z,25,0)</f>
        <v>#N/A</v>
      </c>
    </row>
    <row r="192" spans="2:22" x14ac:dyDescent="0.25">
      <c r="B192" s="4">
        <v>20011895</v>
      </c>
      <c r="C192" s="1" t="s">
        <v>188</v>
      </c>
      <c r="D192" s="4" t="s">
        <v>89</v>
      </c>
      <c r="E192" s="3" t="s">
        <v>1641</v>
      </c>
      <c r="F192" s="3" t="s">
        <v>92</v>
      </c>
      <c r="G192" s="4">
        <v>50</v>
      </c>
      <c r="H192" s="4">
        <v>150</v>
      </c>
      <c r="I192" s="4">
        <v>88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116</v>
      </c>
      <c r="S192" s="11"/>
      <c r="T192" s="4" t="s">
        <v>68</v>
      </c>
      <c r="U192" s="1" t="e">
        <f>VLOOKUP(data[[#This Row],[Material]],'[1]Hoja para mrp'!$A:$Z,26,0)</f>
        <v>#N/A</v>
      </c>
      <c r="V192" s="1" t="e">
        <f>VLOOKUP(data[[#This Row],[Material]],'[1]Hoja para mrp'!$A:$Z,25,0)</f>
        <v>#N/A</v>
      </c>
    </row>
    <row r="193" spans="2:23" x14ac:dyDescent="0.2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 t="e">
        <f>VLOOKUP(data[[#This Row],[Material]],'[1]Hoja para mrp'!$A:$Z,26,0)</f>
        <v>#N/A</v>
      </c>
      <c r="V193" s="1" t="e">
        <f>VLOOKUP(data[[#This Row],[Material]],'[1]Hoja para mrp'!$A:$Z,25,0)</f>
        <v>#N/A</v>
      </c>
    </row>
    <row r="194" spans="2:23" x14ac:dyDescent="0.25">
      <c r="B194" s="4">
        <v>20011926</v>
      </c>
      <c r="C194" s="1" t="s">
        <v>1365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2</v>
      </c>
      <c r="J194" s="4" t="s">
        <v>8</v>
      </c>
      <c r="K194" s="4" t="s">
        <v>9</v>
      </c>
      <c r="L194" s="11">
        <v>1002644388</v>
      </c>
      <c r="M194" s="3">
        <v>10</v>
      </c>
      <c r="N194"/>
      <c r="O194" s="4"/>
      <c r="P194" s="1"/>
      <c r="Q194" s="22"/>
      <c r="R194" t="s">
        <v>91</v>
      </c>
      <c r="S194" s="11"/>
      <c r="T194" s="4" t="s">
        <v>68</v>
      </c>
      <c r="U194" s="1" t="e">
        <f>VLOOKUP(data[[#This Row],[Material]],'[1]Hoja para mrp'!$A:$Z,26,0)</f>
        <v>#N/A</v>
      </c>
      <c r="V194" s="1" t="e">
        <f>VLOOKUP(data[[#This Row],[Material]],'[1]Hoja para mrp'!$A:$Z,25,0)</f>
        <v>#N/A</v>
      </c>
    </row>
    <row r="195" spans="2:23" x14ac:dyDescent="0.25">
      <c r="B195" s="4">
        <v>20011928</v>
      </c>
      <c r="C195" s="1" t="s">
        <v>190</v>
      </c>
      <c r="D195" s="4" t="s">
        <v>89</v>
      </c>
      <c r="E195" s="3" t="s">
        <v>1641</v>
      </c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 t="e">
        <f>VLOOKUP(data[[#This Row],[Material]],'[1]Hoja para mrp'!$A:$Z,26,0)</f>
        <v>#N/A</v>
      </c>
      <c r="V195" s="1" t="e">
        <f>VLOOKUP(data[[#This Row],[Material]],'[1]Hoja para mrp'!$A:$Z,25,0)</f>
        <v>#N/A</v>
      </c>
    </row>
    <row r="196" spans="2:23" x14ac:dyDescent="0.25">
      <c r="B196" s="4">
        <v>20011934</v>
      </c>
      <c r="C196" s="1" t="s">
        <v>191</v>
      </c>
      <c r="D196" s="4" t="s">
        <v>89</v>
      </c>
      <c r="E196" s="3" t="s">
        <v>1641</v>
      </c>
      <c r="F196" s="3" t="s">
        <v>92</v>
      </c>
      <c r="G196" s="4">
        <v>120</v>
      </c>
      <c r="H196" s="4">
        <v>200</v>
      </c>
      <c r="I196" s="4">
        <v>40</v>
      </c>
      <c r="J196" s="4" t="s">
        <v>23</v>
      </c>
      <c r="K196" s="4" t="s">
        <v>9</v>
      </c>
      <c r="L196" s="11"/>
      <c r="M196" s="3"/>
      <c r="N196">
        <v>4502688409</v>
      </c>
      <c r="O196" s="4">
        <v>260</v>
      </c>
      <c r="P196" s="1" t="s">
        <v>1656</v>
      </c>
      <c r="Q196" s="22">
        <v>46210</v>
      </c>
      <c r="R196" t="s">
        <v>116</v>
      </c>
      <c r="S196" s="11"/>
      <c r="T196" s="4" t="s">
        <v>71</v>
      </c>
      <c r="U196" s="1" t="e">
        <f>VLOOKUP(data[[#This Row],[Material]],'[1]Hoja para mrp'!$A:$Z,26,0)</f>
        <v>#N/A</v>
      </c>
      <c r="V196" s="1" t="e">
        <f>VLOOKUP(data[[#This Row],[Material]],'[1]Hoja para mrp'!$A:$Z,25,0)</f>
        <v>#N/A</v>
      </c>
    </row>
    <row r="197" spans="2:23" x14ac:dyDescent="0.2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/>
      <c r="M197" s="3"/>
      <c r="N197">
        <v>4502688790</v>
      </c>
      <c r="O197" s="4">
        <v>3</v>
      </c>
      <c r="P197" s="1" t="s">
        <v>1584</v>
      </c>
      <c r="Q197" s="22">
        <v>46195</v>
      </c>
      <c r="R197" t="s">
        <v>193</v>
      </c>
      <c r="S197" s="11" t="s">
        <v>1592</v>
      </c>
      <c r="T197" s="4" t="s">
        <v>68</v>
      </c>
      <c r="U197" s="1" t="str">
        <f>VLOOKUP(data[[#This Row],[Material]],'[1]Hoja para mrp'!$A:$Z,26,0)</f>
        <v>1ra compra</v>
      </c>
      <c r="V197" s="1">
        <f>VLOOKUP(data[[#This Row],[Material]],'[1]Hoja para mrp'!$A:$Z,25,0)</f>
        <v>10</v>
      </c>
    </row>
    <row r="198" spans="2:23" x14ac:dyDescent="0.25">
      <c r="B198" s="4">
        <v>20012096</v>
      </c>
      <c r="C198" s="1" t="s">
        <v>194</v>
      </c>
      <c r="D198" s="4" t="s">
        <v>89</v>
      </c>
      <c r="E198" s="3" t="s">
        <v>1641</v>
      </c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 t="e">
        <f>VLOOKUP(data[[#This Row],[Material]],'[1]Hoja para mrp'!$A:$Z,26,0)</f>
        <v>#N/A</v>
      </c>
      <c r="V198" s="1" t="e">
        <f>VLOOKUP(data[[#This Row],[Material]],'[1]Hoja para mrp'!$A:$Z,25,0)</f>
        <v>#N/A</v>
      </c>
    </row>
    <row r="199" spans="2:23" x14ac:dyDescent="0.25">
      <c r="B199" s="4">
        <v>20012114</v>
      </c>
      <c r="C199" s="1" t="s">
        <v>195</v>
      </c>
      <c r="D199" s="4" t="s">
        <v>89</v>
      </c>
      <c r="E199" s="3" t="s">
        <v>1641</v>
      </c>
      <c r="F199" s="3" t="s">
        <v>92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 t="e">
        <f>VLOOKUP(data[[#This Row],[Material]],'[1]Hoja para mrp'!$A:$Z,26,0)</f>
        <v>#N/A</v>
      </c>
      <c r="V199" s="1" t="e">
        <f>VLOOKUP(data[[#This Row],[Material]],'[1]Hoja para mrp'!$A:$Z,25,0)</f>
        <v>#N/A</v>
      </c>
    </row>
    <row r="200" spans="2:23" x14ac:dyDescent="0.25">
      <c r="B200" s="4">
        <v>20012171</v>
      </c>
      <c r="C200" s="1" t="s">
        <v>196</v>
      </c>
      <c r="D200" s="4" t="s">
        <v>89</v>
      </c>
      <c r="E200" s="3" t="s">
        <v>100</v>
      </c>
      <c r="F200" s="3" t="s">
        <v>92</v>
      </c>
      <c r="G200" s="4">
        <v>100</v>
      </c>
      <c r="H200" s="4">
        <v>200</v>
      </c>
      <c r="I200" s="4">
        <v>198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101</v>
      </c>
      <c r="S200" s="11"/>
      <c r="T200" s="4" t="s">
        <v>68</v>
      </c>
      <c r="U200" s="1" t="e">
        <f>VLOOKUP(data[[#This Row],[Material]],'[1]Hoja para mrp'!$A:$Z,26,0)</f>
        <v>#N/A</v>
      </c>
      <c r="V200" s="1" t="e">
        <f>VLOOKUP(data[[#This Row],[Material]],'[1]Hoja para mrp'!$A:$Z,25,0)</f>
        <v>#N/A</v>
      </c>
    </row>
    <row r="201" spans="2:23" x14ac:dyDescent="0.25">
      <c r="B201" s="4">
        <v>20011937</v>
      </c>
      <c r="C201" s="1" t="s">
        <v>1410</v>
      </c>
      <c r="D201" s="4" t="s">
        <v>89</v>
      </c>
      <c r="E201" s="3"/>
      <c r="F201" s="3" t="s">
        <v>69</v>
      </c>
      <c r="G201" s="4">
        <v>5</v>
      </c>
      <c r="H201" s="4">
        <v>10</v>
      </c>
      <c r="I201" s="4">
        <v>4</v>
      </c>
      <c r="J201" s="4" t="s">
        <v>24</v>
      </c>
      <c r="K201" s="4" t="s">
        <v>9</v>
      </c>
      <c r="L201" s="11">
        <v>1002648064</v>
      </c>
      <c r="M201" s="3">
        <v>10</v>
      </c>
      <c r="N201"/>
      <c r="O201" s="4"/>
      <c r="P201" s="1"/>
      <c r="Q201" s="22"/>
      <c r="R201"/>
      <c r="S201" s="11"/>
      <c r="T201" s="4" t="s">
        <v>68</v>
      </c>
      <c r="U201" s="1" t="e">
        <f>VLOOKUP(data[[#This Row],[Material]],'[1]Hoja para mrp'!$A:$Z,26,0)</f>
        <v>#N/A</v>
      </c>
      <c r="V201" s="1" t="e">
        <f>VLOOKUP(data[[#This Row],[Material]],'[1]Hoja para mrp'!$A:$Z,25,0)</f>
        <v>#N/A</v>
      </c>
    </row>
    <row r="202" spans="2:23" x14ac:dyDescent="0.25">
      <c r="B202" s="4">
        <v>20012198</v>
      </c>
      <c r="C202" s="1" t="s">
        <v>48</v>
      </c>
      <c r="D202" s="4" t="s">
        <v>89</v>
      </c>
      <c r="E202" s="3" t="s">
        <v>94</v>
      </c>
      <c r="F202" s="3" t="s">
        <v>92</v>
      </c>
      <c r="G202" s="4">
        <v>18</v>
      </c>
      <c r="H202" s="4">
        <v>20</v>
      </c>
      <c r="I202" s="4">
        <v>13</v>
      </c>
      <c r="J202" s="4" t="s">
        <v>8</v>
      </c>
      <c r="K202" s="4" t="s">
        <v>9</v>
      </c>
      <c r="L202" s="11"/>
      <c r="M202" s="3"/>
      <c r="N202">
        <v>4502688401</v>
      </c>
      <c r="O202" s="4">
        <v>25</v>
      </c>
      <c r="P202" s="1" t="s">
        <v>1652</v>
      </c>
      <c r="Q202" s="22">
        <v>46203</v>
      </c>
      <c r="R202" t="s">
        <v>95</v>
      </c>
      <c r="S202" s="11"/>
      <c r="T202" s="4" t="s">
        <v>71</v>
      </c>
      <c r="U202" s="1" t="e">
        <f>VLOOKUP(data[[#This Row],[Material]],'[1]Hoja para mrp'!$A:$Z,26,0)</f>
        <v>#N/A</v>
      </c>
      <c r="V202" s="1" t="e">
        <f>VLOOKUP(data[[#This Row],[Material]],'[1]Hoja para mrp'!$A:$Z,25,0)</f>
        <v>#N/A</v>
      </c>
    </row>
    <row r="203" spans="2:23" x14ac:dyDescent="0.25">
      <c r="B203" s="4">
        <v>20011953</v>
      </c>
      <c r="C203" s="1" t="s">
        <v>1528</v>
      </c>
      <c r="D203" s="4" t="s">
        <v>89</v>
      </c>
      <c r="E203" s="3"/>
      <c r="F203" s="3" t="s">
        <v>69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68</v>
      </c>
      <c r="U203" s="1" t="e">
        <f>VLOOKUP(data[[#This Row],[Material]],'[1]Hoja para mrp'!$A:$Z,26,0)</f>
        <v>#N/A</v>
      </c>
      <c r="V203" s="1" t="e">
        <f>VLOOKUP(data[[#This Row],[Material]],'[1]Hoja para mrp'!$A:$Z,25,0)</f>
        <v>#N/A</v>
      </c>
    </row>
    <row r="204" spans="2:23" x14ac:dyDescent="0.25">
      <c r="B204" s="4">
        <v>20012262</v>
      </c>
      <c r="C204" s="1" t="s">
        <v>197</v>
      </c>
      <c r="D204" s="4" t="s">
        <v>89</v>
      </c>
      <c r="E204" s="3" t="s">
        <v>1641</v>
      </c>
      <c r="F204" s="3" t="s">
        <v>92</v>
      </c>
      <c r="G204" s="4">
        <v>20</v>
      </c>
      <c r="H204" s="4">
        <v>20</v>
      </c>
      <c r="I204" s="4">
        <v>34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116</v>
      </c>
      <c r="S204" s="11"/>
      <c r="T204" s="4" t="s">
        <v>66</v>
      </c>
      <c r="U204" s="1" t="e">
        <f>VLOOKUP(data[[#This Row],[Material]],'[1]Hoja para mrp'!$A:$Z,26,0)</f>
        <v>#N/A</v>
      </c>
      <c r="V204" s="1" t="e">
        <f>VLOOKUP(data[[#This Row],[Material]],'[1]Hoja para mrp'!$A:$Z,25,0)</f>
        <v>#N/A</v>
      </c>
    </row>
    <row r="205" spans="2:23" x14ac:dyDescent="0.25">
      <c r="B205" s="4">
        <v>20011956</v>
      </c>
      <c r="C205" s="1" t="s">
        <v>1434</v>
      </c>
      <c r="D205" s="4" t="s">
        <v>89</v>
      </c>
      <c r="E205" s="3"/>
      <c r="F205" s="3" t="s">
        <v>69</v>
      </c>
      <c r="G205" s="4">
        <v>2</v>
      </c>
      <c r="H205" s="4">
        <v>2</v>
      </c>
      <c r="I205" s="4">
        <v>0</v>
      </c>
      <c r="J205" s="4" t="s">
        <v>8</v>
      </c>
      <c r="K205" s="4" t="s">
        <v>13</v>
      </c>
      <c r="L205" s="11">
        <v>1002648064</v>
      </c>
      <c r="M205" s="3">
        <v>4</v>
      </c>
      <c r="N205"/>
      <c r="O205" s="4"/>
      <c r="P205" s="1"/>
      <c r="Q205" s="22"/>
      <c r="R205"/>
      <c r="S205" s="11"/>
      <c r="T205" s="4" t="s">
        <v>68</v>
      </c>
      <c r="U205" s="1" t="e">
        <f>VLOOKUP(data[[#This Row],[Material]],'[1]Hoja para mrp'!$A:$Z,26,0)</f>
        <v>#N/A</v>
      </c>
      <c r="V205" s="1" t="e">
        <f>VLOOKUP(data[[#This Row],[Material]],'[1]Hoja para mrp'!$A:$Z,25,0)</f>
        <v>#N/A</v>
      </c>
    </row>
    <row r="206" spans="2:23" x14ac:dyDescent="0.25">
      <c r="B206" s="4">
        <v>20012263</v>
      </c>
      <c r="C206" s="1" t="s">
        <v>35</v>
      </c>
      <c r="D206" s="4" t="s">
        <v>89</v>
      </c>
      <c r="E206" s="3" t="s">
        <v>1641</v>
      </c>
      <c r="F206" s="3" t="s">
        <v>92</v>
      </c>
      <c r="G206" s="4">
        <v>30</v>
      </c>
      <c r="H206" s="4">
        <v>50</v>
      </c>
      <c r="I206" s="4">
        <v>30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116</v>
      </c>
      <c r="S206" s="11"/>
      <c r="T206" s="4" t="s">
        <v>66</v>
      </c>
      <c r="U206" s="1" t="e">
        <f>VLOOKUP(data[[#This Row],[Material]],'[1]Hoja para mrp'!$A:$Z,26,0)</f>
        <v>#N/A</v>
      </c>
      <c r="V206" s="1" t="e">
        <f>VLOOKUP(data[[#This Row],[Material]],'[1]Hoja para mrp'!$A:$Z,25,0)</f>
        <v>#N/A</v>
      </c>
    </row>
    <row r="207" spans="2:23" x14ac:dyDescent="0.25">
      <c r="B207" s="4">
        <v>20012284</v>
      </c>
      <c r="C207" s="1" t="s">
        <v>198</v>
      </c>
      <c r="D207" s="4" t="s">
        <v>89</v>
      </c>
      <c r="E207" s="3" t="s">
        <v>1641</v>
      </c>
      <c r="F207" s="3" t="s">
        <v>92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 t="e">
        <f>VLOOKUP(data[[#This Row],[Material]],'[1]Hoja para mrp'!$A:$Z,26,0)</f>
        <v>#N/A</v>
      </c>
      <c r="V207" s="1" t="e">
        <f>VLOOKUP(data[[#This Row],[Material]],'[1]Hoja para mrp'!$A:$Z,25,0)</f>
        <v>#N/A</v>
      </c>
    </row>
    <row r="208" spans="2:23" x14ac:dyDescent="0.25">
      <c r="B208" s="4">
        <v>20011962</v>
      </c>
      <c r="C208" s="1" t="s">
        <v>792</v>
      </c>
      <c r="D208" s="4" t="s">
        <v>89</v>
      </c>
      <c r="E208" s="3"/>
      <c r="F208" s="3" t="s">
        <v>69</v>
      </c>
      <c r="G208" s="4">
        <v>3</v>
      </c>
      <c r="H208" s="4">
        <v>5</v>
      </c>
      <c r="I208" s="4">
        <v>4</v>
      </c>
      <c r="J208" s="4" t="s">
        <v>8</v>
      </c>
      <c r="K208" s="4" t="s">
        <v>7</v>
      </c>
      <c r="L208" s="11"/>
      <c r="M208" s="3"/>
      <c r="N208">
        <v>4502666756</v>
      </c>
      <c r="O208" s="4">
        <v>3</v>
      </c>
      <c r="P208" s="1" t="s">
        <v>1584</v>
      </c>
      <c r="Q208" s="22">
        <v>46161</v>
      </c>
      <c r="R208"/>
      <c r="S208" s="11"/>
      <c r="T208" s="4" t="s">
        <v>68</v>
      </c>
      <c r="U208" s="1" t="e">
        <f>VLOOKUP(data[[#This Row],[Material]],'[1]Hoja para mrp'!$A:$Z,26,0)</f>
        <v>#N/A</v>
      </c>
      <c r="V208" s="1" t="e">
        <f>VLOOKUP(data[[#This Row],[Material]],'[1]Hoja para mrp'!$A:$Z,25,0)</f>
        <v>#N/A</v>
      </c>
      <c r="W208" s="1" t="s">
        <v>1674</v>
      </c>
    </row>
    <row r="209" spans="2:23" x14ac:dyDescent="0.25">
      <c r="B209" s="4">
        <v>20012286</v>
      </c>
      <c r="C209" s="1" t="s">
        <v>199</v>
      </c>
      <c r="D209" s="4" t="s">
        <v>89</v>
      </c>
      <c r="E209" s="3" t="s">
        <v>1641</v>
      </c>
      <c r="F209" s="3" t="s">
        <v>92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116</v>
      </c>
      <c r="S209" s="11"/>
      <c r="T209" s="4" t="s">
        <v>66</v>
      </c>
      <c r="U209" s="1" t="e">
        <f>VLOOKUP(data[[#This Row],[Material]],'[1]Hoja para mrp'!$A:$Z,26,0)</f>
        <v>#N/A</v>
      </c>
      <c r="V209" s="1" t="e">
        <f>VLOOKUP(data[[#This Row],[Material]],'[1]Hoja para mrp'!$A:$Z,25,0)</f>
        <v>#N/A</v>
      </c>
    </row>
    <row r="210" spans="2:23" x14ac:dyDescent="0.25">
      <c r="B210" s="4">
        <v>20012106</v>
      </c>
      <c r="C210" s="1" t="s">
        <v>1059</v>
      </c>
      <c r="D210" s="4" t="s">
        <v>89</v>
      </c>
      <c r="E210" s="3"/>
      <c r="F210" s="3" t="s">
        <v>69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>
        <v>1002598834</v>
      </c>
      <c r="M210" s="3">
        <v>50</v>
      </c>
      <c r="N210"/>
      <c r="O210" s="4"/>
      <c r="P210" s="1"/>
      <c r="Q210" s="22"/>
      <c r="R210"/>
      <c r="S210" s="11"/>
      <c r="T210" s="4" t="s">
        <v>68</v>
      </c>
      <c r="U210" s="1" t="e">
        <f>VLOOKUP(data[[#This Row],[Material]],'[1]Hoja para mrp'!$A:$Z,26,0)</f>
        <v>#N/A</v>
      </c>
      <c r="V210" s="1" t="e">
        <f>VLOOKUP(data[[#This Row],[Material]],'[1]Hoja para mrp'!$A:$Z,25,0)</f>
        <v>#N/A</v>
      </c>
      <c r="W210" s="1" t="s">
        <v>1675</v>
      </c>
    </row>
    <row r="211" spans="2:23" x14ac:dyDescent="0.25">
      <c r="B211" s="4">
        <v>20012289</v>
      </c>
      <c r="C211" s="1" t="s">
        <v>36</v>
      </c>
      <c r="D211" s="4" t="s">
        <v>89</v>
      </c>
      <c r="E211" s="3" t="s">
        <v>1641</v>
      </c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 t="e">
        <f>VLOOKUP(data[[#This Row],[Material]],'[1]Hoja para mrp'!$A:$Z,26,0)</f>
        <v>#N/A</v>
      </c>
      <c r="V211" s="1" t="e">
        <f>VLOOKUP(data[[#This Row],[Material]],'[1]Hoja para mrp'!$A:$Z,25,0)</f>
        <v>#N/A</v>
      </c>
    </row>
    <row r="212" spans="2:23" x14ac:dyDescent="0.25">
      <c r="B212" s="4">
        <v>20012298</v>
      </c>
      <c r="C212" s="1" t="s">
        <v>200</v>
      </c>
      <c r="D212" s="4" t="s">
        <v>89</v>
      </c>
      <c r="E212" s="3" t="s">
        <v>1641</v>
      </c>
      <c r="F212" s="3" t="s">
        <v>92</v>
      </c>
      <c r="G212" s="4">
        <v>20</v>
      </c>
      <c r="H212" s="4">
        <v>40</v>
      </c>
      <c r="I212" s="4">
        <v>27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116</v>
      </c>
      <c r="S212" s="11"/>
      <c r="T212" s="4" t="s">
        <v>66</v>
      </c>
      <c r="U212" s="1" t="str">
        <f>VLOOKUP(data[[#This Row],[Material]],'[1]Hoja para mrp'!$A:$Z,26,0)</f>
        <v>2da compra</v>
      </c>
      <c r="V212" s="1">
        <f>VLOOKUP(data[[#This Row],[Material]],'[1]Hoja para mrp'!$A:$Z,25,0)</f>
        <v>40</v>
      </c>
    </row>
    <row r="213" spans="2:23" x14ac:dyDescent="0.25">
      <c r="B213" s="4">
        <v>20012166</v>
      </c>
      <c r="C213" s="1" t="s">
        <v>1111</v>
      </c>
      <c r="D213" s="4" t="s">
        <v>89</v>
      </c>
      <c r="E213" s="3"/>
      <c r="F213" s="3" t="s">
        <v>69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  <c r="T213" s="4" t="s">
        <v>68</v>
      </c>
      <c r="U213" s="1" t="e">
        <f>VLOOKUP(data[[#This Row],[Material]],'[1]Hoja para mrp'!$A:$Z,26,0)</f>
        <v>#N/A</v>
      </c>
      <c r="V213" s="1" t="e">
        <f>VLOOKUP(data[[#This Row],[Material]],'[1]Hoja para mrp'!$A:$Z,25,0)</f>
        <v>#N/A</v>
      </c>
    </row>
    <row r="214" spans="2:23" x14ac:dyDescent="0.25">
      <c r="B214" s="4">
        <v>20012310</v>
      </c>
      <c r="C214" s="1" t="s">
        <v>201</v>
      </c>
      <c r="D214" s="4" t="s">
        <v>89</v>
      </c>
      <c r="E214" s="3" t="s">
        <v>1641</v>
      </c>
      <c r="F214" s="3" t="s">
        <v>92</v>
      </c>
      <c r="G214" s="4">
        <v>16</v>
      </c>
      <c r="H214" s="4">
        <v>32</v>
      </c>
      <c r="I214" s="4">
        <v>26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116</v>
      </c>
      <c r="S214" s="11"/>
      <c r="T214" s="4" t="s">
        <v>66</v>
      </c>
      <c r="U214" s="1" t="e">
        <f>VLOOKUP(data[[#This Row],[Material]],'[1]Hoja para mrp'!$A:$Z,26,0)</f>
        <v>#N/A</v>
      </c>
      <c r="V214" s="1" t="e">
        <f>VLOOKUP(data[[#This Row],[Material]],'[1]Hoja para mrp'!$A:$Z,25,0)</f>
        <v>#N/A</v>
      </c>
    </row>
    <row r="215" spans="2:23" x14ac:dyDescent="0.25">
      <c r="B215" s="4">
        <v>20012175</v>
      </c>
      <c r="C215" s="1" t="s">
        <v>1411</v>
      </c>
      <c r="D215" s="4" t="s">
        <v>89</v>
      </c>
      <c r="E215" s="3"/>
      <c r="F215" s="3" t="s">
        <v>69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66</v>
      </c>
      <c r="U215" s="1" t="e">
        <f>VLOOKUP(data[[#This Row],[Material]],'[1]Hoja para mrp'!$A:$Z,26,0)</f>
        <v>#N/A</v>
      </c>
      <c r="V215" s="1" t="e">
        <f>VLOOKUP(data[[#This Row],[Material]],'[1]Hoja para mrp'!$A:$Z,25,0)</f>
        <v>#N/A</v>
      </c>
    </row>
    <row r="216" spans="2:23" x14ac:dyDescent="0.25">
      <c r="B216" s="4">
        <v>20012311</v>
      </c>
      <c r="C216" s="1" t="s">
        <v>202</v>
      </c>
      <c r="D216" s="4" t="s">
        <v>89</v>
      </c>
      <c r="E216" s="3" t="s">
        <v>1641</v>
      </c>
      <c r="F216" s="3" t="s">
        <v>92</v>
      </c>
      <c r="G216" s="4">
        <v>30</v>
      </c>
      <c r="H216" s="4">
        <v>40</v>
      </c>
      <c r="I216" s="4">
        <v>39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116</v>
      </c>
      <c r="S216" s="11"/>
      <c r="T216" s="4" t="s">
        <v>66</v>
      </c>
      <c r="U216" s="1" t="e">
        <f>VLOOKUP(data[[#This Row],[Material]],'[1]Hoja para mrp'!$A:$Z,26,0)</f>
        <v>#N/A</v>
      </c>
      <c r="V216" s="1" t="e">
        <f>VLOOKUP(data[[#This Row],[Material]],'[1]Hoja para mrp'!$A:$Z,25,0)</f>
        <v>#N/A</v>
      </c>
    </row>
    <row r="217" spans="2:23" x14ac:dyDescent="0.25">
      <c r="B217" s="4">
        <v>20012357</v>
      </c>
      <c r="C217" s="1" t="s">
        <v>203</v>
      </c>
      <c r="D217" s="4" t="s">
        <v>89</v>
      </c>
      <c r="E217" s="3" t="s">
        <v>1641</v>
      </c>
      <c r="F217" s="3" t="s">
        <v>92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116</v>
      </c>
      <c r="S217" s="11"/>
      <c r="T217" s="4" t="s">
        <v>66</v>
      </c>
      <c r="U217" s="1" t="e">
        <f>VLOOKUP(data[[#This Row],[Material]],'[1]Hoja para mrp'!$A:$Z,26,0)</f>
        <v>#N/A</v>
      </c>
      <c r="V217" s="1" t="e">
        <f>VLOOKUP(data[[#This Row],[Material]],'[1]Hoja para mrp'!$A:$Z,25,0)</f>
        <v>#N/A</v>
      </c>
    </row>
    <row r="218" spans="2:23" x14ac:dyDescent="0.25">
      <c r="B218" s="4">
        <v>20012220</v>
      </c>
      <c r="C218" s="1" t="s">
        <v>1529</v>
      </c>
      <c r="D218" s="4" t="s">
        <v>89</v>
      </c>
      <c r="E218" s="3"/>
      <c r="F218" s="3" t="s">
        <v>69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70</v>
      </c>
      <c r="U218" s="1" t="e">
        <f>VLOOKUP(data[[#This Row],[Material]],'[1]Hoja para mrp'!$A:$Z,26,0)</f>
        <v>#N/A</v>
      </c>
      <c r="V218" s="1" t="e">
        <f>VLOOKUP(data[[#This Row],[Material]],'[1]Hoja para mrp'!$A:$Z,25,0)</f>
        <v>#N/A</v>
      </c>
    </row>
    <row r="219" spans="2:23" x14ac:dyDescent="0.2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6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 t="e">
        <f>VLOOKUP(data[[#This Row],[Material]],'[1]Hoja para mrp'!$A:$Z,26,0)</f>
        <v>#N/A</v>
      </c>
      <c r="V219" s="1" t="e">
        <f>VLOOKUP(data[[#This Row],[Material]],'[1]Hoja para mrp'!$A:$Z,25,0)</f>
        <v>#N/A</v>
      </c>
    </row>
    <row r="220" spans="2:23" x14ac:dyDescent="0.2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75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 t="e">
        <f>VLOOKUP(data[[#This Row],[Material]],'[1]Hoja para mrp'!$A:$Z,26,0)</f>
        <v>#N/A</v>
      </c>
      <c r="V220" s="1" t="e">
        <f>VLOOKUP(data[[#This Row],[Material]],'[1]Hoja para mrp'!$A:$Z,25,0)</f>
        <v>#N/A</v>
      </c>
    </row>
    <row r="221" spans="2:23" x14ac:dyDescent="0.25">
      <c r="B221" s="4">
        <v>20012391</v>
      </c>
      <c r="C221" s="1" t="s">
        <v>1276</v>
      </c>
      <c r="D221" s="4" t="s">
        <v>89</v>
      </c>
      <c r="E221" s="3" t="s">
        <v>141</v>
      </c>
      <c r="F221" s="3" t="s">
        <v>92</v>
      </c>
      <c r="G221" s="4">
        <v>4000</v>
      </c>
      <c r="H221" s="4">
        <v>6000</v>
      </c>
      <c r="I221" s="4">
        <v>6500</v>
      </c>
      <c r="J221" s="4" t="s">
        <v>8</v>
      </c>
      <c r="K221" s="4" t="s">
        <v>7</v>
      </c>
      <c r="L221" s="69"/>
      <c r="M221" s="3"/>
      <c r="N221"/>
      <c r="O221" s="4"/>
      <c r="P221" s="1"/>
      <c r="Q221" s="22"/>
      <c r="R221" t="s">
        <v>142</v>
      </c>
      <c r="S221" s="11"/>
      <c r="T221" s="4" t="s">
        <v>66</v>
      </c>
      <c r="U221" s="1" t="e">
        <f>VLOOKUP(data[[#This Row],[Material]],'[1]Hoja para mrp'!$A:$Z,26,0)</f>
        <v>#N/A</v>
      </c>
      <c r="V221" s="1" t="e">
        <f>VLOOKUP(data[[#This Row],[Material]],'[1]Hoja para mrp'!$A:$Z,25,0)</f>
        <v>#N/A</v>
      </c>
    </row>
    <row r="222" spans="2:23" x14ac:dyDescent="0.25">
      <c r="B222" s="4">
        <v>20013228</v>
      </c>
      <c r="C222" s="1" t="s">
        <v>204</v>
      </c>
      <c r="D222" s="4" t="s">
        <v>89</v>
      </c>
      <c r="E222" s="3" t="s">
        <v>90</v>
      </c>
      <c r="F222" s="3" t="s">
        <v>92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91</v>
      </c>
      <c r="S222" s="11"/>
      <c r="T222" s="4" t="s">
        <v>66</v>
      </c>
      <c r="U222" s="1" t="e">
        <f>VLOOKUP(data[[#This Row],[Material]],'[1]Hoja para mrp'!$A:$Z,26,0)</f>
        <v>#N/A</v>
      </c>
      <c r="V222" s="1" t="e">
        <f>VLOOKUP(data[[#This Row],[Material]],'[1]Hoja para mrp'!$A:$Z,25,0)</f>
        <v>#N/A</v>
      </c>
    </row>
    <row r="223" spans="2:23" x14ac:dyDescent="0.25">
      <c r="B223" s="4">
        <v>20012269</v>
      </c>
      <c r="C223" s="1" t="s">
        <v>1574</v>
      </c>
      <c r="D223" s="4" t="s">
        <v>89</v>
      </c>
      <c r="E223" s="3"/>
      <c r="F223" s="3" t="s">
        <v>69</v>
      </c>
      <c r="G223" s="4">
        <v>400</v>
      </c>
      <c r="H223" s="4">
        <v>210</v>
      </c>
      <c r="I223" s="4">
        <v>800</v>
      </c>
      <c r="J223" s="4" t="s">
        <v>25</v>
      </c>
      <c r="K223" s="4" t="s">
        <v>14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 t="e">
        <f>VLOOKUP(data[[#This Row],[Material]],'[1]Hoja para mrp'!$A:$Z,26,0)</f>
        <v>#N/A</v>
      </c>
      <c r="V223" s="1" t="e">
        <f>VLOOKUP(data[[#This Row],[Material]],'[1]Hoja para mrp'!$A:$Z,25,0)</f>
        <v>#N/A</v>
      </c>
    </row>
    <row r="224" spans="2:23" x14ac:dyDescent="0.25">
      <c r="B224" s="4">
        <v>20013236</v>
      </c>
      <c r="C224" s="1" t="s">
        <v>205</v>
      </c>
      <c r="D224" s="4" t="s">
        <v>89</v>
      </c>
      <c r="E224" s="3" t="s">
        <v>90</v>
      </c>
      <c r="F224" s="3" t="s">
        <v>92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 t="e">
        <f>VLOOKUP(data[[#This Row],[Material]],'[1]Hoja para mrp'!$A:$Z,26,0)</f>
        <v>#N/A</v>
      </c>
      <c r="V224" s="1" t="e">
        <f>VLOOKUP(data[[#This Row],[Material]],'[1]Hoja para mrp'!$A:$Z,25,0)</f>
        <v>#N/A</v>
      </c>
    </row>
    <row r="225" spans="2:22" x14ac:dyDescent="0.25">
      <c r="B225" s="4">
        <v>20013241</v>
      </c>
      <c r="C225" s="1" t="s">
        <v>206</v>
      </c>
      <c r="D225" s="4" t="s">
        <v>89</v>
      </c>
      <c r="E225" s="3" t="s">
        <v>90</v>
      </c>
      <c r="F225" s="3" t="s">
        <v>92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70</v>
      </c>
      <c r="U225" s="1" t="e">
        <f>VLOOKUP(data[[#This Row],[Material]],'[1]Hoja para mrp'!$A:$Z,26,0)</f>
        <v>#N/A</v>
      </c>
      <c r="V225" s="1" t="e">
        <f>VLOOKUP(data[[#This Row],[Material]],'[1]Hoja para mrp'!$A:$Z,25,0)</f>
        <v>#N/A</v>
      </c>
    </row>
    <row r="226" spans="2:22" x14ac:dyDescent="0.25">
      <c r="B226" s="4">
        <v>20012285</v>
      </c>
      <c r="C226" s="1" t="s">
        <v>1386</v>
      </c>
      <c r="D226" s="4" t="s">
        <v>89</v>
      </c>
      <c r="E226" s="3"/>
      <c r="F226" s="3" t="s">
        <v>69</v>
      </c>
      <c r="G226" s="4">
        <v>20</v>
      </c>
      <c r="H226" s="4">
        <v>50</v>
      </c>
      <c r="I226" s="4">
        <v>23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66</v>
      </c>
      <c r="U226" s="1" t="e">
        <f>VLOOKUP(data[[#This Row],[Material]],'[1]Hoja para mrp'!$A:$Z,26,0)</f>
        <v>#N/A</v>
      </c>
      <c r="V226" s="1" t="e">
        <f>VLOOKUP(data[[#This Row],[Material]],'[1]Hoja para mrp'!$A:$Z,25,0)</f>
        <v>#N/A</v>
      </c>
    </row>
    <row r="227" spans="2:22" x14ac:dyDescent="0.2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59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 t="e">
        <f>VLOOKUP(data[[#This Row],[Material]],'[1]Hoja para mrp'!$A:$Z,26,0)</f>
        <v>#N/A</v>
      </c>
      <c r="V227" s="1" t="e">
        <f>VLOOKUP(data[[#This Row],[Material]],'[1]Hoja para mrp'!$A:$Z,25,0)</f>
        <v>#N/A</v>
      </c>
    </row>
    <row r="228" spans="2:22" x14ac:dyDescent="0.2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 t="e">
        <f>VLOOKUP(data[[#This Row],[Material]],'[1]Hoja para mrp'!$A:$Z,26,0)</f>
        <v>#N/A</v>
      </c>
      <c r="V228" s="1" t="e">
        <f>VLOOKUP(data[[#This Row],[Material]],'[1]Hoja para mrp'!$A:$Z,25,0)</f>
        <v>#N/A</v>
      </c>
    </row>
    <row r="229" spans="2:22" x14ac:dyDescent="0.2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13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159</v>
      </c>
      <c r="S229" s="11"/>
      <c r="T229" s="4" t="s">
        <v>66</v>
      </c>
      <c r="U229" s="1" t="e">
        <f>VLOOKUP(data[[#This Row],[Material]],'[1]Hoja para mrp'!$A:$Z,26,0)</f>
        <v>#N/A</v>
      </c>
      <c r="V229" s="1" t="e">
        <f>VLOOKUP(data[[#This Row],[Material]],'[1]Hoja para mrp'!$A:$Z,25,0)</f>
        <v>#N/A</v>
      </c>
    </row>
    <row r="230" spans="2:22" x14ac:dyDescent="0.25">
      <c r="B230" s="4">
        <v>20013415</v>
      </c>
      <c r="C230" s="1" t="s">
        <v>210</v>
      </c>
      <c r="D230" s="4" t="s">
        <v>89</v>
      </c>
      <c r="E230" s="3" t="s">
        <v>121</v>
      </c>
      <c r="F230" s="3" t="s">
        <v>92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159</v>
      </c>
      <c r="S230" s="11"/>
      <c r="T230" s="4" t="s">
        <v>73</v>
      </c>
      <c r="U230" s="1" t="e">
        <f>VLOOKUP(data[[#This Row],[Material]],'[1]Hoja para mrp'!$A:$Z,26,0)</f>
        <v>#N/A</v>
      </c>
      <c r="V230" s="1" t="e">
        <f>VLOOKUP(data[[#This Row],[Material]],'[1]Hoja para mrp'!$A:$Z,25,0)</f>
        <v>#N/A</v>
      </c>
    </row>
    <row r="231" spans="2:22" x14ac:dyDescent="0.25">
      <c r="B231" s="4">
        <v>20013416</v>
      </c>
      <c r="C231" s="1" t="s">
        <v>211</v>
      </c>
      <c r="D231" s="4" t="s">
        <v>89</v>
      </c>
      <c r="E231" s="3" t="s">
        <v>121</v>
      </c>
      <c r="F231" s="3" t="s">
        <v>92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 t="e">
        <f>VLOOKUP(data[[#This Row],[Material]],'[1]Hoja para mrp'!$A:$Z,26,0)</f>
        <v>#N/A</v>
      </c>
      <c r="V231" s="1" t="e">
        <f>VLOOKUP(data[[#This Row],[Material]],'[1]Hoja para mrp'!$A:$Z,25,0)</f>
        <v>#N/A</v>
      </c>
    </row>
    <row r="232" spans="2:22" x14ac:dyDescent="0.25">
      <c r="B232" s="4">
        <v>20012350</v>
      </c>
      <c r="C232" s="1" t="s">
        <v>1502</v>
      </c>
      <c r="D232" s="4" t="s">
        <v>89</v>
      </c>
      <c r="E232" s="3"/>
      <c r="F232" s="3" t="s">
        <v>69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71</v>
      </c>
      <c r="U232" s="1" t="e">
        <f>VLOOKUP(data[[#This Row],[Material]],'[1]Hoja para mrp'!$A:$Z,26,0)</f>
        <v>#N/A</v>
      </c>
      <c r="V232" s="1" t="e">
        <f>VLOOKUP(data[[#This Row],[Material]],'[1]Hoja para mrp'!$A:$Z,25,0)</f>
        <v>#N/A</v>
      </c>
    </row>
    <row r="233" spans="2:22" x14ac:dyDescent="0.25">
      <c r="B233" s="4">
        <v>20013417</v>
      </c>
      <c r="C233" s="1" t="s">
        <v>212</v>
      </c>
      <c r="D233" s="4" t="s">
        <v>89</v>
      </c>
      <c r="E233" s="3" t="s">
        <v>121</v>
      </c>
      <c r="F233" s="3" t="s">
        <v>92</v>
      </c>
      <c r="G233" s="4">
        <v>16</v>
      </c>
      <c r="H233" s="4">
        <v>26</v>
      </c>
      <c r="I233" s="4">
        <v>91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159</v>
      </c>
      <c r="S233" s="11"/>
      <c r="T233" s="4" t="s">
        <v>73</v>
      </c>
      <c r="U233" s="1" t="e">
        <f>VLOOKUP(data[[#This Row],[Material]],'[1]Hoja para mrp'!$A:$Z,26,0)</f>
        <v>#N/A</v>
      </c>
      <c r="V233" s="1" t="e">
        <f>VLOOKUP(data[[#This Row],[Material]],'[1]Hoja para mrp'!$A:$Z,25,0)</f>
        <v>#N/A</v>
      </c>
    </row>
    <row r="234" spans="2:22" x14ac:dyDescent="0.25">
      <c r="B234" s="4">
        <v>20013418</v>
      </c>
      <c r="C234" s="1" t="s">
        <v>213</v>
      </c>
      <c r="D234" s="4" t="s">
        <v>89</v>
      </c>
      <c r="E234" s="3" t="s">
        <v>121</v>
      </c>
      <c r="F234" s="3" t="s">
        <v>92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159</v>
      </c>
      <c r="S234" s="11"/>
      <c r="T234" s="4" t="s">
        <v>68</v>
      </c>
      <c r="U234" s="1" t="e">
        <f>VLOOKUP(data[[#This Row],[Material]],'[1]Hoja para mrp'!$A:$Z,26,0)</f>
        <v>#N/A</v>
      </c>
      <c r="V234" s="1" t="e">
        <f>VLOOKUP(data[[#This Row],[Material]],'[1]Hoja para mrp'!$A:$Z,25,0)</f>
        <v>#N/A</v>
      </c>
    </row>
    <row r="235" spans="2:22" x14ac:dyDescent="0.25">
      <c r="B235" s="4">
        <v>20012364</v>
      </c>
      <c r="C235" s="1" t="s">
        <v>1475</v>
      </c>
      <c r="D235" s="4" t="s">
        <v>89</v>
      </c>
      <c r="E235" s="3"/>
      <c r="F235" s="3" t="s">
        <v>69</v>
      </c>
      <c r="G235" s="4">
        <v>150</v>
      </c>
      <c r="H235" s="4">
        <v>100</v>
      </c>
      <c r="I235" s="4">
        <v>290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/>
      <c r="S235" s="11"/>
      <c r="T235" s="4" t="s">
        <v>66</v>
      </c>
      <c r="U235" s="1" t="e">
        <f>VLOOKUP(data[[#This Row],[Material]],'[1]Hoja para mrp'!$A:$Z,26,0)</f>
        <v>#N/A</v>
      </c>
      <c r="V235" s="1" t="e">
        <f>VLOOKUP(data[[#This Row],[Material]],'[1]Hoja para mrp'!$A:$Z,25,0)</f>
        <v>#N/A</v>
      </c>
    </row>
    <row r="236" spans="2:22" x14ac:dyDescent="0.25">
      <c r="B236" s="4">
        <v>20012365</v>
      </c>
      <c r="C236" s="1" t="s">
        <v>1503</v>
      </c>
      <c r="D236" s="4" t="s">
        <v>89</v>
      </c>
      <c r="E236" s="3"/>
      <c r="F236" s="3" t="s">
        <v>69</v>
      </c>
      <c r="G236" s="4">
        <v>200</v>
      </c>
      <c r="H236" s="4">
        <v>100</v>
      </c>
      <c r="I236" s="4">
        <v>276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71</v>
      </c>
      <c r="U236" s="1" t="e">
        <f>VLOOKUP(data[[#This Row],[Material]],'[1]Hoja para mrp'!$A:$Z,26,0)</f>
        <v>#N/A</v>
      </c>
      <c r="V236" s="1" t="e">
        <f>VLOOKUP(data[[#This Row],[Material]],'[1]Hoja para mrp'!$A:$Z,25,0)</f>
        <v>#N/A</v>
      </c>
    </row>
    <row r="237" spans="2:22" x14ac:dyDescent="0.25">
      <c r="B237" s="4">
        <v>20013419</v>
      </c>
      <c r="C237" s="1" t="s">
        <v>214</v>
      </c>
      <c r="D237" s="4" t="s">
        <v>89</v>
      </c>
      <c r="E237" s="3" t="s">
        <v>90</v>
      </c>
      <c r="F237" s="3" t="s">
        <v>92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>
        <v>1002666229</v>
      </c>
      <c r="M237" s="3">
        <v>20</v>
      </c>
      <c r="N237"/>
      <c r="O237" s="4"/>
      <c r="P237" s="1"/>
      <c r="Q237" s="22"/>
      <c r="R237" t="s">
        <v>91</v>
      </c>
      <c r="S237" s="11"/>
      <c r="T237" s="4" t="s">
        <v>66</v>
      </c>
      <c r="U237" s="1" t="str">
        <f>VLOOKUP(data[[#This Row],[Material]],'[1]Hoja para mrp'!$A:$Z,26,0)</f>
        <v>2da compra</v>
      </c>
      <c r="V237" s="1">
        <f>VLOOKUP(data[[#This Row],[Material]],'[1]Hoja para mrp'!$A:$Z,25,0)</f>
        <v>28</v>
      </c>
    </row>
    <row r="238" spans="2:22" x14ac:dyDescent="0.25">
      <c r="B238" s="4">
        <v>20012367</v>
      </c>
      <c r="C238" s="1" t="s">
        <v>1504</v>
      </c>
      <c r="D238" s="4" t="s">
        <v>89</v>
      </c>
      <c r="E238" s="3"/>
      <c r="F238" s="3" t="s">
        <v>69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s="4" t="s">
        <v>71</v>
      </c>
      <c r="U238" s="1" t="e">
        <f>VLOOKUP(data[[#This Row],[Material]],'[1]Hoja para mrp'!$A:$Z,26,0)</f>
        <v>#N/A</v>
      </c>
      <c r="V238" s="1" t="e">
        <f>VLOOKUP(data[[#This Row],[Material]],'[1]Hoja para mrp'!$A:$Z,25,0)</f>
        <v>#N/A</v>
      </c>
    </row>
    <row r="239" spans="2:22" x14ac:dyDescent="0.2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 t="e">
        <f>VLOOKUP(data[[#This Row],[Material]],'[1]Hoja para mrp'!$A:$Z,26,0)</f>
        <v>#N/A</v>
      </c>
      <c r="V239" s="1" t="e">
        <f>VLOOKUP(data[[#This Row],[Material]],'[1]Hoja para mrp'!$A:$Z,25,0)</f>
        <v>#N/A</v>
      </c>
    </row>
    <row r="240" spans="2:22" x14ac:dyDescent="0.25">
      <c r="B240" s="4">
        <v>20012378</v>
      </c>
      <c r="C240" s="1" t="s">
        <v>1302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 t="e">
        <f>VLOOKUP(data[[#This Row],[Material]],'[1]Hoja para mrp'!$A:$Z,26,0)</f>
        <v>#N/A</v>
      </c>
      <c r="V240" s="1" t="e">
        <f>VLOOKUP(data[[#This Row],[Material]],'[1]Hoja para mrp'!$A:$Z,25,0)</f>
        <v>#N/A</v>
      </c>
    </row>
    <row r="241" spans="2:23" x14ac:dyDescent="0.25">
      <c r="B241" s="4">
        <v>20012380</v>
      </c>
      <c r="C241" s="1" t="s">
        <v>1413</v>
      </c>
      <c r="D241" s="4" t="s">
        <v>89</v>
      </c>
      <c r="E241" s="3"/>
      <c r="F241" s="3" t="s">
        <v>69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66</v>
      </c>
      <c r="U241" s="1" t="e">
        <f>VLOOKUP(data[[#This Row],[Material]],'[1]Hoja para mrp'!$A:$Z,26,0)</f>
        <v>#N/A</v>
      </c>
      <c r="V241" s="1" t="e">
        <f>VLOOKUP(data[[#This Row],[Material]],'[1]Hoja para mrp'!$A:$Z,25,0)</f>
        <v>#N/A</v>
      </c>
    </row>
    <row r="242" spans="2:23" x14ac:dyDescent="0.25">
      <c r="B242" s="4">
        <v>20013627</v>
      </c>
      <c r="C242" s="1" t="s">
        <v>216</v>
      </c>
      <c r="D242" s="4" t="s">
        <v>89</v>
      </c>
      <c r="E242" s="3" t="s">
        <v>121</v>
      </c>
      <c r="F242" s="3" t="s">
        <v>92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151</v>
      </c>
      <c r="S242" s="11"/>
      <c r="T242" s="4" t="s">
        <v>67</v>
      </c>
      <c r="U242" s="1" t="e">
        <f>VLOOKUP(data[[#This Row],[Material]],'[1]Hoja para mrp'!$A:$Z,26,0)</f>
        <v>#N/A</v>
      </c>
      <c r="V242" s="1" t="e">
        <f>VLOOKUP(data[[#This Row],[Material]],'[1]Hoja para mrp'!$A:$Z,25,0)</f>
        <v>#N/A</v>
      </c>
    </row>
    <row r="243" spans="2:23" x14ac:dyDescent="0.2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 t="e">
        <f>VLOOKUP(data[[#This Row],[Material]],'[1]Hoja para mrp'!$A:$Z,26,0)</f>
        <v>#N/A</v>
      </c>
      <c r="V243" s="1" t="e">
        <f>VLOOKUP(data[[#This Row],[Material]],'[1]Hoja para mrp'!$A:$Z,25,0)</f>
        <v>#N/A</v>
      </c>
    </row>
    <row r="244" spans="2:23" x14ac:dyDescent="0.25">
      <c r="B244" s="4">
        <v>20012425</v>
      </c>
      <c r="C244" s="1" t="s">
        <v>1347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8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66</v>
      </c>
      <c r="U244" s="1" t="e">
        <f>VLOOKUP(data[[#This Row],[Material]],'[1]Hoja para mrp'!$A:$Z,26,0)</f>
        <v>#N/A</v>
      </c>
      <c r="V244" s="1" t="e">
        <f>VLOOKUP(data[[#This Row],[Material]],'[1]Hoja para mrp'!$A:$Z,25,0)</f>
        <v>#N/A</v>
      </c>
    </row>
    <row r="245" spans="2:23" x14ac:dyDescent="0.25">
      <c r="B245" s="4">
        <v>20013634</v>
      </c>
      <c r="C245" s="1" t="s">
        <v>1339</v>
      </c>
      <c r="D245" s="4" t="s">
        <v>89</v>
      </c>
      <c r="E245" s="3" t="s">
        <v>121</v>
      </c>
      <c r="F245" s="3" t="s">
        <v>92</v>
      </c>
      <c r="G245" s="4">
        <v>1</v>
      </c>
      <c r="H245" s="4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 t="e">
        <f>VLOOKUP(data[[#This Row],[Material]],'[1]Hoja para mrp'!$A:$Z,26,0)</f>
        <v>#N/A</v>
      </c>
      <c r="V245" s="1" t="e">
        <f>VLOOKUP(data[[#This Row],[Material]],'[1]Hoja para mrp'!$A:$Z,25,0)</f>
        <v>#N/A</v>
      </c>
    </row>
    <row r="246" spans="2:23" x14ac:dyDescent="0.25">
      <c r="B246" s="4">
        <v>20012429</v>
      </c>
      <c r="C246" s="1" t="s">
        <v>1348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 t="e">
        <f>VLOOKUP(data[[#This Row],[Material]],'[1]Hoja para mrp'!$A:$Z,26,0)</f>
        <v>#N/A</v>
      </c>
      <c r="V246" s="1" t="e">
        <f>VLOOKUP(data[[#This Row],[Material]],'[1]Hoja para mrp'!$A:$Z,25,0)</f>
        <v>#N/A</v>
      </c>
    </row>
    <row r="247" spans="2:23" x14ac:dyDescent="0.2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 t="e">
        <f>VLOOKUP(data[[#This Row],[Material]],'[1]Hoja para mrp'!$A:$Z,26,0)</f>
        <v>#N/A</v>
      </c>
      <c r="V247" s="1" t="e">
        <f>VLOOKUP(data[[#This Row],[Material]],'[1]Hoja para mrp'!$A:$Z,25,0)</f>
        <v>#N/A</v>
      </c>
    </row>
    <row r="248" spans="2:23" x14ac:dyDescent="0.25">
      <c r="B248" s="4">
        <v>20012432</v>
      </c>
      <c r="C248" s="1" t="s">
        <v>1349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11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66</v>
      </c>
      <c r="U248" s="1" t="e">
        <f>VLOOKUP(data[[#This Row],[Material]],'[1]Hoja para mrp'!$A:$Z,26,0)</f>
        <v>#N/A</v>
      </c>
      <c r="V248" s="1" t="e">
        <f>VLOOKUP(data[[#This Row],[Material]],'[1]Hoja para mrp'!$A:$Z,25,0)</f>
        <v>#N/A</v>
      </c>
    </row>
    <row r="249" spans="2:23" x14ac:dyDescent="0.25">
      <c r="B249" s="4">
        <v>20012614</v>
      </c>
      <c r="C249" s="1" t="s">
        <v>1110</v>
      </c>
      <c r="D249" s="4" t="s">
        <v>89</v>
      </c>
      <c r="E249" s="3"/>
      <c r="F249" s="3" t="s">
        <v>69</v>
      </c>
      <c r="G249" s="4">
        <v>30</v>
      </c>
      <c r="H249" s="4">
        <v>60</v>
      </c>
      <c r="I249" s="4">
        <v>40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66</v>
      </c>
      <c r="U249" s="1" t="e">
        <f>VLOOKUP(data[[#This Row],[Material]],'[1]Hoja para mrp'!$A:$Z,26,0)</f>
        <v>#N/A</v>
      </c>
      <c r="V249" s="1" t="e">
        <f>VLOOKUP(data[[#This Row],[Material]],'[1]Hoja para mrp'!$A:$Z,25,0)</f>
        <v>#N/A</v>
      </c>
    </row>
    <row r="250" spans="2:23" x14ac:dyDescent="0.25">
      <c r="B250" s="4">
        <v>20019882</v>
      </c>
      <c r="C250" s="1" t="s">
        <v>219</v>
      </c>
      <c r="D250" s="4" t="s">
        <v>89</v>
      </c>
      <c r="E250" s="3" t="s">
        <v>94</v>
      </c>
      <c r="F250" s="3" t="s">
        <v>92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95</v>
      </c>
      <c r="S250" s="11"/>
      <c r="T250" s="4" t="s">
        <v>71</v>
      </c>
      <c r="U250" s="1" t="e">
        <f>VLOOKUP(data[[#This Row],[Material]],'[1]Hoja para mrp'!$A:$Z,26,0)</f>
        <v>#N/A</v>
      </c>
      <c r="V250" s="1" t="e">
        <f>VLOOKUP(data[[#This Row],[Material]],'[1]Hoja para mrp'!$A:$Z,25,0)</f>
        <v>#N/A</v>
      </c>
    </row>
    <row r="251" spans="2:23" x14ac:dyDescent="0.25">
      <c r="B251" s="4">
        <v>20013235</v>
      </c>
      <c r="C251" s="1" t="s">
        <v>1303</v>
      </c>
      <c r="D251" s="4" t="s">
        <v>89</v>
      </c>
      <c r="E251" s="3"/>
      <c r="F251" s="3" t="s">
        <v>69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4">
        <v>20</v>
      </c>
      <c r="P251" s="1" t="s">
        <v>1425</v>
      </c>
      <c r="Q251" s="22">
        <v>46160</v>
      </c>
      <c r="R251"/>
      <c r="S251" s="11"/>
      <c r="T251" s="4" t="s">
        <v>66</v>
      </c>
      <c r="U251" s="1" t="e">
        <f>VLOOKUP(data[[#This Row],[Material]],'[1]Hoja para mrp'!$A:$Z,26,0)</f>
        <v>#N/A</v>
      </c>
      <c r="V251" s="1" t="e">
        <f>VLOOKUP(data[[#This Row],[Material]],'[1]Hoja para mrp'!$A:$Z,25,0)</f>
        <v>#N/A</v>
      </c>
      <c r="W251" s="1" t="s">
        <v>1676</v>
      </c>
    </row>
    <row r="252" spans="2:23" x14ac:dyDescent="0.25">
      <c r="B252" s="15">
        <v>20013809</v>
      </c>
      <c r="C252" s="1" t="s">
        <v>220</v>
      </c>
      <c r="D252" s="4" t="s">
        <v>89</v>
      </c>
      <c r="E252" s="3" t="s">
        <v>90</v>
      </c>
      <c r="F252" s="3" t="s">
        <v>92</v>
      </c>
      <c r="G252" s="4">
        <v>10</v>
      </c>
      <c r="H252" s="4">
        <v>15</v>
      </c>
      <c r="I252" s="4">
        <v>24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91</v>
      </c>
      <c r="S252" s="11"/>
      <c r="T252" s="4" t="s">
        <v>66</v>
      </c>
      <c r="U252" s="1" t="e">
        <f>VLOOKUP(data[[#This Row],[Material]],'[1]Hoja para mrp'!$A:$Z,26,0)</f>
        <v>#N/A</v>
      </c>
      <c r="V252" s="1" t="e">
        <f>VLOOKUP(data[[#This Row],[Material]],'[1]Hoja para mrp'!$A:$Z,25,0)</f>
        <v>#N/A</v>
      </c>
    </row>
    <row r="253" spans="2:23" x14ac:dyDescent="0.2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 t="e">
        <f>VLOOKUP(data[[#This Row],[Material]],'[1]Hoja para mrp'!$A:$Z,26,0)</f>
        <v>#N/A</v>
      </c>
      <c r="V253" s="1" t="e">
        <f>VLOOKUP(data[[#This Row],[Material]],'[1]Hoja para mrp'!$A:$Z,25,0)</f>
        <v>#N/A</v>
      </c>
    </row>
    <row r="254" spans="2:23" x14ac:dyDescent="0.25">
      <c r="B254" s="4">
        <v>20013237</v>
      </c>
      <c r="C254" s="1" t="s">
        <v>1329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55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66</v>
      </c>
      <c r="U254" s="1" t="e">
        <f>VLOOKUP(data[[#This Row],[Material]],'[1]Hoja para mrp'!$A:$Z,26,0)</f>
        <v>#N/A</v>
      </c>
      <c r="V254" s="1" t="e">
        <f>VLOOKUP(data[[#This Row],[Material]],'[1]Hoja para mrp'!$A:$Z,25,0)</f>
        <v>#N/A</v>
      </c>
    </row>
    <row r="255" spans="2:23" x14ac:dyDescent="0.2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17</v>
      </c>
      <c r="J255" s="4" t="s">
        <v>8</v>
      </c>
      <c r="K255" s="4" t="s">
        <v>7</v>
      </c>
      <c r="L255" s="11"/>
      <c r="M255" s="3"/>
      <c r="N255"/>
      <c r="O255" s="17"/>
      <c r="P255" s="74"/>
      <c r="Q255" s="24"/>
      <c r="R255" t="s">
        <v>91</v>
      </c>
      <c r="S255" s="11"/>
      <c r="T255" s="4" t="s">
        <v>66</v>
      </c>
      <c r="U255" s="1" t="e">
        <f>VLOOKUP(data[[#This Row],[Material]],'[1]Hoja para mrp'!$A:$Z,26,0)</f>
        <v>#N/A</v>
      </c>
      <c r="V255" s="1" t="e">
        <f>VLOOKUP(data[[#This Row],[Material]],'[1]Hoja para mrp'!$A:$Z,25,0)</f>
        <v>#N/A</v>
      </c>
    </row>
    <row r="256" spans="2:23" x14ac:dyDescent="0.25">
      <c r="B256" s="4">
        <v>20013238</v>
      </c>
      <c r="C256" s="1" t="s">
        <v>1304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 t="e">
        <f>VLOOKUP(data[[#This Row],[Material]],'[1]Hoja para mrp'!$A:$Z,26,0)</f>
        <v>#N/A</v>
      </c>
      <c r="V256" s="1" t="e">
        <f>VLOOKUP(data[[#This Row],[Material]],'[1]Hoja para mrp'!$A:$Z,25,0)</f>
        <v>#N/A</v>
      </c>
    </row>
    <row r="257" spans="2:22" x14ac:dyDescent="0.2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 t="e">
        <f>VLOOKUP(data[[#This Row],[Material]],'[1]Hoja para mrp'!$A:$Z,26,0)</f>
        <v>#N/A</v>
      </c>
      <c r="V257" s="1" t="e">
        <f>VLOOKUP(data[[#This Row],[Material]],'[1]Hoja para mrp'!$A:$Z,25,0)</f>
        <v>#N/A</v>
      </c>
    </row>
    <row r="258" spans="2:22" x14ac:dyDescent="0.2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2</v>
      </c>
      <c r="J258" s="4" t="s">
        <v>8</v>
      </c>
      <c r="K258" s="4" t="s">
        <v>9</v>
      </c>
      <c r="L258" s="11"/>
      <c r="M258" s="3"/>
      <c r="N258">
        <v>4502686650</v>
      </c>
      <c r="O258" s="4">
        <v>15</v>
      </c>
      <c r="P258" s="1" t="s">
        <v>22</v>
      </c>
      <c r="Q258" s="22">
        <v>46195</v>
      </c>
      <c r="R258" t="s">
        <v>226</v>
      </c>
      <c r="S258" s="11"/>
      <c r="T258" s="4" t="s">
        <v>71</v>
      </c>
      <c r="U258" s="1" t="e">
        <f>VLOOKUP(data[[#This Row],[Material]],'[1]Hoja para mrp'!$A:$Z,26,0)</f>
        <v>#N/A</v>
      </c>
      <c r="V258" s="1" t="e">
        <f>VLOOKUP(data[[#This Row],[Material]],'[1]Hoja para mrp'!$A:$Z,25,0)</f>
        <v>#N/A</v>
      </c>
    </row>
    <row r="259" spans="2:22" x14ac:dyDescent="0.2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5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71</v>
      </c>
      <c r="U259" s="1" t="e">
        <f>VLOOKUP(data[[#This Row],[Material]],'[1]Hoja para mrp'!$A:$Z,26,0)</f>
        <v>#N/A</v>
      </c>
      <c r="V259" s="1" t="e">
        <f>VLOOKUP(data[[#This Row],[Material]],'[1]Hoja para mrp'!$A:$Z,25,0)</f>
        <v>#N/A</v>
      </c>
    </row>
    <row r="260" spans="2:22" x14ac:dyDescent="0.2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 t="e">
        <f>VLOOKUP(data[[#This Row],[Material]],'[1]Hoja para mrp'!$A:$Z,26,0)</f>
        <v>#N/A</v>
      </c>
      <c r="V260" s="1" t="e">
        <f>VLOOKUP(data[[#This Row],[Material]],'[1]Hoja para mrp'!$A:$Z,25,0)</f>
        <v>#N/A</v>
      </c>
    </row>
    <row r="261" spans="2:22" x14ac:dyDescent="0.2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 t="e">
        <f>VLOOKUP(data[[#This Row],[Material]],'[1]Hoja para mrp'!$A:$Z,26,0)</f>
        <v>#N/A</v>
      </c>
      <c r="V261" s="1" t="e">
        <f>VLOOKUP(data[[#This Row],[Material]],'[1]Hoja para mrp'!$A:$Z,25,0)</f>
        <v>#N/A</v>
      </c>
    </row>
    <row r="262" spans="2:22" x14ac:dyDescent="0.2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2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 t="e">
        <f>VLOOKUP(data[[#This Row],[Material]],'[1]Hoja para mrp'!$A:$Z,26,0)</f>
        <v>#N/A</v>
      </c>
      <c r="V262" s="1" t="e">
        <f>VLOOKUP(data[[#This Row],[Material]],'[1]Hoja para mrp'!$A:$Z,25,0)</f>
        <v>#N/A</v>
      </c>
    </row>
    <row r="263" spans="2:22" x14ac:dyDescent="0.2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4"/>
      <c r="Q263" s="24"/>
      <c r="R263" t="s">
        <v>193</v>
      </c>
      <c r="S263" s="11"/>
      <c r="T263" s="4" t="s">
        <v>70</v>
      </c>
      <c r="U263" s="1" t="e">
        <f>VLOOKUP(data[[#This Row],[Material]],'[1]Hoja para mrp'!$A:$Z,26,0)</f>
        <v>#N/A</v>
      </c>
      <c r="V263" s="1" t="e">
        <f>VLOOKUP(data[[#This Row],[Material]],'[1]Hoja para mrp'!$A:$Z,25,0)</f>
        <v>#N/A</v>
      </c>
    </row>
    <row r="264" spans="2:22" x14ac:dyDescent="0.25">
      <c r="B264" s="4">
        <v>20014687</v>
      </c>
      <c r="C264" s="1" t="s">
        <v>232</v>
      </c>
      <c r="D264" s="4" t="s">
        <v>89</v>
      </c>
      <c r="E264" s="3" t="s">
        <v>1641</v>
      </c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 t="e">
        <f>VLOOKUP(data[[#This Row],[Material]],'[1]Hoja para mrp'!$A:$Z,26,0)</f>
        <v>#N/A</v>
      </c>
      <c r="V264" s="1" t="e">
        <f>VLOOKUP(data[[#This Row],[Material]],'[1]Hoja para mrp'!$A:$Z,25,0)</f>
        <v>#N/A</v>
      </c>
    </row>
    <row r="265" spans="2:22" x14ac:dyDescent="0.2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5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 t="e">
        <f>VLOOKUP(data[[#This Row],[Material]],'[1]Hoja para mrp'!$A:$Z,26,0)</f>
        <v>#N/A</v>
      </c>
      <c r="V265" s="1" t="e">
        <f>VLOOKUP(data[[#This Row],[Material]],'[1]Hoja para mrp'!$A:$Z,25,0)</f>
        <v>#N/A</v>
      </c>
    </row>
    <row r="266" spans="2:22" x14ac:dyDescent="0.2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 t="e">
        <f>VLOOKUP(data[[#This Row],[Material]],'[1]Hoja para mrp'!$A:$Z,26,0)</f>
        <v>#N/A</v>
      </c>
      <c r="V266" s="1" t="e">
        <f>VLOOKUP(data[[#This Row],[Material]],'[1]Hoja para mrp'!$A:$Z,25,0)</f>
        <v>#N/A</v>
      </c>
    </row>
    <row r="267" spans="2:22" x14ac:dyDescent="0.2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 t="s">
        <v>1659</v>
      </c>
      <c r="M267" s="3"/>
      <c r="N267"/>
      <c r="O267" s="4"/>
      <c r="P267" s="1"/>
      <c r="Q267" s="22"/>
      <c r="R267" t="s">
        <v>193</v>
      </c>
      <c r="S267" s="11" t="s">
        <v>1593</v>
      </c>
      <c r="T267" s="4" t="s">
        <v>66</v>
      </c>
      <c r="U267" s="1" t="e">
        <f>VLOOKUP(data[[#This Row],[Material]],'[1]Hoja para mrp'!$A:$Z,26,0)</f>
        <v>#N/A</v>
      </c>
      <c r="V267" s="1" t="e">
        <f>VLOOKUP(data[[#This Row],[Material]],'[1]Hoja para mrp'!$A:$Z,25,0)</f>
        <v>#N/A</v>
      </c>
    </row>
    <row r="268" spans="2:22" x14ac:dyDescent="0.25">
      <c r="B268" s="4">
        <v>20013797</v>
      </c>
      <c r="C268" s="1" t="s">
        <v>1330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 t="e">
        <f>VLOOKUP(data[[#This Row],[Material]],'[1]Hoja para mrp'!$A:$Z,26,0)</f>
        <v>#N/A</v>
      </c>
      <c r="V268" s="1" t="e">
        <f>VLOOKUP(data[[#This Row],[Material]],'[1]Hoja para mrp'!$A:$Z,25,0)</f>
        <v>#N/A</v>
      </c>
    </row>
    <row r="269" spans="2:22" x14ac:dyDescent="0.2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20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193</v>
      </c>
      <c r="S269" s="11"/>
      <c r="T269" s="4" t="s">
        <v>66</v>
      </c>
      <c r="U269" s="1" t="e">
        <f>VLOOKUP(data[[#This Row],[Material]],'[1]Hoja para mrp'!$A:$Z,26,0)</f>
        <v>#N/A</v>
      </c>
      <c r="V269" s="1" t="e">
        <f>VLOOKUP(data[[#This Row],[Material]],'[1]Hoja para mrp'!$A:$Z,25,0)</f>
        <v>#N/A</v>
      </c>
    </row>
    <row r="270" spans="2:22" x14ac:dyDescent="0.25">
      <c r="B270" s="4">
        <v>20013799</v>
      </c>
      <c r="C270" s="1" t="s">
        <v>1331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 t="e">
        <f>VLOOKUP(data[[#This Row],[Material]],'[1]Hoja para mrp'!$A:$Z,26,0)</f>
        <v>#N/A</v>
      </c>
      <c r="V270" s="1" t="e">
        <f>VLOOKUP(data[[#This Row],[Material]],'[1]Hoja para mrp'!$A:$Z,25,0)</f>
        <v>#N/A</v>
      </c>
    </row>
    <row r="271" spans="2:22" x14ac:dyDescent="0.2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 t="e">
        <f>VLOOKUP(data[[#This Row],[Material]],'[1]Hoja para mrp'!$A:$Z,26,0)</f>
        <v>#N/A</v>
      </c>
      <c r="V271" s="1" t="e">
        <f>VLOOKUP(data[[#This Row],[Material]],'[1]Hoja para mrp'!$A:$Z,25,0)</f>
        <v>#N/A</v>
      </c>
    </row>
    <row r="272" spans="2:22" x14ac:dyDescent="0.25">
      <c r="B272" s="4">
        <v>20013800</v>
      </c>
      <c r="C272" s="1" t="s">
        <v>1284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 t="e">
        <f>VLOOKUP(data[[#This Row],[Material]],'[1]Hoja para mrp'!$A:$Z,26,0)</f>
        <v>#N/A</v>
      </c>
      <c r="V272" s="1" t="e">
        <f>VLOOKUP(data[[#This Row],[Material]],'[1]Hoja para mrp'!$A:$Z,25,0)</f>
        <v>#N/A</v>
      </c>
    </row>
    <row r="273" spans="2:22" x14ac:dyDescent="0.2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 t="e">
        <f>VLOOKUP(data[[#This Row],[Material]],'[1]Hoja para mrp'!$A:$Z,26,0)</f>
        <v>#N/A</v>
      </c>
      <c r="V273" s="1" t="e">
        <f>VLOOKUP(data[[#This Row],[Material]],'[1]Hoja para mrp'!$A:$Z,25,0)</f>
        <v>#N/A</v>
      </c>
    </row>
    <row r="274" spans="2:22" x14ac:dyDescent="0.2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119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119</v>
      </c>
      <c r="S274" s="11"/>
      <c r="T274" s="4" t="s">
        <v>70</v>
      </c>
      <c r="U274" s="1" t="e">
        <f>VLOOKUP(data[[#This Row],[Material]],'[1]Hoja para mrp'!$A:$Z,26,0)</f>
        <v>#N/A</v>
      </c>
      <c r="V274" s="1" t="e">
        <f>VLOOKUP(data[[#This Row],[Material]],'[1]Hoja para mrp'!$A:$Z,25,0)</f>
        <v>#N/A</v>
      </c>
    </row>
    <row r="275" spans="2:22" x14ac:dyDescent="0.2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2300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 t="e">
        <f>VLOOKUP(data[[#This Row],[Material]],'[1]Hoja para mrp'!$A:$Z,26,0)</f>
        <v>#N/A</v>
      </c>
      <c r="V275" s="1" t="e">
        <f>VLOOKUP(data[[#This Row],[Material]],'[1]Hoja para mrp'!$A:$Z,25,0)</f>
        <v>#N/A</v>
      </c>
    </row>
    <row r="276" spans="2:22" x14ac:dyDescent="0.2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2600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95</v>
      </c>
      <c r="S276" s="11"/>
      <c r="T276" s="4" t="s">
        <v>71</v>
      </c>
      <c r="U276" s="1" t="e">
        <f>VLOOKUP(data[[#This Row],[Material]],'[1]Hoja para mrp'!$A:$Z,26,0)</f>
        <v>#N/A</v>
      </c>
      <c r="V276" s="1" t="e">
        <f>VLOOKUP(data[[#This Row],[Material]],'[1]Hoja para mrp'!$A:$Z,25,0)</f>
        <v>#N/A</v>
      </c>
    </row>
    <row r="277" spans="2:22" x14ac:dyDescent="0.25">
      <c r="B277" s="4">
        <v>20013978</v>
      </c>
      <c r="C277" s="1" t="s">
        <v>1250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1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/>
      <c r="T277" s="4" t="s">
        <v>68</v>
      </c>
      <c r="U277" s="1" t="e">
        <f>VLOOKUP(data[[#This Row],[Material]],'[1]Hoja para mrp'!$A:$Z,26,0)</f>
        <v>#N/A</v>
      </c>
      <c r="V277" s="1" t="e">
        <f>VLOOKUP(data[[#This Row],[Material]],'[1]Hoja para mrp'!$A:$Z,25,0)</f>
        <v>#N/A</v>
      </c>
    </row>
    <row r="278" spans="2:22" x14ac:dyDescent="0.2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1391</v>
      </c>
      <c r="J278" s="4" t="s">
        <v>10</v>
      </c>
      <c r="K278" s="4" t="s">
        <v>9</v>
      </c>
      <c r="L278" s="11">
        <v>1002654975</v>
      </c>
      <c r="M278" s="3">
        <v>2000</v>
      </c>
      <c r="N278"/>
      <c r="O278" s="4"/>
      <c r="P278" s="1"/>
      <c r="Q278" s="22"/>
      <c r="R278" t="s">
        <v>95</v>
      </c>
      <c r="S278" s="11"/>
      <c r="T278" s="4" t="s">
        <v>71</v>
      </c>
      <c r="U278" s="1" t="e">
        <f>VLOOKUP(data[[#This Row],[Material]],'[1]Hoja para mrp'!$A:$Z,26,0)</f>
        <v>#N/A</v>
      </c>
      <c r="V278" s="1" t="e">
        <f>VLOOKUP(data[[#This Row],[Material]],'[1]Hoja para mrp'!$A:$Z,25,0)</f>
        <v>#N/A</v>
      </c>
    </row>
    <row r="279" spans="2:22" x14ac:dyDescent="0.2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 t="e">
        <f>VLOOKUP(data[[#This Row],[Material]],'[1]Hoja para mrp'!$A:$Z,26,0)</f>
        <v>#N/A</v>
      </c>
      <c r="V279" s="1" t="e">
        <f>VLOOKUP(data[[#This Row],[Material]],'[1]Hoja para mrp'!$A:$Z,25,0)</f>
        <v>#N/A</v>
      </c>
    </row>
    <row r="280" spans="2:22" x14ac:dyDescent="0.2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12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 t="e">
        <f>VLOOKUP(data[[#This Row],[Material]],'[1]Hoja para mrp'!$A:$Z,26,0)</f>
        <v>#N/A</v>
      </c>
      <c r="V280" s="1" t="e">
        <f>VLOOKUP(data[[#This Row],[Material]],'[1]Hoja para mrp'!$A:$Z,25,0)</f>
        <v>#N/A</v>
      </c>
    </row>
    <row r="281" spans="2:22" x14ac:dyDescent="0.2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 t="e">
        <f>VLOOKUP(data[[#This Row],[Material]],'[1]Hoja para mrp'!$A:$Z,26,0)</f>
        <v>#N/A</v>
      </c>
      <c r="V281" s="1" t="e">
        <f>VLOOKUP(data[[#This Row],[Material]],'[1]Hoja para mrp'!$A:$Z,25,0)</f>
        <v>#N/A</v>
      </c>
    </row>
    <row r="282" spans="2:22" x14ac:dyDescent="0.2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 t="e">
        <f>VLOOKUP(data[[#This Row],[Material]],'[1]Hoja para mrp'!$A:$Z,26,0)</f>
        <v>#N/A</v>
      </c>
      <c r="V282" s="1" t="e">
        <f>VLOOKUP(data[[#This Row],[Material]],'[1]Hoja para mrp'!$A:$Z,25,0)</f>
        <v>#N/A</v>
      </c>
    </row>
    <row r="283" spans="2:22" x14ac:dyDescent="0.2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 t="e">
        <f>VLOOKUP(data[[#This Row],[Material]],'[1]Hoja para mrp'!$A:$Z,26,0)</f>
        <v>#N/A</v>
      </c>
      <c r="V283" s="1" t="e">
        <f>VLOOKUP(data[[#This Row],[Material]],'[1]Hoja para mrp'!$A:$Z,25,0)</f>
        <v>#N/A</v>
      </c>
    </row>
    <row r="284" spans="2:22" x14ac:dyDescent="0.2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 t="e">
        <f>VLOOKUP(data[[#This Row],[Material]],'[1]Hoja para mrp'!$A:$Z,26,0)</f>
        <v>#N/A</v>
      </c>
      <c r="V284" s="1" t="e">
        <f>VLOOKUP(data[[#This Row],[Material]],'[1]Hoja para mrp'!$A:$Z,25,0)</f>
        <v>#N/A</v>
      </c>
    </row>
    <row r="285" spans="2:22" x14ac:dyDescent="0.2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 t="e">
        <f>VLOOKUP(data[[#This Row],[Material]],'[1]Hoja para mrp'!$A:$Z,26,0)</f>
        <v>#N/A</v>
      </c>
      <c r="V285" s="1" t="e">
        <f>VLOOKUP(data[[#This Row],[Material]],'[1]Hoja para mrp'!$A:$Z,25,0)</f>
        <v>#N/A</v>
      </c>
    </row>
    <row r="286" spans="2:22" x14ac:dyDescent="0.2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 t="e">
        <f>VLOOKUP(data[[#This Row],[Material]],'[1]Hoja para mrp'!$A:$Z,26,0)</f>
        <v>#N/A</v>
      </c>
      <c r="V286" s="1" t="e">
        <f>VLOOKUP(data[[#This Row],[Material]],'[1]Hoja para mrp'!$A:$Z,25,0)</f>
        <v>#N/A</v>
      </c>
    </row>
    <row r="287" spans="2:22" x14ac:dyDescent="0.2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 t="e">
        <f>VLOOKUP(data[[#This Row],[Material]],'[1]Hoja para mrp'!$A:$Z,26,0)</f>
        <v>#N/A</v>
      </c>
      <c r="V287" s="1" t="e">
        <f>VLOOKUP(data[[#This Row],[Material]],'[1]Hoja para mrp'!$A:$Z,25,0)</f>
        <v>#N/A</v>
      </c>
    </row>
    <row r="288" spans="2:22" x14ac:dyDescent="0.2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 t="e">
        <f>VLOOKUP(data[[#This Row],[Material]],'[1]Hoja para mrp'!$A:$Z,26,0)</f>
        <v>#N/A</v>
      </c>
      <c r="V288" s="1" t="e">
        <f>VLOOKUP(data[[#This Row],[Material]],'[1]Hoja para mrp'!$A:$Z,25,0)</f>
        <v>#N/A</v>
      </c>
    </row>
    <row r="289" spans="2:22" x14ac:dyDescent="0.25">
      <c r="B289" s="4">
        <v>20014821</v>
      </c>
      <c r="C289" s="1" t="s">
        <v>1332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 t="e">
        <f>VLOOKUP(data[[#This Row],[Material]],'[1]Hoja para mrp'!$A:$Z,26,0)</f>
        <v>#N/A</v>
      </c>
      <c r="V289" s="1" t="e">
        <f>VLOOKUP(data[[#This Row],[Material]],'[1]Hoja para mrp'!$A:$Z,25,0)</f>
        <v>#N/A</v>
      </c>
    </row>
    <row r="290" spans="2:22" x14ac:dyDescent="0.25">
      <c r="B290" s="4">
        <v>20014822</v>
      </c>
      <c r="C290" s="1" t="s">
        <v>1333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 t="e">
        <f>VLOOKUP(data[[#This Row],[Material]],'[1]Hoja para mrp'!$A:$Z,26,0)</f>
        <v>#N/A</v>
      </c>
      <c r="V290" s="1" t="e">
        <f>VLOOKUP(data[[#This Row],[Material]],'[1]Hoja para mrp'!$A:$Z,25,0)</f>
        <v>#N/A</v>
      </c>
    </row>
    <row r="291" spans="2:22" x14ac:dyDescent="0.25">
      <c r="B291" s="4">
        <v>20017680</v>
      </c>
      <c r="C291" s="1" t="s">
        <v>253</v>
      </c>
      <c r="D291" s="4" t="s">
        <v>89</v>
      </c>
      <c r="E291" s="3" t="s">
        <v>1641</v>
      </c>
      <c r="F291" s="3" t="s">
        <v>92</v>
      </c>
      <c r="G291" s="4">
        <v>22</v>
      </c>
      <c r="H291" s="4">
        <v>36</v>
      </c>
      <c r="I291" s="4">
        <v>36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116</v>
      </c>
      <c r="S291" s="11"/>
      <c r="T291" s="4" t="s">
        <v>66</v>
      </c>
      <c r="U291" s="1" t="e">
        <f>VLOOKUP(data[[#This Row],[Material]],'[1]Hoja para mrp'!$A:$Z,26,0)</f>
        <v>#N/A</v>
      </c>
      <c r="V291" s="1" t="e">
        <f>VLOOKUP(data[[#This Row],[Material]],'[1]Hoja para mrp'!$A:$Z,25,0)</f>
        <v>#N/A</v>
      </c>
    </row>
    <row r="292" spans="2:22" x14ac:dyDescent="0.25">
      <c r="B292" s="4">
        <v>20014827</v>
      </c>
      <c r="C292" s="1" t="s">
        <v>1285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 t="e">
        <f>VLOOKUP(data[[#This Row],[Material]],'[1]Hoja para mrp'!$A:$Z,26,0)</f>
        <v>#N/A</v>
      </c>
      <c r="V292" s="1" t="e">
        <f>VLOOKUP(data[[#This Row],[Material]],'[1]Hoja para mrp'!$A:$Z,25,0)</f>
        <v>#N/A</v>
      </c>
    </row>
    <row r="293" spans="2:22" x14ac:dyDescent="0.2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1594</v>
      </c>
      <c r="T293" s="4" t="s">
        <v>70</v>
      </c>
      <c r="U293" s="1" t="e">
        <f>VLOOKUP(data[[#This Row],[Material]],'[1]Hoja para mrp'!$A:$Z,26,0)</f>
        <v>#N/A</v>
      </c>
      <c r="V293" s="1" t="e">
        <f>VLOOKUP(data[[#This Row],[Material]],'[1]Hoja para mrp'!$A:$Z,25,0)</f>
        <v>#N/A</v>
      </c>
    </row>
    <row r="294" spans="2:22" x14ac:dyDescent="0.25">
      <c r="B294" s="4">
        <v>20014829</v>
      </c>
      <c r="C294" s="1" t="s">
        <v>365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 t="e">
        <f>VLOOKUP(data[[#This Row],[Material]],'[1]Hoja para mrp'!$A:$Z,26,0)</f>
        <v>#N/A</v>
      </c>
      <c r="V294" s="1" t="e">
        <f>VLOOKUP(data[[#This Row],[Material]],'[1]Hoja para mrp'!$A:$Z,25,0)</f>
        <v>#N/A</v>
      </c>
    </row>
    <row r="295" spans="2:22" x14ac:dyDescent="0.2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 t="e">
        <f>VLOOKUP(data[[#This Row],[Material]],'[1]Hoja para mrp'!$A:$Z,26,0)</f>
        <v>#N/A</v>
      </c>
      <c r="V295" s="1" t="e">
        <f>VLOOKUP(data[[#This Row],[Material]],'[1]Hoja para mrp'!$A:$Z,25,0)</f>
        <v>#N/A</v>
      </c>
    </row>
    <row r="296" spans="2:22" x14ac:dyDescent="0.2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 t="e">
        <f>VLOOKUP(data[[#This Row],[Material]],'[1]Hoja para mrp'!$A:$Z,26,0)</f>
        <v>#N/A</v>
      </c>
      <c r="V296" s="1" t="e">
        <f>VLOOKUP(data[[#This Row],[Material]],'[1]Hoja para mrp'!$A:$Z,25,0)</f>
        <v>#N/A</v>
      </c>
    </row>
    <row r="297" spans="2:22" x14ac:dyDescent="0.2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 t="e">
        <f>VLOOKUP(data[[#This Row],[Material]],'[1]Hoja para mrp'!$A:$Z,26,0)</f>
        <v>#N/A</v>
      </c>
      <c r="V297" s="1" t="e">
        <f>VLOOKUP(data[[#This Row],[Material]],'[1]Hoja para mrp'!$A:$Z,25,0)</f>
        <v>#N/A</v>
      </c>
    </row>
    <row r="298" spans="2:22" x14ac:dyDescent="0.25">
      <c r="B298" s="4">
        <v>20015136</v>
      </c>
      <c r="C298" s="1" t="s">
        <v>1476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 t="e">
        <f>VLOOKUP(data[[#This Row],[Material]],'[1]Hoja para mrp'!$A:$Z,26,0)</f>
        <v>#N/A</v>
      </c>
      <c r="V298" s="1" t="e">
        <f>VLOOKUP(data[[#This Row],[Material]],'[1]Hoja para mrp'!$A:$Z,25,0)</f>
        <v>#N/A</v>
      </c>
    </row>
    <row r="299" spans="2:22" x14ac:dyDescent="0.2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 t="e">
        <f>VLOOKUP(data[[#This Row],[Material]],'[1]Hoja para mrp'!$A:$Z,26,0)</f>
        <v>#N/A</v>
      </c>
      <c r="V299" s="1" t="e">
        <f>VLOOKUP(data[[#This Row],[Material]],'[1]Hoja para mrp'!$A:$Z,25,0)</f>
        <v>#N/A</v>
      </c>
    </row>
    <row r="300" spans="2:22" x14ac:dyDescent="0.2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 t="e">
        <f>VLOOKUP(data[[#This Row],[Material]],'[1]Hoja para mrp'!$A:$Z,26,0)</f>
        <v>#N/A</v>
      </c>
      <c r="V300" s="1" t="e">
        <f>VLOOKUP(data[[#This Row],[Material]],'[1]Hoja para mrp'!$A:$Z,25,0)</f>
        <v>#N/A</v>
      </c>
    </row>
    <row r="301" spans="2:22" x14ac:dyDescent="0.2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 t="e">
        <f>VLOOKUP(data[[#This Row],[Material]],'[1]Hoja para mrp'!$A:$Z,26,0)</f>
        <v>#N/A</v>
      </c>
      <c r="V301" s="1" t="e">
        <f>VLOOKUP(data[[#This Row],[Material]],'[1]Hoja para mrp'!$A:$Z,25,0)</f>
        <v>#N/A</v>
      </c>
    </row>
    <row r="302" spans="2:22" x14ac:dyDescent="0.25">
      <c r="B302" s="4">
        <v>20019502</v>
      </c>
      <c r="C302" s="1" t="s">
        <v>1023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 t="e">
        <f>VLOOKUP(data[[#This Row],[Material]],'[1]Hoja para mrp'!$A:$Z,26,0)</f>
        <v>#N/A</v>
      </c>
      <c r="V302" s="1" t="e">
        <f>VLOOKUP(data[[#This Row],[Material]],'[1]Hoja para mrp'!$A:$Z,25,0)</f>
        <v>#N/A</v>
      </c>
    </row>
    <row r="303" spans="2:22" x14ac:dyDescent="0.25">
      <c r="B303" s="4">
        <v>20015589</v>
      </c>
      <c r="C303" s="1" t="s">
        <v>1286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 t="e">
        <f>VLOOKUP(data[[#This Row],[Material]],'[1]Hoja para mrp'!$A:$Z,26,0)</f>
        <v>#N/A</v>
      </c>
      <c r="V303" s="1" t="e">
        <f>VLOOKUP(data[[#This Row],[Material]],'[1]Hoja para mrp'!$A:$Z,25,0)</f>
        <v>#N/A</v>
      </c>
    </row>
    <row r="304" spans="2:22" x14ac:dyDescent="0.2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 t="e">
        <f>VLOOKUP(data[[#This Row],[Material]],'[1]Hoja para mrp'!$A:$Z,26,0)</f>
        <v>#N/A</v>
      </c>
      <c r="V304" s="1" t="e">
        <f>VLOOKUP(data[[#This Row],[Material]],'[1]Hoja para mrp'!$A:$Z,25,0)</f>
        <v>#N/A</v>
      </c>
    </row>
    <row r="305" spans="2:22" x14ac:dyDescent="0.25">
      <c r="B305" s="4">
        <v>20015638</v>
      </c>
      <c r="C305" s="1" t="s">
        <v>1414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 t="e">
        <f>VLOOKUP(data[[#This Row],[Material]],'[1]Hoja para mrp'!$A:$Z,26,0)</f>
        <v>#N/A</v>
      </c>
      <c r="V305" s="1" t="e">
        <f>VLOOKUP(data[[#This Row],[Material]],'[1]Hoja para mrp'!$A:$Z,25,0)</f>
        <v>#N/A</v>
      </c>
    </row>
    <row r="306" spans="2:22" x14ac:dyDescent="0.2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 t="e">
        <f>VLOOKUP(data[[#This Row],[Material]],'[1]Hoja para mrp'!$A:$Z,26,0)</f>
        <v>#N/A</v>
      </c>
      <c r="V306" s="1" t="e">
        <f>VLOOKUP(data[[#This Row],[Material]],'[1]Hoja para mrp'!$A:$Z,25,0)</f>
        <v>#N/A</v>
      </c>
    </row>
    <row r="307" spans="2:22" x14ac:dyDescent="0.25">
      <c r="B307" s="4">
        <v>20015709</v>
      </c>
      <c r="C307" s="1" t="s">
        <v>1305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 t="e">
        <f>VLOOKUP(data[[#This Row],[Material]],'[1]Hoja para mrp'!$A:$Z,26,0)</f>
        <v>#N/A</v>
      </c>
      <c r="V307" s="1" t="e">
        <f>VLOOKUP(data[[#This Row],[Material]],'[1]Hoja para mrp'!$A:$Z,25,0)</f>
        <v>#N/A</v>
      </c>
    </row>
    <row r="308" spans="2:22" x14ac:dyDescent="0.2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 t="e">
        <f>VLOOKUP(data[[#This Row],[Material]],'[1]Hoja para mrp'!$A:$Z,26,0)</f>
        <v>#N/A</v>
      </c>
      <c r="V308" s="1" t="e">
        <f>VLOOKUP(data[[#This Row],[Material]],'[1]Hoja para mrp'!$A:$Z,25,0)</f>
        <v>#N/A</v>
      </c>
    </row>
    <row r="309" spans="2:22" x14ac:dyDescent="0.25">
      <c r="B309" s="4">
        <v>20016025</v>
      </c>
      <c r="C309" s="1" t="s">
        <v>1552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 t="e">
        <f>VLOOKUP(data[[#This Row],[Material]],'[1]Hoja para mrp'!$A:$Z,26,0)</f>
        <v>#N/A</v>
      </c>
      <c r="V309" s="1" t="e">
        <f>VLOOKUP(data[[#This Row],[Material]],'[1]Hoja para mrp'!$A:$Z,25,0)</f>
        <v>#N/A</v>
      </c>
    </row>
    <row r="310" spans="2:22" x14ac:dyDescent="0.2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 t="e">
        <f>VLOOKUP(data[[#This Row],[Material]],'[1]Hoja para mrp'!$A:$Z,26,0)</f>
        <v>#N/A</v>
      </c>
      <c r="V310" s="1" t="e">
        <f>VLOOKUP(data[[#This Row],[Material]],'[1]Hoja para mrp'!$A:$Z,25,0)</f>
        <v>#N/A</v>
      </c>
    </row>
    <row r="311" spans="2:22" x14ac:dyDescent="0.25">
      <c r="B311" s="4">
        <v>20019674</v>
      </c>
      <c r="C311" s="1" t="s">
        <v>265</v>
      </c>
      <c r="D311" s="4" t="s">
        <v>89</v>
      </c>
      <c r="E311" s="3" t="s">
        <v>1641</v>
      </c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 t="e">
        <f>VLOOKUP(data[[#This Row],[Material]],'[1]Hoja para mrp'!$A:$Z,26,0)</f>
        <v>#N/A</v>
      </c>
      <c r="V311" s="1" t="e">
        <f>VLOOKUP(data[[#This Row],[Material]],'[1]Hoja para mrp'!$A:$Z,25,0)</f>
        <v>#N/A</v>
      </c>
    </row>
    <row r="312" spans="2:22" x14ac:dyDescent="0.2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 t="e">
        <f>VLOOKUP(data[[#This Row],[Material]],'[1]Hoja para mrp'!$A:$Z,26,0)</f>
        <v>#N/A</v>
      </c>
      <c r="V312" s="1" t="e">
        <f>VLOOKUP(data[[#This Row],[Material]],'[1]Hoja para mrp'!$A:$Z,25,0)</f>
        <v>#N/A</v>
      </c>
    </row>
    <row r="313" spans="2:22" x14ac:dyDescent="0.2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33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 t="e">
        <f>VLOOKUP(data[[#This Row],[Material]],'[1]Hoja para mrp'!$A:$Z,26,0)</f>
        <v>#N/A</v>
      </c>
      <c r="V313" s="1" t="e">
        <f>VLOOKUP(data[[#This Row],[Material]],'[1]Hoja para mrp'!$A:$Z,25,0)</f>
        <v>#N/A</v>
      </c>
    </row>
    <row r="314" spans="2:22" x14ac:dyDescent="0.25">
      <c r="B314" s="4">
        <v>20019729</v>
      </c>
      <c r="C314" s="1" t="s">
        <v>268</v>
      </c>
      <c r="D314" s="4" t="s">
        <v>89</v>
      </c>
      <c r="E314" s="3" t="s">
        <v>1641</v>
      </c>
      <c r="F314" s="3" t="s">
        <v>92</v>
      </c>
      <c r="G314" s="4">
        <v>10</v>
      </c>
      <c r="H314" s="4">
        <v>20</v>
      </c>
      <c r="I314" s="4">
        <v>25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116</v>
      </c>
      <c r="S314" s="11"/>
      <c r="T314" s="4" t="s">
        <v>66</v>
      </c>
      <c r="U314" s="1" t="e">
        <f>VLOOKUP(data[[#This Row],[Material]],'[1]Hoja para mrp'!$A:$Z,26,0)</f>
        <v>#N/A</v>
      </c>
      <c r="V314" s="1" t="e">
        <f>VLOOKUP(data[[#This Row],[Material]],'[1]Hoja para mrp'!$A:$Z,25,0)</f>
        <v>#N/A</v>
      </c>
    </row>
    <row r="315" spans="2:22" x14ac:dyDescent="0.25">
      <c r="B315" s="4">
        <v>20016983</v>
      </c>
      <c r="C315" s="1" t="s">
        <v>1530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 t="e">
        <f>VLOOKUP(data[[#This Row],[Material]],'[1]Hoja para mrp'!$A:$Z,26,0)</f>
        <v>#N/A</v>
      </c>
      <c r="V315" s="1" t="e">
        <f>VLOOKUP(data[[#This Row],[Material]],'[1]Hoja para mrp'!$A:$Z,25,0)</f>
        <v>#N/A</v>
      </c>
    </row>
    <row r="316" spans="2:22" x14ac:dyDescent="0.2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 t="e">
        <f>VLOOKUP(data[[#This Row],[Material]],'[1]Hoja para mrp'!$A:$Z,26,0)</f>
        <v>#N/A</v>
      </c>
      <c r="V316" s="1" t="e">
        <f>VLOOKUP(data[[#This Row],[Material]],'[1]Hoja para mrp'!$A:$Z,25,0)</f>
        <v>#N/A</v>
      </c>
    </row>
    <row r="317" spans="2:22" x14ac:dyDescent="0.2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 t="e">
        <f>VLOOKUP(data[[#This Row],[Material]],'[1]Hoja para mrp'!$A:$Z,26,0)</f>
        <v>#N/A</v>
      </c>
      <c r="V317" s="1" t="e">
        <f>VLOOKUP(data[[#This Row],[Material]],'[1]Hoja para mrp'!$A:$Z,25,0)</f>
        <v>#N/A</v>
      </c>
    </row>
    <row r="318" spans="2:22" x14ac:dyDescent="0.2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 t="e">
        <f>VLOOKUP(data[[#This Row],[Material]],'[1]Hoja para mrp'!$A:$Z,26,0)</f>
        <v>#N/A</v>
      </c>
      <c r="V318" s="1" t="e">
        <f>VLOOKUP(data[[#This Row],[Material]],'[1]Hoja para mrp'!$A:$Z,25,0)</f>
        <v>#N/A</v>
      </c>
    </row>
    <row r="319" spans="2:22" x14ac:dyDescent="0.25">
      <c r="B319" s="4">
        <v>20017830</v>
      </c>
      <c r="C319" s="1" t="s">
        <v>1415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 t="e">
        <f>VLOOKUP(data[[#This Row],[Material]],'[1]Hoja para mrp'!$A:$Z,26,0)</f>
        <v>#N/A</v>
      </c>
      <c r="V319" s="1" t="e">
        <f>VLOOKUP(data[[#This Row],[Material]],'[1]Hoja para mrp'!$A:$Z,25,0)</f>
        <v>#N/A</v>
      </c>
    </row>
    <row r="320" spans="2:22" x14ac:dyDescent="0.2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 t="e">
        <f>VLOOKUP(data[[#This Row],[Material]],'[1]Hoja para mrp'!$A:$Z,26,0)</f>
        <v>#N/A</v>
      </c>
      <c r="V320" s="1" t="e">
        <f>VLOOKUP(data[[#This Row],[Material]],'[1]Hoja para mrp'!$A:$Z,25,0)</f>
        <v>#N/A</v>
      </c>
    </row>
    <row r="321" spans="2:22" x14ac:dyDescent="0.25">
      <c r="B321" s="4">
        <v>20018239</v>
      </c>
      <c r="C321" s="1" t="s">
        <v>1535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 t="e">
        <f>VLOOKUP(data[[#This Row],[Material]],'[1]Hoja para mrp'!$A:$Z,26,0)</f>
        <v>#N/A</v>
      </c>
      <c r="V321" s="1" t="e">
        <f>VLOOKUP(data[[#This Row],[Material]],'[1]Hoja para mrp'!$A:$Z,25,0)</f>
        <v>#N/A</v>
      </c>
    </row>
    <row r="322" spans="2:22" x14ac:dyDescent="0.2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 t="e">
        <f>VLOOKUP(data[[#This Row],[Material]],'[1]Hoja para mrp'!$A:$Z,26,0)</f>
        <v>#N/A</v>
      </c>
      <c r="V322" s="1" t="e">
        <f>VLOOKUP(data[[#This Row],[Material]],'[1]Hoja para mrp'!$A:$Z,25,0)</f>
        <v>#N/A</v>
      </c>
    </row>
    <row r="323" spans="2:22" x14ac:dyDescent="0.25">
      <c r="B323" s="4">
        <v>20018240</v>
      </c>
      <c r="C323" s="1" t="s">
        <v>1536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69"/>
      <c r="M323" s="3"/>
      <c r="N323"/>
      <c r="O323" s="4"/>
      <c r="P323" s="1"/>
      <c r="Q323" s="22"/>
      <c r="R323"/>
      <c r="S323" s="11"/>
      <c r="T323" s="4" t="s">
        <v>66</v>
      </c>
      <c r="U323" s="1" t="e">
        <f>VLOOKUP(data[[#This Row],[Material]],'[1]Hoja para mrp'!$A:$Z,26,0)</f>
        <v>#N/A</v>
      </c>
      <c r="V323" s="1" t="e">
        <f>VLOOKUP(data[[#This Row],[Material]],'[1]Hoja para mrp'!$A:$Z,25,0)</f>
        <v>#N/A</v>
      </c>
    </row>
    <row r="324" spans="2:22" x14ac:dyDescent="0.25">
      <c r="B324" s="4">
        <v>20019788</v>
      </c>
      <c r="C324" s="1" t="s">
        <v>1377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1568</v>
      </c>
      <c r="Q324" s="22">
        <v>46223</v>
      </c>
      <c r="R324" t="s">
        <v>159</v>
      </c>
      <c r="S324" s="11"/>
      <c r="T324" s="4" t="s">
        <v>68</v>
      </c>
      <c r="U324" s="1" t="e">
        <f>VLOOKUP(data[[#This Row],[Material]],'[1]Hoja para mrp'!$A:$Z,26,0)</f>
        <v>#N/A</v>
      </c>
      <c r="V324" s="1" t="e">
        <f>VLOOKUP(data[[#This Row],[Material]],'[1]Hoja para mrp'!$A:$Z,25,0)</f>
        <v>#N/A</v>
      </c>
    </row>
    <row r="325" spans="2:22" x14ac:dyDescent="0.2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45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95</v>
      </c>
      <c r="S325" s="11"/>
      <c r="T325" s="4" t="s">
        <v>71</v>
      </c>
      <c r="U325" s="1" t="e">
        <f>VLOOKUP(data[[#This Row],[Material]],'[1]Hoja para mrp'!$A:$Z,26,0)</f>
        <v>#N/A</v>
      </c>
      <c r="V325" s="1" t="e">
        <f>VLOOKUP(data[[#This Row],[Material]],'[1]Hoja para mrp'!$A:$Z,25,0)</f>
        <v>#N/A</v>
      </c>
    </row>
    <row r="326" spans="2:22" x14ac:dyDescent="0.2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 t="e">
        <f>VLOOKUP(data[[#This Row],[Material]],'[1]Hoja para mrp'!$A:$Z,26,0)</f>
        <v>#N/A</v>
      </c>
      <c r="V326" s="1" t="e">
        <f>VLOOKUP(data[[#This Row],[Material]],'[1]Hoja para mrp'!$A:$Z,25,0)</f>
        <v>#N/A</v>
      </c>
    </row>
    <row r="327" spans="2:22" x14ac:dyDescent="0.25">
      <c r="B327" s="4">
        <v>20018777</v>
      </c>
      <c r="C327" s="1" t="s">
        <v>1387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22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 t="str">
        <f>VLOOKUP(data[[#This Row],[Material]],'[1]Hoja para mrp'!$A:$Z,26,0)</f>
        <v>2da compra</v>
      </c>
      <c r="V327" s="1">
        <f>VLOOKUP(data[[#This Row],[Material]],'[1]Hoja para mrp'!$A:$Z,25,0)</f>
        <v>40</v>
      </c>
    </row>
    <row r="328" spans="2:22" x14ac:dyDescent="0.2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 t="e">
        <f>VLOOKUP(data[[#This Row],[Material]],'[1]Hoja para mrp'!$A:$Z,26,0)</f>
        <v>#N/A</v>
      </c>
      <c r="V328" s="1" t="e">
        <f>VLOOKUP(data[[#This Row],[Material]],'[1]Hoja para mrp'!$A:$Z,25,0)</f>
        <v>#N/A</v>
      </c>
    </row>
    <row r="329" spans="2:22" x14ac:dyDescent="0.25">
      <c r="B329" s="4">
        <v>20018778</v>
      </c>
      <c r="C329" s="1" t="s">
        <v>1537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136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 t="e">
        <f>VLOOKUP(data[[#This Row],[Material]],'[1]Hoja para mrp'!$A:$Z,26,0)</f>
        <v>#N/A</v>
      </c>
      <c r="V329" s="1" t="e">
        <f>VLOOKUP(data[[#This Row],[Material]],'[1]Hoja para mrp'!$A:$Z,25,0)</f>
        <v>#N/A</v>
      </c>
    </row>
    <row r="330" spans="2:22" x14ac:dyDescent="0.25">
      <c r="B330" s="4">
        <v>20018779</v>
      </c>
      <c r="C330" s="1" t="s">
        <v>1538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 t="e">
        <f>VLOOKUP(data[[#This Row],[Material]],'[1]Hoja para mrp'!$A:$Z,26,0)</f>
        <v>#N/A</v>
      </c>
      <c r="V330" s="1" t="e">
        <f>VLOOKUP(data[[#This Row],[Material]],'[1]Hoja para mrp'!$A:$Z,25,0)</f>
        <v>#N/A</v>
      </c>
    </row>
    <row r="331" spans="2:22" x14ac:dyDescent="0.2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 t="e">
        <f>VLOOKUP(data[[#This Row],[Material]],'[1]Hoja para mrp'!$A:$Z,26,0)</f>
        <v>#N/A</v>
      </c>
      <c r="V331" s="1" t="e">
        <f>VLOOKUP(data[[#This Row],[Material]],'[1]Hoja para mrp'!$A:$Z,25,0)</f>
        <v>#N/A</v>
      </c>
    </row>
    <row r="332" spans="2:22" x14ac:dyDescent="0.25">
      <c r="B332" s="4">
        <v>20019411</v>
      </c>
      <c r="C332" s="1" t="s">
        <v>1334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 t="e">
        <f>VLOOKUP(data[[#This Row],[Material]],'[1]Hoja para mrp'!$A:$Z,26,0)</f>
        <v>#N/A</v>
      </c>
      <c r="V332" s="1" t="e">
        <f>VLOOKUP(data[[#This Row],[Material]],'[1]Hoja para mrp'!$A:$Z,25,0)</f>
        <v>#N/A</v>
      </c>
    </row>
    <row r="333" spans="2:22" x14ac:dyDescent="0.2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 t="e">
        <f>VLOOKUP(data[[#This Row],[Material]],'[1]Hoja para mrp'!$A:$Z,26,0)</f>
        <v>#N/A</v>
      </c>
      <c r="V333" s="1" t="e">
        <f>VLOOKUP(data[[#This Row],[Material]],'[1]Hoja para mrp'!$A:$Z,25,0)</f>
        <v>#N/A</v>
      </c>
    </row>
    <row r="334" spans="2:22" x14ac:dyDescent="0.2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4400</v>
      </c>
      <c r="J334" s="4" t="s">
        <v>25</v>
      </c>
      <c r="K334" s="4" t="s">
        <v>9</v>
      </c>
      <c r="L334" s="11"/>
      <c r="M334" s="3"/>
      <c r="N334">
        <v>4502682483</v>
      </c>
      <c r="O334" s="4">
        <v>25000</v>
      </c>
      <c r="P334" s="1" t="s">
        <v>1558</v>
      </c>
      <c r="Q334" s="22">
        <v>46202</v>
      </c>
      <c r="R334"/>
      <c r="S334" s="11"/>
      <c r="T334" s="4" t="s">
        <v>66</v>
      </c>
      <c r="U334" s="1" t="e">
        <f>VLOOKUP(data[[#This Row],[Material]],'[1]Hoja para mrp'!$A:$Z,26,0)</f>
        <v>#N/A</v>
      </c>
      <c r="V334" s="1" t="e">
        <f>VLOOKUP(data[[#This Row],[Material]],'[1]Hoja para mrp'!$A:$Z,25,0)</f>
        <v>#N/A</v>
      </c>
    </row>
    <row r="335" spans="2:22" x14ac:dyDescent="0.25">
      <c r="B335" s="4">
        <v>20019917</v>
      </c>
      <c r="C335" s="1" t="s">
        <v>280</v>
      </c>
      <c r="D335" s="4" t="s">
        <v>89</v>
      </c>
      <c r="E335" s="3" t="s">
        <v>1641</v>
      </c>
      <c r="F335" s="3" t="s">
        <v>92</v>
      </c>
      <c r="G335" s="4">
        <v>5</v>
      </c>
      <c r="H335" s="4">
        <v>10</v>
      </c>
      <c r="I335" s="4">
        <v>10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 t="e">
        <f>VLOOKUP(data[[#This Row],[Material]],'[1]Hoja para mrp'!$A:$Z,26,0)</f>
        <v>#N/A</v>
      </c>
      <c r="V335" s="1" t="e">
        <f>VLOOKUP(data[[#This Row],[Material]],'[1]Hoja para mrp'!$A:$Z,25,0)</f>
        <v>#N/A</v>
      </c>
    </row>
    <row r="336" spans="2:22" x14ac:dyDescent="0.2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 t="e">
        <f>VLOOKUP(data[[#This Row],[Material]],'[1]Hoja para mrp'!$A:$Z,26,0)</f>
        <v>#N/A</v>
      </c>
      <c r="V336" s="1" t="e">
        <f>VLOOKUP(data[[#This Row],[Material]],'[1]Hoja para mrp'!$A:$Z,25,0)</f>
        <v>#N/A</v>
      </c>
    </row>
    <row r="337" spans="2:23" x14ac:dyDescent="0.25">
      <c r="B337" s="4">
        <v>20019671</v>
      </c>
      <c r="C337" s="1" t="s">
        <v>1487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 t="e">
        <f>VLOOKUP(data[[#This Row],[Material]],'[1]Hoja para mrp'!$A:$Z,26,0)</f>
        <v>#N/A</v>
      </c>
      <c r="V337" s="1" t="e">
        <f>VLOOKUP(data[[#This Row],[Material]],'[1]Hoja para mrp'!$A:$Z,25,0)</f>
        <v>#N/A</v>
      </c>
    </row>
    <row r="338" spans="2:23" x14ac:dyDescent="0.25">
      <c r="B338" s="4">
        <v>20019920</v>
      </c>
      <c r="C338" s="1" t="s">
        <v>282</v>
      </c>
      <c r="D338" s="4" t="s">
        <v>89</v>
      </c>
      <c r="E338" s="3" t="s">
        <v>1641</v>
      </c>
      <c r="F338" s="3" t="s">
        <v>92</v>
      </c>
      <c r="G338" s="4">
        <v>150</v>
      </c>
      <c r="H338" s="4">
        <v>300</v>
      </c>
      <c r="I338" s="4">
        <v>252</v>
      </c>
      <c r="J338" s="4" t="s">
        <v>8</v>
      </c>
      <c r="K338" s="4" t="s">
        <v>7</v>
      </c>
      <c r="L338" s="11"/>
      <c r="M338" s="3"/>
      <c r="N338">
        <v>4502631739</v>
      </c>
      <c r="O338" s="4">
        <v>9</v>
      </c>
      <c r="P338" s="1" t="s">
        <v>1513</v>
      </c>
      <c r="Q338" s="22">
        <v>46087</v>
      </c>
      <c r="R338" t="s">
        <v>116</v>
      </c>
      <c r="S338" s="11"/>
      <c r="T338" s="4" t="s">
        <v>71</v>
      </c>
      <c r="U338" s="1" t="e">
        <f>VLOOKUP(data[[#This Row],[Material]],'[1]Hoja para mrp'!$A:$Z,26,0)</f>
        <v>#N/A</v>
      </c>
      <c r="V338" s="1" t="e">
        <f>VLOOKUP(data[[#This Row],[Material]],'[1]Hoja para mrp'!$A:$Z,25,0)</f>
        <v>#N/A</v>
      </c>
      <c r="W338" s="1" t="s">
        <v>1676</v>
      </c>
    </row>
    <row r="339" spans="2:23" x14ac:dyDescent="0.25">
      <c r="B339" s="4">
        <v>20019945</v>
      </c>
      <c r="C339" s="1" t="s">
        <v>283</v>
      </c>
      <c r="D339" s="4" t="s">
        <v>89</v>
      </c>
      <c r="E339" s="3" t="s">
        <v>1641</v>
      </c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1595</v>
      </c>
      <c r="T339" s="4" t="s">
        <v>70</v>
      </c>
      <c r="U339" s="1" t="e">
        <f>VLOOKUP(data[[#This Row],[Material]],'[1]Hoja para mrp'!$A:$Z,26,0)</f>
        <v>#N/A</v>
      </c>
      <c r="V339" s="1" t="e">
        <f>VLOOKUP(data[[#This Row],[Material]],'[1]Hoja para mrp'!$A:$Z,25,0)</f>
        <v>#N/A</v>
      </c>
      <c r="W339" s="1" t="s">
        <v>1675</v>
      </c>
    </row>
    <row r="340" spans="2:23" x14ac:dyDescent="0.25">
      <c r="B340" s="4">
        <v>20019946</v>
      </c>
      <c r="C340" s="1" t="s">
        <v>284</v>
      </c>
      <c r="D340" s="4" t="s">
        <v>89</v>
      </c>
      <c r="E340" s="3" t="s">
        <v>1641</v>
      </c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1596</v>
      </c>
      <c r="T340" s="4" t="s">
        <v>70</v>
      </c>
      <c r="U340" s="1" t="e">
        <f>VLOOKUP(data[[#This Row],[Material]],'[1]Hoja para mrp'!$A:$Z,26,0)</f>
        <v>#N/A</v>
      </c>
      <c r="V340" s="1" t="e">
        <f>VLOOKUP(data[[#This Row],[Material]],'[1]Hoja para mrp'!$A:$Z,25,0)</f>
        <v>#N/A</v>
      </c>
    </row>
    <row r="341" spans="2:23" x14ac:dyDescent="0.25">
      <c r="B341" s="4">
        <v>20019948</v>
      </c>
      <c r="C341" s="1" t="s">
        <v>285</v>
      </c>
      <c r="D341" s="4" t="s">
        <v>89</v>
      </c>
      <c r="E341" s="3" t="s">
        <v>1641</v>
      </c>
      <c r="F341" s="3" t="s">
        <v>92</v>
      </c>
      <c r="G341" s="4">
        <v>4</v>
      </c>
      <c r="H341" s="4">
        <v>7</v>
      </c>
      <c r="I341" s="4">
        <v>9</v>
      </c>
      <c r="J341" s="4" t="s">
        <v>21</v>
      </c>
      <c r="K341" s="4" t="s">
        <v>7</v>
      </c>
      <c r="L341" s="69"/>
      <c r="M341" s="3"/>
      <c r="N341"/>
      <c r="O341" s="4"/>
      <c r="P341" s="1"/>
      <c r="Q341" s="22"/>
      <c r="R341" t="s">
        <v>116</v>
      </c>
      <c r="S341" s="11" t="s">
        <v>1596</v>
      </c>
      <c r="T341" s="4" t="s">
        <v>70</v>
      </c>
      <c r="U341" s="1" t="e">
        <f>VLOOKUP(data[[#This Row],[Material]],'[1]Hoja para mrp'!$A:$Z,26,0)</f>
        <v>#N/A</v>
      </c>
      <c r="V341" s="1" t="e">
        <f>VLOOKUP(data[[#This Row],[Material]],'[1]Hoja para mrp'!$A:$Z,25,0)</f>
        <v>#N/A</v>
      </c>
    </row>
    <row r="342" spans="2:23" x14ac:dyDescent="0.2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37</v>
      </c>
      <c r="J342" s="4" t="s">
        <v>8</v>
      </c>
      <c r="K342" s="4" t="s">
        <v>9</v>
      </c>
      <c r="L342" s="11"/>
      <c r="M342" s="3"/>
      <c r="N342">
        <v>4502688097</v>
      </c>
      <c r="O342" s="4">
        <v>40</v>
      </c>
      <c r="P342" s="1" t="s">
        <v>1572</v>
      </c>
      <c r="Q342" s="22">
        <v>46210</v>
      </c>
      <c r="R342" t="s">
        <v>95</v>
      </c>
      <c r="S342" s="11"/>
      <c r="T342" s="4" t="s">
        <v>71</v>
      </c>
      <c r="U342" s="1" t="e">
        <f>VLOOKUP(data[[#This Row],[Material]],'[1]Hoja para mrp'!$A:$Z,26,0)</f>
        <v>#N/A</v>
      </c>
      <c r="V342" s="1" t="e">
        <f>VLOOKUP(data[[#This Row],[Material]],'[1]Hoja para mrp'!$A:$Z,25,0)</f>
        <v>#N/A</v>
      </c>
    </row>
    <row r="343" spans="2:23" x14ac:dyDescent="0.2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130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 t="e">
        <f>VLOOKUP(data[[#This Row],[Material]],'[1]Hoja para mrp'!$A:$Z,26,0)</f>
        <v>#N/A</v>
      </c>
      <c r="V343" s="1" t="e">
        <f>VLOOKUP(data[[#This Row],[Material]],'[1]Hoja para mrp'!$A:$Z,25,0)</f>
        <v>#N/A</v>
      </c>
    </row>
    <row r="344" spans="2:23" x14ac:dyDescent="0.2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 t="e">
        <f>VLOOKUP(data[[#This Row],[Material]],'[1]Hoja para mrp'!$A:$Z,26,0)</f>
        <v>#N/A</v>
      </c>
      <c r="V344" s="1" t="e">
        <f>VLOOKUP(data[[#This Row],[Material]],'[1]Hoja para mrp'!$A:$Z,25,0)</f>
        <v>#N/A</v>
      </c>
    </row>
    <row r="345" spans="2:23" x14ac:dyDescent="0.25">
      <c r="B345" s="4">
        <v>20020007</v>
      </c>
      <c r="C345" s="1" t="s">
        <v>17</v>
      </c>
      <c r="D345" s="4" t="s">
        <v>89</v>
      </c>
      <c r="E345" s="3" t="s">
        <v>1641</v>
      </c>
      <c r="F345" s="3" t="s">
        <v>92</v>
      </c>
      <c r="G345" s="4">
        <v>30</v>
      </c>
      <c r="H345" s="4">
        <v>40</v>
      </c>
      <c r="I345" s="4">
        <v>0</v>
      </c>
      <c r="J345" s="4" t="s">
        <v>8</v>
      </c>
      <c r="K345" s="4" t="s">
        <v>13</v>
      </c>
      <c r="L345" s="11"/>
      <c r="M345" s="3"/>
      <c r="N345">
        <v>4502685963</v>
      </c>
      <c r="O345" s="4">
        <v>70</v>
      </c>
      <c r="P345" s="1" t="s">
        <v>22</v>
      </c>
      <c r="Q345" s="22">
        <v>46200</v>
      </c>
      <c r="R345" t="s">
        <v>116</v>
      </c>
      <c r="S345" s="11"/>
      <c r="T345" s="4" t="s">
        <v>70</v>
      </c>
      <c r="U345" s="1" t="e">
        <f>VLOOKUP(data[[#This Row],[Material]],'[1]Hoja para mrp'!$A:$Z,26,0)</f>
        <v>#N/A</v>
      </c>
      <c r="V345" s="1" t="e">
        <f>VLOOKUP(data[[#This Row],[Material]],'[1]Hoja para mrp'!$A:$Z,25,0)</f>
        <v>#N/A</v>
      </c>
    </row>
    <row r="346" spans="2:23" x14ac:dyDescent="0.25">
      <c r="B346" s="4">
        <v>20020070</v>
      </c>
      <c r="C346" s="1" t="s">
        <v>289</v>
      </c>
      <c r="D346" s="4" t="s">
        <v>89</v>
      </c>
      <c r="E346" s="3" t="s">
        <v>1641</v>
      </c>
      <c r="F346" s="3" t="s">
        <v>92</v>
      </c>
      <c r="G346" s="4">
        <v>5</v>
      </c>
      <c r="H346" s="4">
        <v>5</v>
      </c>
      <c r="I346" s="4">
        <v>5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 t="e">
        <f>VLOOKUP(data[[#This Row],[Material]],'[1]Hoja para mrp'!$A:$Z,26,0)</f>
        <v>#N/A</v>
      </c>
      <c r="V346" s="1" t="e">
        <f>VLOOKUP(data[[#This Row],[Material]],'[1]Hoja para mrp'!$A:$Z,25,0)</f>
        <v>#N/A</v>
      </c>
    </row>
    <row r="347" spans="2:23" x14ac:dyDescent="0.25">
      <c r="B347" s="4">
        <v>20020071</v>
      </c>
      <c r="C347" s="1" t="s">
        <v>290</v>
      </c>
      <c r="D347" s="4" t="s">
        <v>89</v>
      </c>
      <c r="E347" s="3" t="s">
        <v>1641</v>
      </c>
      <c r="F347" s="3" t="s">
        <v>92</v>
      </c>
      <c r="G347" s="4">
        <v>3</v>
      </c>
      <c r="H347" s="4">
        <v>5</v>
      </c>
      <c r="I347" s="4">
        <v>4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 t="e">
        <f>VLOOKUP(data[[#This Row],[Material]],'[1]Hoja para mrp'!$A:$Z,26,0)</f>
        <v>#N/A</v>
      </c>
      <c r="V347" s="1" t="e">
        <f>VLOOKUP(data[[#This Row],[Material]],'[1]Hoja para mrp'!$A:$Z,25,0)</f>
        <v>#N/A</v>
      </c>
    </row>
    <row r="348" spans="2:23" x14ac:dyDescent="0.25">
      <c r="B348" s="4">
        <v>20019787</v>
      </c>
      <c r="C348" s="1" t="s">
        <v>1378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 t="e">
        <f>VLOOKUP(data[[#This Row],[Material]],'[1]Hoja para mrp'!$A:$Z,26,0)</f>
        <v>#N/A</v>
      </c>
      <c r="V348" s="1" t="e">
        <f>VLOOKUP(data[[#This Row],[Material]],'[1]Hoja para mrp'!$A:$Z,25,0)</f>
        <v>#N/A</v>
      </c>
    </row>
    <row r="349" spans="2:23" x14ac:dyDescent="0.25">
      <c r="B349" s="4">
        <v>20020075</v>
      </c>
      <c r="C349" s="1" t="s">
        <v>75</v>
      </c>
      <c r="D349" s="4" t="s">
        <v>89</v>
      </c>
      <c r="E349" s="3" t="s">
        <v>1641</v>
      </c>
      <c r="F349" s="3" t="s">
        <v>92</v>
      </c>
      <c r="G349" s="4">
        <v>300</v>
      </c>
      <c r="H349" s="4">
        <v>400</v>
      </c>
      <c r="I349" s="4">
        <v>611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 t="e">
        <f>VLOOKUP(data[[#This Row],[Material]],'[1]Hoja para mrp'!$A:$Z,26,0)</f>
        <v>#N/A</v>
      </c>
      <c r="V349" s="1" t="e">
        <f>VLOOKUP(data[[#This Row],[Material]],'[1]Hoja para mrp'!$A:$Z,25,0)</f>
        <v>#N/A</v>
      </c>
    </row>
    <row r="350" spans="2:23" x14ac:dyDescent="0.25">
      <c r="B350" s="4">
        <v>20020076</v>
      </c>
      <c r="C350" s="1" t="s">
        <v>291</v>
      </c>
      <c r="D350" s="4" t="s">
        <v>89</v>
      </c>
      <c r="E350" s="3" t="s">
        <v>1641</v>
      </c>
      <c r="F350" s="3" t="s">
        <v>92</v>
      </c>
      <c r="G350" s="4">
        <v>40</v>
      </c>
      <c r="H350" s="4">
        <v>100</v>
      </c>
      <c r="I350" s="4">
        <v>89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116</v>
      </c>
      <c r="S350" s="11"/>
      <c r="T350" s="4" t="s">
        <v>70</v>
      </c>
      <c r="U350" s="1" t="e">
        <f>VLOOKUP(data[[#This Row],[Material]],'[1]Hoja para mrp'!$A:$Z,26,0)</f>
        <v>#N/A</v>
      </c>
      <c r="V350" s="1" t="e">
        <f>VLOOKUP(data[[#This Row],[Material]],'[1]Hoja para mrp'!$A:$Z,25,0)</f>
        <v>#N/A</v>
      </c>
    </row>
    <row r="351" spans="2:23" x14ac:dyDescent="0.25">
      <c r="B351" s="4">
        <v>20020077</v>
      </c>
      <c r="C351" s="1" t="s">
        <v>292</v>
      </c>
      <c r="D351" s="4" t="s">
        <v>89</v>
      </c>
      <c r="E351" s="3" t="s">
        <v>1641</v>
      </c>
      <c r="F351" s="3" t="s">
        <v>92</v>
      </c>
      <c r="G351" s="4">
        <v>2</v>
      </c>
      <c r="H351" s="4">
        <v>2</v>
      </c>
      <c r="I351" s="4">
        <v>0</v>
      </c>
      <c r="J351" s="4" t="s">
        <v>21</v>
      </c>
      <c r="K351" s="4" t="s">
        <v>13</v>
      </c>
      <c r="L351" s="11"/>
      <c r="M351" s="3"/>
      <c r="N351">
        <v>4502687049</v>
      </c>
      <c r="O351" s="4">
        <v>2</v>
      </c>
      <c r="P351" s="1" t="s">
        <v>22</v>
      </c>
      <c r="Q351" s="22">
        <v>46205</v>
      </c>
      <c r="R351" t="s">
        <v>116</v>
      </c>
      <c r="S351" s="11"/>
      <c r="T351" s="4" t="s">
        <v>70</v>
      </c>
      <c r="U351" s="1" t="e">
        <f>VLOOKUP(data[[#This Row],[Material]],'[1]Hoja para mrp'!$A:$Z,26,0)</f>
        <v>#N/A</v>
      </c>
      <c r="V351" s="1" t="e">
        <f>VLOOKUP(data[[#This Row],[Material]],'[1]Hoja para mrp'!$A:$Z,25,0)</f>
        <v>#N/A</v>
      </c>
    </row>
    <row r="352" spans="2:23" x14ac:dyDescent="0.25">
      <c r="B352" s="4">
        <v>20020078</v>
      </c>
      <c r="C352" s="1" t="s">
        <v>293</v>
      </c>
      <c r="D352" s="4" t="s">
        <v>89</v>
      </c>
      <c r="E352" s="3" t="s">
        <v>1641</v>
      </c>
      <c r="F352" s="3" t="s">
        <v>92</v>
      </c>
      <c r="G352" s="4">
        <v>4</v>
      </c>
      <c r="H352" s="4">
        <v>6</v>
      </c>
      <c r="I352" s="4">
        <v>4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 t="e">
        <f>VLOOKUP(data[[#This Row],[Material]],'[1]Hoja para mrp'!$A:$Z,26,0)</f>
        <v>#N/A</v>
      </c>
      <c r="V352" s="1" t="e">
        <f>VLOOKUP(data[[#This Row],[Material]],'[1]Hoja para mrp'!$A:$Z,25,0)</f>
        <v>#N/A</v>
      </c>
    </row>
    <row r="353" spans="2:23" x14ac:dyDescent="0.25">
      <c r="B353" s="4">
        <v>20020079</v>
      </c>
      <c r="C353" s="1" t="s">
        <v>294</v>
      </c>
      <c r="D353" s="4" t="s">
        <v>89</v>
      </c>
      <c r="E353" s="3" t="s">
        <v>1641</v>
      </c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 t="e">
        <f>VLOOKUP(data[[#This Row],[Material]],'[1]Hoja para mrp'!$A:$Z,26,0)</f>
        <v>#N/A</v>
      </c>
      <c r="V353" s="1" t="e">
        <f>VLOOKUP(data[[#This Row],[Material]],'[1]Hoja para mrp'!$A:$Z,25,0)</f>
        <v>#N/A</v>
      </c>
    </row>
    <row r="354" spans="2:23" x14ac:dyDescent="0.25">
      <c r="B354" s="4">
        <v>20020080</v>
      </c>
      <c r="C354" s="1" t="s">
        <v>295</v>
      </c>
      <c r="D354" s="4" t="s">
        <v>89</v>
      </c>
      <c r="E354" s="3" t="s">
        <v>1641</v>
      </c>
      <c r="F354" s="3" t="s">
        <v>92</v>
      </c>
      <c r="G354" s="4">
        <v>60</v>
      </c>
      <c r="H354" s="4">
        <v>200</v>
      </c>
      <c r="I354" s="4">
        <v>167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116</v>
      </c>
      <c r="S354" s="11"/>
      <c r="T354" s="4" t="s">
        <v>70</v>
      </c>
      <c r="U354" s="1" t="e">
        <f>VLOOKUP(data[[#This Row],[Material]],'[1]Hoja para mrp'!$A:$Z,26,0)</f>
        <v>#N/A</v>
      </c>
      <c r="V354" s="1" t="e">
        <f>VLOOKUP(data[[#This Row],[Material]],'[1]Hoja para mrp'!$A:$Z,25,0)</f>
        <v>#N/A</v>
      </c>
      <c r="W354" s="1" t="s">
        <v>1677</v>
      </c>
    </row>
    <row r="355" spans="2:23" x14ac:dyDescent="0.25">
      <c r="B355" s="4">
        <v>20020081</v>
      </c>
      <c r="C355" s="1" t="s">
        <v>296</v>
      </c>
      <c r="D355" s="4" t="s">
        <v>89</v>
      </c>
      <c r="E355" s="3" t="s">
        <v>1641</v>
      </c>
      <c r="F355" s="3" t="s">
        <v>92</v>
      </c>
      <c r="G355" s="4">
        <v>100</v>
      </c>
      <c r="H355" s="4">
        <v>200</v>
      </c>
      <c r="I355" s="4">
        <v>188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116</v>
      </c>
      <c r="S355" s="11"/>
      <c r="T355" s="4" t="s">
        <v>70</v>
      </c>
      <c r="U355" s="1" t="e">
        <f>VLOOKUP(data[[#This Row],[Material]],'[1]Hoja para mrp'!$A:$Z,26,0)</f>
        <v>#N/A</v>
      </c>
      <c r="V355" s="1" t="e">
        <f>VLOOKUP(data[[#This Row],[Material]],'[1]Hoja para mrp'!$A:$Z,25,0)</f>
        <v>#N/A</v>
      </c>
    </row>
    <row r="356" spans="2:23" x14ac:dyDescent="0.2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4700161995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 t="e">
        <f>VLOOKUP(data[[#This Row],[Material]],'[1]Hoja para mrp'!$A:$Z,26,0)</f>
        <v>#N/A</v>
      </c>
      <c r="V356" s="1" t="e">
        <f>VLOOKUP(data[[#This Row],[Material]],'[1]Hoja para mrp'!$A:$Z,25,0)</f>
        <v>#N/A</v>
      </c>
    </row>
    <row r="357" spans="2:23" x14ac:dyDescent="0.2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6</v>
      </c>
      <c r="J357" s="4" t="s">
        <v>8</v>
      </c>
      <c r="K357" s="4" t="s">
        <v>9</v>
      </c>
      <c r="L357" s="11">
        <v>1002663549</v>
      </c>
      <c r="M357" s="3">
        <v>103</v>
      </c>
      <c r="N357"/>
      <c r="O357" s="4"/>
      <c r="P357" s="1"/>
      <c r="Q357" s="22"/>
      <c r="R357" t="s">
        <v>91</v>
      </c>
      <c r="S357" s="11"/>
      <c r="T357" s="4" t="s">
        <v>66</v>
      </c>
      <c r="U357" s="1" t="e">
        <f>VLOOKUP(data[[#This Row],[Material]],'[1]Hoja para mrp'!$A:$Z,26,0)</f>
        <v>#N/A</v>
      </c>
      <c r="V357" s="1" t="e">
        <f>VLOOKUP(data[[#This Row],[Material]],'[1]Hoja para mrp'!$A:$Z,25,0)</f>
        <v>#N/A</v>
      </c>
    </row>
    <row r="358" spans="2:23" x14ac:dyDescent="0.25">
      <c r="B358" s="4">
        <v>20020122</v>
      </c>
      <c r="C358" s="1" t="s">
        <v>299</v>
      </c>
      <c r="D358" s="4" t="s">
        <v>89</v>
      </c>
      <c r="E358" s="3" t="s">
        <v>1641</v>
      </c>
      <c r="F358" s="3" t="s">
        <v>92</v>
      </c>
      <c r="G358" s="4">
        <v>10</v>
      </c>
      <c r="H358" s="4">
        <v>15</v>
      </c>
      <c r="I358" s="4">
        <v>7</v>
      </c>
      <c r="J358" s="4" t="s">
        <v>21</v>
      </c>
      <c r="K358" s="4" t="s">
        <v>9</v>
      </c>
      <c r="L358" s="11"/>
      <c r="M358" s="3"/>
      <c r="N358">
        <v>4502687049</v>
      </c>
      <c r="O358" s="4">
        <v>15</v>
      </c>
      <c r="P358" s="1" t="s">
        <v>22</v>
      </c>
      <c r="Q358" s="22">
        <v>46205</v>
      </c>
      <c r="R358" t="s">
        <v>116</v>
      </c>
      <c r="S358" s="11"/>
      <c r="T358" s="4" t="s">
        <v>70</v>
      </c>
      <c r="U358" s="1" t="e">
        <f>VLOOKUP(data[[#This Row],[Material]],'[1]Hoja para mrp'!$A:$Z,26,0)</f>
        <v>#N/A</v>
      </c>
      <c r="V358" s="1" t="e">
        <f>VLOOKUP(data[[#This Row],[Material]],'[1]Hoja para mrp'!$A:$Z,25,0)</f>
        <v>#N/A</v>
      </c>
    </row>
    <row r="359" spans="2:23" x14ac:dyDescent="0.25">
      <c r="B359" s="4">
        <v>20020123</v>
      </c>
      <c r="C359" s="1" t="s">
        <v>300</v>
      </c>
      <c r="D359" s="4" t="s">
        <v>89</v>
      </c>
      <c r="E359" s="3" t="s">
        <v>1641</v>
      </c>
      <c r="F359" s="3" t="s">
        <v>92</v>
      </c>
      <c r="G359" s="4">
        <v>15</v>
      </c>
      <c r="H359" s="4">
        <v>25</v>
      </c>
      <c r="I359" s="4">
        <v>28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116</v>
      </c>
      <c r="S359" s="11"/>
      <c r="T359" s="4" t="s">
        <v>70</v>
      </c>
      <c r="U359" s="1" t="e">
        <f>VLOOKUP(data[[#This Row],[Material]],'[1]Hoja para mrp'!$A:$Z,26,0)</f>
        <v>#N/A</v>
      </c>
      <c r="V359" s="1" t="e">
        <f>VLOOKUP(data[[#This Row],[Material]],'[1]Hoja para mrp'!$A:$Z,25,0)</f>
        <v>#N/A</v>
      </c>
    </row>
    <row r="360" spans="2:23" x14ac:dyDescent="0.25">
      <c r="B360" s="4">
        <v>20020124</v>
      </c>
      <c r="C360" s="1" t="s">
        <v>301</v>
      </c>
      <c r="D360" s="4" t="s">
        <v>89</v>
      </c>
      <c r="E360" s="3" t="s">
        <v>1641</v>
      </c>
      <c r="F360" s="3" t="s">
        <v>92</v>
      </c>
      <c r="G360" s="4">
        <v>10</v>
      </c>
      <c r="H360" s="4">
        <v>17</v>
      </c>
      <c r="I360" s="4">
        <v>21</v>
      </c>
      <c r="J360" s="4" t="s">
        <v>21</v>
      </c>
      <c r="K360" s="4" t="s">
        <v>7</v>
      </c>
      <c r="L360" s="11"/>
      <c r="M360" s="3"/>
      <c r="N360">
        <v>4502681928</v>
      </c>
      <c r="O360" s="4">
        <v>17</v>
      </c>
      <c r="P360" s="1" t="s">
        <v>22</v>
      </c>
      <c r="Q360" s="22">
        <v>46191</v>
      </c>
      <c r="R360" t="s">
        <v>116</v>
      </c>
      <c r="S360" s="11"/>
      <c r="T360" s="4" t="s">
        <v>70</v>
      </c>
      <c r="U360" s="1" t="e">
        <f>VLOOKUP(data[[#This Row],[Material]],'[1]Hoja para mrp'!$A:$Z,26,0)</f>
        <v>#N/A</v>
      </c>
      <c r="V360" s="1" t="e">
        <f>VLOOKUP(data[[#This Row],[Material]],'[1]Hoja para mrp'!$A:$Z,25,0)</f>
        <v>#N/A</v>
      </c>
    </row>
    <row r="361" spans="2:23" x14ac:dyDescent="0.25">
      <c r="B361" s="4">
        <v>20019922</v>
      </c>
      <c r="C361" s="1" t="s">
        <v>1344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 t="e">
        <f>VLOOKUP(data[[#This Row],[Material]],'[1]Hoja para mrp'!$A:$Z,26,0)</f>
        <v>#N/A</v>
      </c>
      <c r="V361" s="1" t="e">
        <f>VLOOKUP(data[[#This Row],[Material]],'[1]Hoja para mrp'!$A:$Z,25,0)</f>
        <v>#N/A</v>
      </c>
    </row>
    <row r="362" spans="2:23" x14ac:dyDescent="0.25">
      <c r="B362" s="4">
        <v>20020125</v>
      </c>
      <c r="C362" s="1" t="s">
        <v>302</v>
      </c>
      <c r="D362" s="4" t="s">
        <v>89</v>
      </c>
      <c r="E362" s="3" t="s">
        <v>1641</v>
      </c>
      <c r="F362" s="3" t="s">
        <v>92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 t="e">
        <f>VLOOKUP(data[[#This Row],[Material]],'[1]Hoja para mrp'!$A:$Z,26,0)</f>
        <v>#N/A</v>
      </c>
      <c r="V362" s="1" t="e">
        <f>VLOOKUP(data[[#This Row],[Material]],'[1]Hoja para mrp'!$A:$Z,25,0)</f>
        <v>#N/A</v>
      </c>
    </row>
    <row r="363" spans="2:23" x14ac:dyDescent="0.25">
      <c r="B363" s="4">
        <v>20019923</v>
      </c>
      <c r="C363" s="1" t="s">
        <v>1262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 t="e">
        <f>VLOOKUP(data[[#This Row],[Material]],'[1]Hoja para mrp'!$A:$Z,26,0)</f>
        <v>#N/A</v>
      </c>
      <c r="V363" s="1" t="e">
        <f>VLOOKUP(data[[#This Row],[Material]],'[1]Hoja para mrp'!$A:$Z,25,0)</f>
        <v>#N/A</v>
      </c>
    </row>
    <row r="364" spans="2:23" x14ac:dyDescent="0.25">
      <c r="B364" s="4">
        <v>20020126</v>
      </c>
      <c r="C364" s="1" t="s">
        <v>303</v>
      </c>
      <c r="D364" s="4" t="s">
        <v>89</v>
      </c>
      <c r="E364" s="3" t="s">
        <v>1641</v>
      </c>
      <c r="F364" s="3" t="s">
        <v>92</v>
      </c>
      <c r="G364" s="4">
        <v>3</v>
      </c>
      <c r="H364" s="4">
        <v>4</v>
      </c>
      <c r="I364" s="4">
        <v>5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116</v>
      </c>
      <c r="S364" s="11"/>
      <c r="T364" s="4" t="s">
        <v>70</v>
      </c>
      <c r="U364" s="1" t="e">
        <f>VLOOKUP(data[[#This Row],[Material]],'[1]Hoja para mrp'!$A:$Z,26,0)</f>
        <v>#N/A</v>
      </c>
      <c r="V364" s="1" t="e">
        <f>VLOOKUP(data[[#This Row],[Material]],'[1]Hoja para mrp'!$A:$Z,25,0)</f>
        <v>#N/A</v>
      </c>
    </row>
    <row r="365" spans="2:23" x14ac:dyDescent="0.25">
      <c r="B365" s="4">
        <v>20020152</v>
      </c>
      <c r="C365" s="1" t="s">
        <v>18</v>
      </c>
      <c r="D365" s="4" t="s">
        <v>89</v>
      </c>
      <c r="E365" s="3" t="s">
        <v>1641</v>
      </c>
      <c r="F365" s="3" t="s">
        <v>92</v>
      </c>
      <c r="G365" s="4">
        <v>70</v>
      </c>
      <c r="H365" s="4">
        <v>125</v>
      </c>
      <c r="I365" s="4">
        <v>234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116</v>
      </c>
      <c r="S365" s="11"/>
      <c r="T365" s="4" t="s">
        <v>70</v>
      </c>
      <c r="U365" s="1" t="e">
        <f>VLOOKUP(data[[#This Row],[Material]],'[1]Hoja para mrp'!$A:$Z,26,0)</f>
        <v>#N/A</v>
      </c>
      <c r="V365" s="1" t="e">
        <f>VLOOKUP(data[[#This Row],[Material]],'[1]Hoja para mrp'!$A:$Z,25,0)</f>
        <v>#N/A</v>
      </c>
    </row>
    <row r="366" spans="2:23" x14ac:dyDescent="0.25">
      <c r="B366" s="4">
        <v>20020153</v>
      </c>
      <c r="C366" s="1" t="s">
        <v>39</v>
      </c>
      <c r="D366" s="4" t="s">
        <v>89</v>
      </c>
      <c r="E366" s="3" t="s">
        <v>1641</v>
      </c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 t="e">
        <f>VLOOKUP(data[[#This Row],[Material]],'[1]Hoja para mrp'!$A:$Z,26,0)</f>
        <v>#N/A</v>
      </c>
      <c r="V366" s="1" t="e">
        <f>VLOOKUP(data[[#This Row],[Material]],'[1]Hoja para mrp'!$A:$Z,25,0)</f>
        <v>#N/A</v>
      </c>
    </row>
    <row r="367" spans="2:23" x14ac:dyDescent="0.25">
      <c r="B367" s="4">
        <v>20020154</v>
      </c>
      <c r="C367" s="1" t="s">
        <v>19</v>
      </c>
      <c r="D367" s="4" t="s">
        <v>89</v>
      </c>
      <c r="E367" s="3" t="s">
        <v>1641</v>
      </c>
      <c r="F367" s="3" t="s">
        <v>92</v>
      </c>
      <c r="G367" s="4">
        <v>50</v>
      </c>
      <c r="H367" s="4">
        <v>100</v>
      </c>
      <c r="I367" s="4">
        <v>150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116</v>
      </c>
      <c r="S367" s="11"/>
      <c r="T367" s="4" t="s">
        <v>70</v>
      </c>
      <c r="U367" s="1" t="e">
        <f>VLOOKUP(data[[#This Row],[Material]],'[1]Hoja para mrp'!$A:$Z,26,0)</f>
        <v>#N/A</v>
      </c>
      <c r="V367" s="1" t="e">
        <f>VLOOKUP(data[[#This Row],[Material]],'[1]Hoja para mrp'!$A:$Z,25,0)</f>
        <v>#N/A</v>
      </c>
    </row>
    <row r="368" spans="2:23" x14ac:dyDescent="0.2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91</v>
      </c>
      <c r="S368" s="11"/>
      <c r="T368" s="4" t="s">
        <v>73</v>
      </c>
      <c r="U368" s="1" t="e">
        <f>VLOOKUP(data[[#This Row],[Material]],'[1]Hoja para mrp'!$A:$Z,26,0)</f>
        <v>#N/A</v>
      </c>
      <c r="V368" s="1" t="e">
        <f>VLOOKUP(data[[#This Row],[Material]],'[1]Hoja para mrp'!$A:$Z,25,0)</f>
        <v>#N/A</v>
      </c>
    </row>
    <row r="369" spans="2:22" x14ac:dyDescent="0.2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 t="e">
        <f>VLOOKUP(data[[#This Row],[Material]],'[1]Hoja para mrp'!$A:$Z,26,0)</f>
        <v>#N/A</v>
      </c>
      <c r="V369" s="1" t="e">
        <f>VLOOKUP(data[[#This Row],[Material]],'[1]Hoja para mrp'!$A:$Z,25,0)</f>
        <v>#N/A</v>
      </c>
    </row>
    <row r="370" spans="2:22" x14ac:dyDescent="0.25">
      <c r="B370" s="4">
        <v>20020191</v>
      </c>
      <c r="C370" s="1" t="s">
        <v>40</v>
      </c>
      <c r="D370" s="4" t="s">
        <v>89</v>
      </c>
      <c r="E370" s="3" t="s">
        <v>1641</v>
      </c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 t="e">
        <f>VLOOKUP(data[[#This Row],[Material]],'[1]Hoja para mrp'!$A:$Z,26,0)</f>
        <v>#N/A</v>
      </c>
      <c r="V370" s="1" t="e">
        <f>VLOOKUP(data[[#This Row],[Material]],'[1]Hoja para mrp'!$A:$Z,25,0)</f>
        <v>#N/A</v>
      </c>
    </row>
    <row r="371" spans="2:22" x14ac:dyDescent="0.25">
      <c r="B371" s="4">
        <v>20020201</v>
      </c>
      <c r="C371" s="1" t="s">
        <v>41</v>
      </c>
      <c r="D371" s="4" t="s">
        <v>89</v>
      </c>
      <c r="E371" s="3" t="s">
        <v>1641</v>
      </c>
      <c r="F371" s="3" t="s">
        <v>92</v>
      </c>
      <c r="G371" s="4">
        <v>501</v>
      </c>
      <c r="H371" s="4">
        <v>600</v>
      </c>
      <c r="I371" s="4">
        <v>481</v>
      </c>
      <c r="J371" s="4" t="s">
        <v>21</v>
      </c>
      <c r="K371" s="4" t="s">
        <v>9</v>
      </c>
      <c r="L371" s="11" t="s">
        <v>1664</v>
      </c>
      <c r="M371" s="3">
        <v>600</v>
      </c>
      <c r="N371"/>
      <c r="O371" s="4"/>
      <c r="P371" s="1"/>
      <c r="Q371" s="22"/>
      <c r="R371" t="s">
        <v>116</v>
      </c>
      <c r="S371" s="11"/>
      <c r="T371" s="4" t="s">
        <v>70</v>
      </c>
      <c r="U371" s="1" t="e">
        <f>VLOOKUP(data[[#This Row],[Material]],'[1]Hoja para mrp'!$A:$Z,26,0)</f>
        <v>#N/A</v>
      </c>
      <c r="V371" s="1" t="e">
        <f>VLOOKUP(data[[#This Row],[Material]],'[1]Hoja para mrp'!$A:$Z,25,0)</f>
        <v>#N/A</v>
      </c>
    </row>
    <row r="372" spans="2:22" x14ac:dyDescent="0.25">
      <c r="B372" s="4">
        <v>20020202</v>
      </c>
      <c r="C372" s="1" t="s">
        <v>42</v>
      </c>
      <c r="D372" s="4" t="s">
        <v>89</v>
      </c>
      <c r="E372" s="3" t="s">
        <v>1641</v>
      </c>
      <c r="F372" s="3" t="s">
        <v>92</v>
      </c>
      <c r="G372" s="4">
        <v>550</v>
      </c>
      <c r="H372" s="4">
        <v>900</v>
      </c>
      <c r="I372" s="4">
        <v>592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 t="e">
        <f>VLOOKUP(data[[#This Row],[Material]],'[1]Hoja para mrp'!$A:$Z,26,0)</f>
        <v>#N/A</v>
      </c>
      <c r="V372" s="1" t="e">
        <f>VLOOKUP(data[[#This Row],[Material]],'[1]Hoja para mrp'!$A:$Z,25,0)</f>
        <v>#N/A</v>
      </c>
    </row>
    <row r="373" spans="2:22" x14ac:dyDescent="0.25">
      <c r="B373" s="4">
        <v>20020203</v>
      </c>
      <c r="C373" s="1" t="s">
        <v>43</v>
      </c>
      <c r="D373" s="4" t="s">
        <v>89</v>
      </c>
      <c r="E373" s="3" t="s">
        <v>1641</v>
      </c>
      <c r="F373" s="3" t="s">
        <v>92</v>
      </c>
      <c r="G373" s="4">
        <v>145</v>
      </c>
      <c r="H373" s="4">
        <v>288</v>
      </c>
      <c r="I373" s="4">
        <v>287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116</v>
      </c>
      <c r="S373" s="11"/>
      <c r="T373" s="4" t="s">
        <v>70</v>
      </c>
      <c r="U373" s="1" t="e">
        <f>VLOOKUP(data[[#This Row],[Material]],'[1]Hoja para mrp'!$A:$Z,26,0)</f>
        <v>#N/A</v>
      </c>
      <c r="V373" s="1" t="e">
        <f>VLOOKUP(data[[#This Row],[Material]],'[1]Hoja para mrp'!$A:$Z,25,0)</f>
        <v>#N/A</v>
      </c>
    </row>
    <row r="374" spans="2:22" x14ac:dyDescent="0.25">
      <c r="B374" s="4">
        <v>20020204</v>
      </c>
      <c r="C374" s="1" t="s">
        <v>306</v>
      </c>
      <c r="D374" s="4" t="s">
        <v>89</v>
      </c>
      <c r="E374" s="3" t="s">
        <v>1641</v>
      </c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 t="e">
        <f>VLOOKUP(data[[#This Row],[Material]],'[1]Hoja para mrp'!$A:$Z,26,0)</f>
        <v>#N/A</v>
      </c>
      <c r="V374" s="1" t="e">
        <f>VLOOKUP(data[[#This Row],[Material]],'[1]Hoja para mrp'!$A:$Z,25,0)</f>
        <v>#N/A</v>
      </c>
    </row>
    <row r="375" spans="2:22" x14ac:dyDescent="0.2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 t="e">
        <f>VLOOKUP(data[[#This Row],[Material]],'[1]Hoja para mrp'!$A:$Z,26,0)</f>
        <v>#N/A</v>
      </c>
      <c r="V375" s="1" t="e">
        <f>VLOOKUP(data[[#This Row],[Material]],'[1]Hoja para mrp'!$A:$Z,25,0)</f>
        <v>#N/A</v>
      </c>
    </row>
    <row r="376" spans="2:22" x14ac:dyDescent="0.25">
      <c r="B376" s="4">
        <v>20020326</v>
      </c>
      <c r="C376" s="1" t="s">
        <v>308</v>
      </c>
      <c r="D376" s="4" t="s">
        <v>89</v>
      </c>
      <c r="E376" s="3" t="s">
        <v>1641</v>
      </c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 t="e">
        <f>VLOOKUP(data[[#This Row],[Material]],'[1]Hoja para mrp'!$A:$Z,26,0)</f>
        <v>#N/A</v>
      </c>
      <c r="V376" s="1" t="e">
        <f>VLOOKUP(data[[#This Row],[Material]],'[1]Hoja para mrp'!$A:$Z,25,0)</f>
        <v>#N/A</v>
      </c>
    </row>
    <row r="377" spans="2:22" x14ac:dyDescent="0.2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28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 t="e">
        <f>VLOOKUP(data[[#This Row],[Material]],'[1]Hoja para mrp'!$A:$Z,26,0)</f>
        <v>#N/A</v>
      </c>
      <c r="V377" s="1" t="e">
        <f>VLOOKUP(data[[#This Row],[Material]],'[1]Hoja para mrp'!$A:$Z,25,0)</f>
        <v>#N/A</v>
      </c>
    </row>
    <row r="378" spans="2:22" x14ac:dyDescent="0.25">
      <c r="B378" s="4">
        <v>20020345</v>
      </c>
      <c r="C378" s="1" t="s">
        <v>310</v>
      </c>
      <c r="D378" s="4" t="s">
        <v>89</v>
      </c>
      <c r="E378" s="3" t="s">
        <v>1641</v>
      </c>
      <c r="F378" s="3" t="s">
        <v>92</v>
      </c>
      <c r="G378" s="4">
        <v>20</v>
      </c>
      <c r="H378" s="4">
        <v>20</v>
      </c>
      <c r="I378" s="4">
        <v>71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 t="e">
        <f>VLOOKUP(data[[#This Row],[Material]],'[1]Hoja para mrp'!$A:$Z,26,0)</f>
        <v>#N/A</v>
      </c>
      <c r="V378" s="1" t="e">
        <f>VLOOKUP(data[[#This Row],[Material]],'[1]Hoja para mrp'!$A:$Z,25,0)</f>
        <v>#N/A</v>
      </c>
    </row>
    <row r="379" spans="2:22" x14ac:dyDescent="0.2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8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 t="e">
        <f>VLOOKUP(data[[#This Row],[Material]],'[1]Hoja para mrp'!$A:$Z,26,0)</f>
        <v>#N/A</v>
      </c>
      <c r="V379" s="1" t="e">
        <f>VLOOKUP(data[[#This Row],[Material]],'[1]Hoja para mrp'!$A:$Z,25,0)</f>
        <v>#N/A</v>
      </c>
    </row>
    <row r="380" spans="2:22" x14ac:dyDescent="0.25">
      <c r="B380" s="4">
        <v>20020351</v>
      </c>
      <c r="C380" s="1" t="s">
        <v>1533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7</v>
      </c>
      <c r="J380" s="4" t="s">
        <v>8</v>
      </c>
      <c r="K380" s="4" t="s">
        <v>9</v>
      </c>
      <c r="L380" s="11"/>
      <c r="M380" s="3"/>
      <c r="N380">
        <v>4502688796</v>
      </c>
      <c r="O380" s="4">
        <v>10</v>
      </c>
      <c r="P380" s="1" t="s">
        <v>22</v>
      </c>
      <c r="Q380" s="22">
        <v>46207</v>
      </c>
      <c r="R380" t="s">
        <v>226</v>
      </c>
      <c r="S380" s="11"/>
      <c r="T380" s="4" t="s">
        <v>71</v>
      </c>
      <c r="U380" s="1" t="e">
        <f>VLOOKUP(data[[#This Row],[Material]],'[1]Hoja para mrp'!$A:$Z,26,0)</f>
        <v>#N/A</v>
      </c>
      <c r="V380" s="1" t="e">
        <f>VLOOKUP(data[[#This Row],[Material]],'[1]Hoja para mrp'!$A:$Z,25,0)</f>
        <v>#N/A</v>
      </c>
    </row>
    <row r="381" spans="2:22" x14ac:dyDescent="0.25">
      <c r="B381" s="4">
        <v>20020355</v>
      </c>
      <c r="C381" s="1" t="s">
        <v>311</v>
      </c>
      <c r="D381" s="4" t="s">
        <v>89</v>
      </c>
      <c r="E381" s="3" t="s">
        <v>1641</v>
      </c>
      <c r="F381" s="3" t="s">
        <v>92</v>
      </c>
      <c r="G381" s="4">
        <v>8</v>
      </c>
      <c r="H381" s="4">
        <v>15</v>
      </c>
      <c r="I381" s="4">
        <v>0</v>
      </c>
      <c r="J381" s="4" t="s">
        <v>8</v>
      </c>
      <c r="K381" s="4" t="s">
        <v>13</v>
      </c>
      <c r="L381" s="11"/>
      <c r="M381" s="3"/>
      <c r="N381">
        <v>4502688830</v>
      </c>
      <c r="O381" s="4">
        <v>21</v>
      </c>
      <c r="P381" s="1" t="s">
        <v>1657</v>
      </c>
      <c r="Q381" s="22">
        <v>46205</v>
      </c>
      <c r="R381" t="s">
        <v>116</v>
      </c>
      <c r="S381" s="11"/>
      <c r="T381" s="4" t="s">
        <v>71</v>
      </c>
      <c r="U381" s="1" t="e">
        <f>VLOOKUP(data[[#This Row],[Material]],'[1]Hoja para mrp'!$A:$Z,26,0)</f>
        <v>#N/A</v>
      </c>
      <c r="V381" s="1" t="e">
        <f>VLOOKUP(data[[#This Row],[Material]],'[1]Hoja para mrp'!$A:$Z,25,0)</f>
        <v>#N/A</v>
      </c>
    </row>
    <row r="382" spans="2:22" x14ac:dyDescent="0.25">
      <c r="B382" s="4">
        <v>20020417</v>
      </c>
      <c r="C382" s="1" t="s">
        <v>312</v>
      </c>
      <c r="D382" s="4" t="s">
        <v>89</v>
      </c>
      <c r="E382" s="3" t="s">
        <v>1641</v>
      </c>
      <c r="F382" s="3" t="s">
        <v>92</v>
      </c>
      <c r="G382" s="4">
        <v>60</v>
      </c>
      <c r="H382" s="4">
        <v>100</v>
      </c>
      <c r="I382" s="4">
        <v>101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 t="e">
        <f>VLOOKUP(data[[#This Row],[Material]],'[1]Hoja para mrp'!$A:$Z,26,0)</f>
        <v>#N/A</v>
      </c>
      <c r="V382" s="1" t="e">
        <f>VLOOKUP(data[[#This Row],[Material]],'[1]Hoja para mrp'!$A:$Z,25,0)</f>
        <v>#N/A</v>
      </c>
    </row>
    <row r="383" spans="2:22" x14ac:dyDescent="0.25">
      <c r="B383" s="4">
        <v>20020503</v>
      </c>
      <c r="C383" s="1" t="s">
        <v>1388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 t="e">
        <f>VLOOKUP(data[[#This Row],[Material]],'[1]Hoja para mrp'!$A:$Z,26,0)</f>
        <v>#N/A</v>
      </c>
      <c r="V383" s="1" t="e">
        <f>VLOOKUP(data[[#This Row],[Material]],'[1]Hoja para mrp'!$A:$Z,25,0)</f>
        <v>#N/A</v>
      </c>
    </row>
    <row r="384" spans="2:22" x14ac:dyDescent="0.25">
      <c r="B384" s="4">
        <v>20020532</v>
      </c>
      <c r="C384" s="1" t="s">
        <v>44</v>
      </c>
      <c r="D384" s="4" t="s">
        <v>89</v>
      </c>
      <c r="E384" s="3" t="s">
        <v>1641</v>
      </c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 t="e">
        <f>VLOOKUP(data[[#This Row],[Material]],'[1]Hoja para mrp'!$A:$Z,26,0)</f>
        <v>#N/A</v>
      </c>
      <c r="V384" s="1" t="e">
        <f>VLOOKUP(data[[#This Row],[Material]],'[1]Hoja para mrp'!$A:$Z,25,0)</f>
        <v>#N/A</v>
      </c>
    </row>
    <row r="385" spans="2:23" x14ac:dyDescent="0.25">
      <c r="B385" s="4">
        <v>20020567</v>
      </c>
      <c r="C385" s="1" t="s">
        <v>313</v>
      </c>
      <c r="D385" s="4" t="s">
        <v>89</v>
      </c>
      <c r="E385" s="3" t="s">
        <v>1641</v>
      </c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 t="e">
        <f>VLOOKUP(data[[#This Row],[Material]],'[1]Hoja para mrp'!$A:$Z,26,0)</f>
        <v>#N/A</v>
      </c>
      <c r="V385" s="1" t="e">
        <f>VLOOKUP(data[[#This Row],[Material]],'[1]Hoja para mrp'!$A:$Z,25,0)</f>
        <v>#N/A</v>
      </c>
    </row>
    <row r="386" spans="2:23" x14ac:dyDescent="0.25">
      <c r="B386" s="4">
        <v>20020170</v>
      </c>
      <c r="C386" s="1" t="s">
        <v>1226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74</v>
      </c>
      <c r="J386" s="4" t="s">
        <v>8</v>
      </c>
      <c r="K386" s="4" t="s">
        <v>7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 t="e">
        <f>VLOOKUP(data[[#This Row],[Material]],'[1]Hoja para mrp'!$A:$Z,26,0)</f>
        <v>#N/A</v>
      </c>
      <c r="V386" s="1" t="e">
        <f>VLOOKUP(data[[#This Row],[Material]],'[1]Hoja para mrp'!$A:$Z,25,0)</f>
        <v>#N/A</v>
      </c>
    </row>
    <row r="387" spans="2:23" x14ac:dyDescent="0.25">
      <c r="B387" s="4">
        <v>20020663</v>
      </c>
      <c r="C387" s="1" t="s">
        <v>314</v>
      </c>
      <c r="D387" s="4" t="s">
        <v>89</v>
      </c>
      <c r="E387" s="3" t="s">
        <v>1641</v>
      </c>
      <c r="F387" s="3" t="s">
        <v>92</v>
      </c>
      <c r="G387" s="4">
        <v>15</v>
      </c>
      <c r="H387" s="4">
        <v>10</v>
      </c>
      <c r="I387" s="4">
        <v>11</v>
      </c>
      <c r="J387" s="4" t="s">
        <v>8</v>
      </c>
      <c r="K387" s="4" t="s">
        <v>9</v>
      </c>
      <c r="L387" s="11"/>
      <c r="M387" s="3"/>
      <c r="N387">
        <v>4502688518</v>
      </c>
      <c r="O387" s="4">
        <v>14</v>
      </c>
      <c r="P387" s="1" t="s">
        <v>1658</v>
      </c>
      <c r="Q387" s="22">
        <v>46201</v>
      </c>
      <c r="R387" t="s">
        <v>116</v>
      </c>
      <c r="S387" s="11"/>
      <c r="T387" s="4" t="s">
        <v>66</v>
      </c>
      <c r="U387" s="1" t="e">
        <f>VLOOKUP(data[[#This Row],[Material]],'[1]Hoja para mrp'!$A:$Z,26,0)</f>
        <v>#N/A</v>
      </c>
      <c r="V387" s="1" t="e">
        <f>VLOOKUP(data[[#This Row],[Material]],'[1]Hoja para mrp'!$A:$Z,25,0)</f>
        <v>#N/A</v>
      </c>
    </row>
    <row r="388" spans="2:23" x14ac:dyDescent="0.25">
      <c r="B388" s="4">
        <v>20020664</v>
      </c>
      <c r="C388" s="1" t="s">
        <v>315</v>
      </c>
      <c r="D388" s="4" t="s">
        <v>89</v>
      </c>
      <c r="E388" s="3" t="s">
        <v>1641</v>
      </c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 t="e">
        <f>VLOOKUP(data[[#This Row],[Material]],'[1]Hoja para mrp'!$A:$Z,26,0)</f>
        <v>#N/A</v>
      </c>
      <c r="V388" s="1" t="e">
        <f>VLOOKUP(data[[#This Row],[Material]],'[1]Hoja para mrp'!$A:$Z,25,0)</f>
        <v>#N/A</v>
      </c>
    </row>
    <row r="389" spans="2:23" x14ac:dyDescent="0.25">
      <c r="B389" s="4">
        <v>20020665</v>
      </c>
      <c r="C389" s="1" t="s">
        <v>316</v>
      </c>
      <c r="D389" s="4" t="s">
        <v>89</v>
      </c>
      <c r="E389" s="3" t="s">
        <v>1641</v>
      </c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 t="e">
        <f>VLOOKUP(data[[#This Row],[Material]],'[1]Hoja para mrp'!$A:$Z,26,0)</f>
        <v>#N/A</v>
      </c>
      <c r="V389" s="1" t="e">
        <f>VLOOKUP(data[[#This Row],[Material]],'[1]Hoja para mrp'!$A:$Z,25,0)</f>
        <v>#N/A</v>
      </c>
    </row>
    <row r="390" spans="2:23" x14ac:dyDescent="0.25">
      <c r="B390" s="4">
        <v>20020666</v>
      </c>
      <c r="C390" s="1" t="s">
        <v>45</v>
      </c>
      <c r="D390" s="4" t="s">
        <v>89</v>
      </c>
      <c r="E390" s="3" t="s">
        <v>1641</v>
      </c>
      <c r="F390" s="3" t="s">
        <v>92</v>
      </c>
      <c r="G390" s="4">
        <v>20</v>
      </c>
      <c r="H390" s="4">
        <v>36</v>
      </c>
      <c r="I390" s="4">
        <v>38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 t="e">
        <f>VLOOKUP(data[[#This Row],[Material]],'[1]Hoja para mrp'!$A:$Z,26,0)</f>
        <v>#N/A</v>
      </c>
      <c r="V390" s="1" t="e">
        <f>VLOOKUP(data[[#This Row],[Material]],'[1]Hoja para mrp'!$A:$Z,25,0)</f>
        <v>#N/A</v>
      </c>
    </row>
    <row r="391" spans="2:23" x14ac:dyDescent="0.25">
      <c r="B391" s="4">
        <v>20020667</v>
      </c>
      <c r="C391" s="1" t="s">
        <v>317</v>
      </c>
      <c r="D391" s="4" t="s">
        <v>89</v>
      </c>
      <c r="E391" s="3" t="s">
        <v>1641</v>
      </c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 t="e">
        <f>VLOOKUP(data[[#This Row],[Material]],'[1]Hoja para mrp'!$A:$Z,26,0)</f>
        <v>#N/A</v>
      </c>
      <c r="V391" s="1" t="e">
        <f>VLOOKUP(data[[#This Row],[Material]],'[1]Hoja para mrp'!$A:$Z,25,0)</f>
        <v>#N/A</v>
      </c>
    </row>
    <row r="392" spans="2:23" x14ac:dyDescent="0.2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5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 t="e">
        <f>VLOOKUP(data[[#This Row],[Material]],'[1]Hoja para mrp'!$A:$Z,26,0)</f>
        <v>#N/A</v>
      </c>
      <c r="V392" s="1" t="e">
        <f>VLOOKUP(data[[#This Row],[Material]],'[1]Hoja para mrp'!$A:$Z,25,0)</f>
        <v>#N/A</v>
      </c>
    </row>
    <row r="393" spans="2:23" x14ac:dyDescent="0.2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 t="e">
        <f>VLOOKUP(data[[#This Row],[Material]],'[1]Hoja para mrp'!$A:$Z,26,0)</f>
        <v>#N/A</v>
      </c>
      <c r="V393" s="1" t="e">
        <f>VLOOKUP(data[[#This Row],[Material]],'[1]Hoja para mrp'!$A:$Z,25,0)</f>
        <v>#N/A</v>
      </c>
    </row>
    <row r="394" spans="2:23" x14ac:dyDescent="0.2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67</v>
      </c>
      <c r="U394" s="1" t="e">
        <f>VLOOKUP(data[[#This Row],[Material]],'[1]Hoja para mrp'!$A:$Z,26,0)</f>
        <v>#N/A</v>
      </c>
      <c r="V394" s="1" t="e">
        <f>VLOOKUP(data[[#This Row],[Material]],'[1]Hoja para mrp'!$A:$Z,25,0)</f>
        <v>#N/A</v>
      </c>
    </row>
    <row r="395" spans="2:23" x14ac:dyDescent="0.2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1625</v>
      </c>
      <c r="Q395" s="22">
        <v>46160</v>
      </c>
      <c r="R395" t="s">
        <v>91</v>
      </c>
      <c r="S395" s="11"/>
      <c r="T395" s="4" t="s">
        <v>66</v>
      </c>
      <c r="U395" s="1" t="e">
        <f>VLOOKUP(data[[#This Row],[Material]],'[1]Hoja para mrp'!$A:$Z,26,0)</f>
        <v>#N/A</v>
      </c>
      <c r="V395" s="1" t="e">
        <f>VLOOKUP(data[[#This Row],[Material]],'[1]Hoja para mrp'!$A:$Z,25,0)</f>
        <v>#N/A</v>
      </c>
      <c r="W395" s="1" t="s">
        <v>1678</v>
      </c>
    </row>
    <row r="396" spans="2:23" x14ac:dyDescent="0.2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 t="e">
        <f>VLOOKUP(data[[#This Row],[Material]],'[1]Hoja para mrp'!$A:$Z,26,0)</f>
        <v>#N/A</v>
      </c>
      <c r="V396" s="1" t="e">
        <f>VLOOKUP(data[[#This Row],[Material]],'[1]Hoja para mrp'!$A:$Z,25,0)</f>
        <v>#N/A</v>
      </c>
    </row>
    <row r="397" spans="2:23" x14ac:dyDescent="0.2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 t="e">
        <f>VLOOKUP(data[[#This Row],[Material]],'[1]Hoja para mrp'!$A:$Z,26,0)</f>
        <v>#N/A</v>
      </c>
      <c r="V397" s="1" t="e">
        <f>VLOOKUP(data[[#This Row],[Material]],'[1]Hoja para mrp'!$A:$Z,25,0)</f>
        <v>#N/A</v>
      </c>
    </row>
    <row r="398" spans="2:23" x14ac:dyDescent="0.2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113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 t="e">
        <f>VLOOKUP(data[[#This Row],[Material]],'[1]Hoja para mrp'!$A:$Z,26,0)</f>
        <v>#N/A</v>
      </c>
      <c r="V398" s="1" t="e">
        <f>VLOOKUP(data[[#This Row],[Material]],'[1]Hoja para mrp'!$A:$Z,25,0)</f>
        <v>#N/A</v>
      </c>
    </row>
    <row r="399" spans="2:23" x14ac:dyDescent="0.25">
      <c r="B399" s="4">
        <v>20020513</v>
      </c>
      <c r="C399" s="1" t="s">
        <v>1531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1425</v>
      </c>
      <c r="Q399" s="22">
        <v>46052</v>
      </c>
      <c r="R399"/>
      <c r="S399" s="11"/>
      <c r="T399" s="4" t="s">
        <v>67</v>
      </c>
      <c r="U399" s="1" t="e">
        <f>VLOOKUP(data[[#This Row],[Material]],'[1]Hoja para mrp'!$A:$Z,26,0)</f>
        <v>#N/A</v>
      </c>
      <c r="V399" s="1" t="e">
        <f>VLOOKUP(data[[#This Row],[Material]],'[1]Hoja para mrp'!$A:$Z,25,0)</f>
        <v>#N/A</v>
      </c>
      <c r="W399" s="1" t="s">
        <v>1679</v>
      </c>
    </row>
    <row r="400" spans="2:23" x14ac:dyDescent="0.2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9</v>
      </c>
      <c r="J400" s="4" t="s">
        <v>23</v>
      </c>
      <c r="K400" s="4" t="s">
        <v>9</v>
      </c>
      <c r="L400" s="11">
        <v>1002631450</v>
      </c>
      <c r="M400" s="3">
        <v>16</v>
      </c>
      <c r="N400"/>
      <c r="O400" s="4"/>
      <c r="P400" s="1"/>
      <c r="Q400" s="22"/>
      <c r="R400"/>
      <c r="S400" s="11"/>
      <c r="T400" s="4" t="s">
        <v>68</v>
      </c>
      <c r="U400" s="1" t="e">
        <f>VLOOKUP(data[[#This Row],[Material]],'[1]Hoja para mrp'!$A:$Z,26,0)</f>
        <v>#N/A</v>
      </c>
      <c r="V400" s="1" t="e">
        <f>VLOOKUP(data[[#This Row],[Material]],'[1]Hoja para mrp'!$A:$Z,25,0)</f>
        <v>#N/A</v>
      </c>
    </row>
    <row r="401" spans="2:22" x14ac:dyDescent="0.25">
      <c r="B401" s="4">
        <v>20020867</v>
      </c>
      <c r="C401" s="1" t="s">
        <v>1223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180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 t="e">
        <f>VLOOKUP(data[[#This Row],[Material]],'[1]Hoja para mrp'!$A:$Z,26,0)</f>
        <v>#N/A</v>
      </c>
      <c r="V401" s="1" t="e">
        <f>VLOOKUP(data[[#This Row],[Material]],'[1]Hoja para mrp'!$A:$Z,25,0)</f>
        <v>#N/A</v>
      </c>
    </row>
    <row r="402" spans="2:22" x14ac:dyDescent="0.2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8</v>
      </c>
      <c r="J402" s="4" t="s">
        <v>8</v>
      </c>
      <c r="K402" s="4" t="s">
        <v>9</v>
      </c>
      <c r="L402" s="11">
        <v>1002663550</v>
      </c>
      <c r="M402" s="3">
        <v>16</v>
      </c>
      <c r="N402"/>
      <c r="O402" s="4"/>
      <c r="P402" s="1"/>
      <c r="Q402" s="22"/>
      <c r="R402" t="s">
        <v>91</v>
      </c>
      <c r="S402" s="11"/>
      <c r="T402" s="4" t="s">
        <v>73</v>
      </c>
      <c r="U402" s="1" t="e">
        <f>VLOOKUP(data[[#This Row],[Material]],'[1]Hoja para mrp'!$A:$Z,26,0)</f>
        <v>#N/A</v>
      </c>
      <c r="V402" s="1" t="e">
        <f>VLOOKUP(data[[#This Row],[Material]],'[1]Hoja para mrp'!$A:$Z,25,0)</f>
        <v>#N/A</v>
      </c>
    </row>
    <row r="403" spans="2:22" x14ac:dyDescent="0.25">
      <c r="B403" s="4">
        <v>20020618</v>
      </c>
      <c r="C403" s="1" t="s">
        <v>1389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 t="e">
        <f>VLOOKUP(data[[#This Row],[Material]],'[1]Hoja para mrp'!$A:$Z,26,0)</f>
        <v>#N/A</v>
      </c>
      <c r="V403" s="1" t="e">
        <f>VLOOKUP(data[[#This Row],[Material]],'[1]Hoja para mrp'!$A:$Z,25,0)</f>
        <v>#N/A</v>
      </c>
    </row>
    <row r="404" spans="2:22" x14ac:dyDescent="0.2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 t="e">
        <f>VLOOKUP(data[[#This Row],[Material]],'[1]Hoja para mrp'!$A:$Z,26,0)</f>
        <v>#N/A</v>
      </c>
      <c r="V404" s="1" t="e">
        <f>VLOOKUP(data[[#This Row],[Material]],'[1]Hoja para mrp'!$A:$Z,25,0)</f>
        <v>#N/A</v>
      </c>
    </row>
    <row r="405" spans="2:22" x14ac:dyDescent="0.2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 t="e">
        <f>VLOOKUP(data[[#This Row],[Material]],'[1]Hoja para mrp'!$A:$Z,26,0)</f>
        <v>#N/A</v>
      </c>
      <c r="V405" s="1" t="e">
        <f>VLOOKUP(data[[#This Row],[Material]],'[1]Hoja para mrp'!$A:$Z,25,0)</f>
        <v>#N/A</v>
      </c>
    </row>
    <row r="406" spans="2:22" x14ac:dyDescent="0.2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 t="e">
        <f>VLOOKUP(data[[#This Row],[Material]],'[1]Hoja para mrp'!$A:$Z,26,0)</f>
        <v>#N/A</v>
      </c>
      <c r="V406" s="1" t="e">
        <f>VLOOKUP(data[[#This Row],[Material]],'[1]Hoja para mrp'!$A:$Z,25,0)</f>
        <v>#N/A</v>
      </c>
    </row>
    <row r="407" spans="2:22" x14ac:dyDescent="0.2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 t="e">
        <f>VLOOKUP(data[[#This Row],[Material]],'[1]Hoja para mrp'!$A:$Z,26,0)</f>
        <v>#N/A</v>
      </c>
      <c r="V407" s="1" t="e">
        <f>VLOOKUP(data[[#This Row],[Material]],'[1]Hoja para mrp'!$A:$Z,25,0)</f>
        <v>#N/A</v>
      </c>
    </row>
    <row r="408" spans="2:22" x14ac:dyDescent="0.25">
      <c r="B408" s="4">
        <v>20021134</v>
      </c>
      <c r="C408" s="1" t="s">
        <v>1390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 t="e">
        <f>VLOOKUP(data[[#This Row],[Material]],'[1]Hoja para mrp'!$A:$Z,26,0)</f>
        <v>#N/A</v>
      </c>
      <c r="V408" s="1" t="e">
        <f>VLOOKUP(data[[#This Row],[Material]],'[1]Hoja para mrp'!$A:$Z,25,0)</f>
        <v>#N/A</v>
      </c>
    </row>
    <row r="409" spans="2:22" x14ac:dyDescent="0.2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 t="e">
        <f>VLOOKUP(data[[#This Row],[Material]],'[1]Hoja para mrp'!$A:$Z,26,0)</f>
        <v>#N/A</v>
      </c>
      <c r="V409" s="1" t="e">
        <f>VLOOKUP(data[[#This Row],[Material]],'[1]Hoja para mrp'!$A:$Z,25,0)</f>
        <v>#N/A</v>
      </c>
    </row>
    <row r="410" spans="2:22" x14ac:dyDescent="0.25">
      <c r="B410" s="4">
        <v>20020686</v>
      </c>
      <c r="C410" s="1" t="s">
        <v>1306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 t="e">
        <f>VLOOKUP(data[[#This Row],[Material]],'[1]Hoja para mrp'!$A:$Z,26,0)</f>
        <v>#N/A</v>
      </c>
      <c r="V410" s="1" t="e">
        <f>VLOOKUP(data[[#This Row],[Material]],'[1]Hoja para mrp'!$A:$Z,25,0)</f>
        <v>#N/A</v>
      </c>
    </row>
    <row r="411" spans="2:22" x14ac:dyDescent="0.2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12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66</v>
      </c>
      <c r="U411" s="1" t="e">
        <f>VLOOKUP(data[[#This Row],[Material]],'[1]Hoja para mrp'!$A:$Z,26,0)</f>
        <v>#N/A</v>
      </c>
      <c r="V411" s="1" t="e">
        <f>VLOOKUP(data[[#This Row],[Material]],'[1]Hoja para mrp'!$A:$Z,25,0)</f>
        <v>#N/A</v>
      </c>
    </row>
    <row r="412" spans="2:22" x14ac:dyDescent="0.2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 t="e">
        <f>VLOOKUP(data[[#This Row],[Material]],'[1]Hoja para mrp'!$A:$Z,26,0)</f>
        <v>#N/A</v>
      </c>
      <c r="V412" s="1" t="e">
        <f>VLOOKUP(data[[#This Row],[Material]],'[1]Hoja para mrp'!$A:$Z,25,0)</f>
        <v>#N/A</v>
      </c>
    </row>
    <row r="413" spans="2:22" x14ac:dyDescent="0.2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 t="e">
        <f>VLOOKUP(data[[#This Row],[Material]],'[1]Hoja para mrp'!$A:$Z,26,0)</f>
        <v>#N/A</v>
      </c>
      <c r="V413" s="1" t="e">
        <f>VLOOKUP(data[[#This Row],[Material]],'[1]Hoja para mrp'!$A:$Z,25,0)</f>
        <v>#N/A</v>
      </c>
    </row>
    <row r="414" spans="2:22" x14ac:dyDescent="0.25">
      <c r="B414" s="4">
        <v>20020781</v>
      </c>
      <c r="C414" s="1" t="s">
        <v>1287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 t="e">
        <f>VLOOKUP(data[[#This Row],[Material]],'[1]Hoja para mrp'!$A:$Z,26,0)</f>
        <v>#N/A</v>
      </c>
      <c r="V414" s="1" t="e">
        <f>VLOOKUP(data[[#This Row],[Material]],'[1]Hoja para mrp'!$A:$Z,25,0)</f>
        <v>#N/A</v>
      </c>
    </row>
    <row r="415" spans="2:22" x14ac:dyDescent="0.2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 t="e">
        <f>VLOOKUP(data[[#This Row],[Material]],'[1]Hoja para mrp'!$A:$Z,26,0)</f>
        <v>#N/A</v>
      </c>
      <c r="V415" s="1" t="e">
        <f>VLOOKUP(data[[#This Row],[Material]],'[1]Hoja para mrp'!$A:$Z,25,0)</f>
        <v>#N/A</v>
      </c>
    </row>
    <row r="416" spans="2:22" x14ac:dyDescent="0.2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 t="e">
        <f>VLOOKUP(data[[#This Row],[Material]],'[1]Hoja para mrp'!$A:$Z,26,0)</f>
        <v>#N/A</v>
      </c>
      <c r="V416" s="1" t="e">
        <f>VLOOKUP(data[[#This Row],[Material]],'[1]Hoja para mrp'!$A:$Z,25,0)</f>
        <v>#N/A</v>
      </c>
    </row>
    <row r="417" spans="2:22" x14ac:dyDescent="0.2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 t="e">
        <f>VLOOKUP(data[[#This Row],[Material]],'[1]Hoja para mrp'!$A:$Z,26,0)</f>
        <v>#N/A</v>
      </c>
      <c r="V417" s="1" t="e">
        <f>VLOOKUP(data[[#This Row],[Material]],'[1]Hoja para mrp'!$A:$Z,25,0)</f>
        <v>#N/A</v>
      </c>
    </row>
    <row r="418" spans="2:22" x14ac:dyDescent="0.2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 t="e">
        <f>VLOOKUP(data[[#This Row],[Material]],'[1]Hoja para mrp'!$A:$Z,26,0)</f>
        <v>#N/A</v>
      </c>
      <c r="V418" s="1" t="e">
        <f>VLOOKUP(data[[#This Row],[Material]],'[1]Hoja para mrp'!$A:$Z,25,0)</f>
        <v>#N/A</v>
      </c>
    </row>
    <row r="419" spans="2:22" x14ac:dyDescent="0.2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 t="e">
        <f>VLOOKUP(data[[#This Row],[Material]],'[1]Hoja para mrp'!$A:$Z,26,0)</f>
        <v>#N/A</v>
      </c>
      <c r="V419" s="1" t="e">
        <f>VLOOKUP(data[[#This Row],[Material]],'[1]Hoja para mrp'!$A:$Z,25,0)</f>
        <v>#N/A</v>
      </c>
    </row>
    <row r="420" spans="2:22" x14ac:dyDescent="0.2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 t="e">
        <f>VLOOKUP(data[[#This Row],[Material]],'[1]Hoja para mrp'!$A:$Z,26,0)</f>
        <v>#N/A</v>
      </c>
      <c r="V420" s="1" t="e">
        <f>VLOOKUP(data[[#This Row],[Material]],'[1]Hoja para mrp'!$A:$Z,25,0)</f>
        <v>#N/A</v>
      </c>
    </row>
    <row r="421" spans="2:22" x14ac:dyDescent="0.2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1590</v>
      </c>
      <c r="T421" s="4" t="s">
        <v>71</v>
      </c>
      <c r="U421" s="1" t="e">
        <f>VLOOKUP(data[[#This Row],[Material]],'[1]Hoja para mrp'!$A:$Z,26,0)</f>
        <v>#N/A</v>
      </c>
      <c r="V421" s="1" t="e">
        <f>VLOOKUP(data[[#This Row],[Material]],'[1]Hoja para mrp'!$A:$Z,25,0)</f>
        <v>#N/A</v>
      </c>
    </row>
    <row r="422" spans="2:22" x14ac:dyDescent="0.25">
      <c r="B422" s="4">
        <v>20021153</v>
      </c>
      <c r="C422" s="1" t="s">
        <v>1224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30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 t="e">
        <f>VLOOKUP(data[[#This Row],[Material]],'[1]Hoja para mrp'!$A:$Z,26,0)</f>
        <v>#N/A</v>
      </c>
      <c r="V422" s="1" t="e">
        <f>VLOOKUP(data[[#This Row],[Material]],'[1]Hoja para mrp'!$A:$Z,25,0)</f>
        <v>#N/A</v>
      </c>
    </row>
    <row r="423" spans="2:22" x14ac:dyDescent="0.25">
      <c r="B423" s="4">
        <v>20021816</v>
      </c>
      <c r="C423" s="1" t="s">
        <v>1431</v>
      </c>
      <c r="D423" s="4" t="s">
        <v>89</v>
      </c>
      <c r="E423" s="3" t="s">
        <v>1641</v>
      </c>
      <c r="F423" s="3" t="s">
        <v>92</v>
      </c>
      <c r="G423" s="4">
        <v>50</v>
      </c>
      <c r="H423" s="4">
        <v>80</v>
      </c>
      <c r="I423" s="4">
        <v>85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116</v>
      </c>
      <c r="S423" s="11"/>
      <c r="T423" s="4" t="s">
        <v>66</v>
      </c>
      <c r="U423" s="1" t="e">
        <f>VLOOKUP(data[[#This Row],[Material]],'[1]Hoja para mrp'!$A:$Z,26,0)</f>
        <v>#N/A</v>
      </c>
      <c r="V423" s="1" t="e">
        <f>VLOOKUP(data[[#This Row],[Material]],'[1]Hoja para mrp'!$A:$Z,25,0)</f>
        <v>#N/A</v>
      </c>
    </row>
    <row r="424" spans="2:22" x14ac:dyDescent="0.25">
      <c r="B424" s="4">
        <v>20021894</v>
      </c>
      <c r="C424" s="1" t="s">
        <v>342</v>
      </c>
      <c r="D424" s="4" t="s">
        <v>89</v>
      </c>
      <c r="E424" s="3" t="s">
        <v>1641</v>
      </c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 t="e">
        <f>VLOOKUP(data[[#This Row],[Material]],'[1]Hoja para mrp'!$A:$Z,26,0)</f>
        <v>#N/A</v>
      </c>
      <c r="V424" s="1" t="e">
        <f>VLOOKUP(data[[#This Row],[Material]],'[1]Hoja para mrp'!$A:$Z,25,0)</f>
        <v>#N/A</v>
      </c>
    </row>
    <row r="425" spans="2:22" x14ac:dyDescent="0.2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 t="e">
        <f>VLOOKUP(data[[#This Row],[Material]],'[1]Hoja para mrp'!$A:$Z,26,0)</f>
        <v>#N/A</v>
      </c>
      <c r="V425" s="1" t="e">
        <f>VLOOKUP(data[[#This Row],[Material]],'[1]Hoja para mrp'!$A:$Z,25,0)</f>
        <v>#N/A</v>
      </c>
    </row>
    <row r="426" spans="2:22" x14ac:dyDescent="0.25">
      <c r="B426" s="4">
        <v>20021920</v>
      </c>
      <c r="C426" s="1" t="s">
        <v>344</v>
      </c>
      <c r="D426" s="4" t="s">
        <v>89</v>
      </c>
      <c r="E426" s="3" t="s">
        <v>1641</v>
      </c>
      <c r="F426" s="3" t="s">
        <v>92</v>
      </c>
      <c r="G426" s="4">
        <v>5</v>
      </c>
      <c r="H426" s="4">
        <v>10</v>
      </c>
      <c r="I426" s="4">
        <v>3</v>
      </c>
      <c r="J426" s="4" t="s">
        <v>8</v>
      </c>
      <c r="K426" s="4" t="s">
        <v>9</v>
      </c>
      <c r="L426" s="11"/>
      <c r="M426" s="3"/>
      <c r="N426">
        <v>4502688805</v>
      </c>
      <c r="O426" s="4">
        <v>10</v>
      </c>
      <c r="P426" s="1" t="s">
        <v>1425</v>
      </c>
      <c r="Q426" s="22">
        <v>46205</v>
      </c>
      <c r="R426" t="s">
        <v>116</v>
      </c>
      <c r="S426" s="11"/>
      <c r="T426" s="4" t="s">
        <v>71</v>
      </c>
      <c r="U426" s="1" t="e">
        <f>VLOOKUP(data[[#This Row],[Material]],'[1]Hoja para mrp'!$A:$Z,26,0)</f>
        <v>#N/A</v>
      </c>
      <c r="V426" s="1" t="e">
        <f>VLOOKUP(data[[#This Row],[Material]],'[1]Hoja para mrp'!$A:$Z,25,0)</f>
        <v>#N/A</v>
      </c>
    </row>
    <row r="427" spans="2:22" x14ac:dyDescent="0.2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 t="e">
        <f>VLOOKUP(data[[#This Row],[Material]],'[1]Hoja para mrp'!$A:$Z,26,0)</f>
        <v>#N/A</v>
      </c>
      <c r="V427" s="1" t="e">
        <f>VLOOKUP(data[[#This Row],[Material]],'[1]Hoja para mrp'!$A:$Z,25,0)</f>
        <v>#N/A</v>
      </c>
    </row>
    <row r="428" spans="2:22" x14ac:dyDescent="0.25">
      <c r="B428" s="4">
        <v>20022078</v>
      </c>
      <c r="C428" s="1" t="s">
        <v>346</v>
      </c>
      <c r="D428" s="4" t="s">
        <v>89</v>
      </c>
      <c r="E428" s="3" t="s">
        <v>1641</v>
      </c>
      <c r="F428" s="3" t="s">
        <v>92</v>
      </c>
      <c r="G428" s="4">
        <v>4</v>
      </c>
      <c r="H428" s="4">
        <v>8</v>
      </c>
      <c r="I428" s="4">
        <v>10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116</v>
      </c>
      <c r="S428" s="11"/>
      <c r="T428" s="4" t="s">
        <v>68</v>
      </c>
      <c r="U428" s="1" t="e">
        <f>VLOOKUP(data[[#This Row],[Material]],'[1]Hoja para mrp'!$A:$Z,26,0)</f>
        <v>#N/A</v>
      </c>
      <c r="V428" s="1" t="e">
        <f>VLOOKUP(data[[#This Row],[Material]],'[1]Hoja para mrp'!$A:$Z,25,0)</f>
        <v>#N/A</v>
      </c>
    </row>
    <row r="429" spans="2:22" x14ac:dyDescent="0.2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6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 t="e">
        <f>VLOOKUP(data[[#This Row],[Material]],'[1]Hoja para mrp'!$A:$Z,26,0)</f>
        <v>#N/A</v>
      </c>
      <c r="V429" s="1" t="e">
        <f>VLOOKUP(data[[#This Row],[Material]],'[1]Hoja para mrp'!$A:$Z,25,0)</f>
        <v>#N/A</v>
      </c>
    </row>
    <row r="430" spans="2:22" x14ac:dyDescent="0.2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10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119</v>
      </c>
      <c r="S430" s="11"/>
      <c r="T430" s="4" t="s">
        <v>68</v>
      </c>
      <c r="U430" s="1" t="e">
        <f>VLOOKUP(data[[#This Row],[Material]],'[1]Hoja para mrp'!$A:$Z,26,0)</f>
        <v>#N/A</v>
      </c>
      <c r="V430" s="1" t="e">
        <f>VLOOKUP(data[[#This Row],[Material]],'[1]Hoja para mrp'!$A:$Z,25,0)</f>
        <v>#N/A</v>
      </c>
    </row>
    <row r="431" spans="2:22" x14ac:dyDescent="0.2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 t="e">
        <f>VLOOKUP(data[[#This Row],[Material]],'[1]Hoja para mrp'!$A:$Z,26,0)</f>
        <v>#N/A</v>
      </c>
      <c r="V431" s="1" t="e">
        <f>VLOOKUP(data[[#This Row],[Material]],'[1]Hoja para mrp'!$A:$Z,25,0)</f>
        <v>#N/A</v>
      </c>
    </row>
    <row r="432" spans="2:22" x14ac:dyDescent="0.25">
      <c r="B432" s="4">
        <v>20021665</v>
      </c>
      <c r="C432" s="1" t="s">
        <v>1494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 t="e">
        <f>VLOOKUP(data[[#This Row],[Material]],'[1]Hoja para mrp'!$A:$Z,26,0)</f>
        <v>#N/A</v>
      </c>
      <c r="V432" s="1" t="e">
        <f>VLOOKUP(data[[#This Row],[Material]],'[1]Hoja para mrp'!$A:$Z,25,0)</f>
        <v>#N/A</v>
      </c>
    </row>
    <row r="433" spans="2:22" x14ac:dyDescent="0.2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 t="e">
        <f>VLOOKUP(data[[#This Row],[Material]],'[1]Hoja para mrp'!$A:$Z,26,0)</f>
        <v>#N/A</v>
      </c>
      <c r="V433" s="1" t="e">
        <f>VLOOKUP(data[[#This Row],[Material]],'[1]Hoja para mrp'!$A:$Z,25,0)</f>
        <v>#N/A</v>
      </c>
    </row>
    <row r="434" spans="2:22" x14ac:dyDescent="0.2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 t="e">
        <f>VLOOKUP(data[[#This Row],[Material]],'[1]Hoja para mrp'!$A:$Z,26,0)</f>
        <v>#N/A</v>
      </c>
      <c r="V434" s="1" t="e">
        <f>VLOOKUP(data[[#This Row],[Material]],'[1]Hoja para mrp'!$A:$Z,25,0)</f>
        <v>#N/A</v>
      </c>
    </row>
    <row r="435" spans="2:22" x14ac:dyDescent="0.25">
      <c r="B435" s="4">
        <v>20022336</v>
      </c>
      <c r="C435" s="1" t="s">
        <v>352</v>
      </c>
      <c r="D435" s="4" t="s">
        <v>89</v>
      </c>
      <c r="E435" s="3" t="s">
        <v>1641</v>
      </c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 t="e">
        <f>VLOOKUP(data[[#This Row],[Material]],'[1]Hoja para mrp'!$A:$Z,26,0)</f>
        <v>#N/A</v>
      </c>
      <c r="V435" s="1" t="e">
        <f>VLOOKUP(data[[#This Row],[Material]],'[1]Hoja para mrp'!$A:$Z,25,0)</f>
        <v>#N/A</v>
      </c>
    </row>
    <row r="436" spans="2:22" x14ac:dyDescent="0.2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 t="e">
        <f>VLOOKUP(data[[#This Row],[Material]],'[1]Hoja para mrp'!$A:$Z,26,0)</f>
        <v>#N/A</v>
      </c>
      <c r="V436" s="1" t="e">
        <f>VLOOKUP(data[[#This Row],[Material]],'[1]Hoja para mrp'!$A:$Z,25,0)</f>
        <v>#N/A</v>
      </c>
    </row>
    <row r="437" spans="2:22" x14ac:dyDescent="0.25">
      <c r="B437" s="4">
        <v>20021907</v>
      </c>
      <c r="C437" s="1" t="s">
        <v>1369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 t="e">
        <f>VLOOKUP(data[[#This Row],[Material]],'[1]Hoja para mrp'!$A:$Z,26,0)</f>
        <v>#N/A</v>
      </c>
      <c r="V437" s="1" t="e">
        <f>VLOOKUP(data[[#This Row],[Material]],'[1]Hoja para mrp'!$A:$Z,25,0)</f>
        <v>#N/A</v>
      </c>
    </row>
    <row r="438" spans="2:22" x14ac:dyDescent="0.2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 t="e">
        <f>VLOOKUP(data[[#This Row],[Material]],'[1]Hoja para mrp'!$A:$Z,26,0)</f>
        <v>#N/A</v>
      </c>
      <c r="V438" s="1" t="e">
        <f>VLOOKUP(data[[#This Row],[Material]],'[1]Hoja para mrp'!$A:$Z,25,0)</f>
        <v>#N/A</v>
      </c>
    </row>
    <row r="439" spans="2:22" x14ac:dyDescent="0.25">
      <c r="B439" s="4">
        <v>20021909</v>
      </c>
      <c r="C439" s="1" t="s">
        <v>1350</v>
      </c>
      <c r="D439" s="4" t="s">
        <v>89</v>
      </c>
      <c r="E439" s="72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 t="e">
        <f>VLOOKUP(data[[#This Row],[Material]],'[1]Hoja para mrp'!$A:$Z,26,0)</f>
        <v>#N/A</v>
      </c>
      <c r="V439" s="1" t="e">
        <f>VLOOKUP(data[[#This Row],[Material]],'[1]Hoja para mrp'!$A:$Z,25,0)</f>
        <v>#N/A</v>
      </c>
    </row>
    <row r="440" spans="2:22" x14ac:dyDescent="0.2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 t="e">
        <f>VLOOKUP(data[[#This Row],[Material]],'[1]Hoja para mrp'!$A:$Z,26,0)</f>
        <v>#N/A</v>
      </c>
      <c r="V440" s="1" t="e">
        <f>VLOOKUP(data[[#This Row],[Material]],'[1]Hoja para mrp'!$A:$Z,25,0)</f>
        <v>#N/A</v>
      </c>
    </row>
    <row r="441" spans="2:22" x14ac:dyDescent="0.25">
      <c r="B441" s="4">
        <v>20022011</v>
      </c>
      <c r="C441" s="1" t="s">
        <v>1391</v>
      </c>
      <c r="D441" s="4" t="s">
        <v>89</v>
      </c>
      <c r="E441" s="3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 t="e">
        <f>VLOOKUP(data[[#This Row],[Material]],'[1]Hoja para mrp'!$A:$Z,26,0)</f>
        <v>#N/A</v>
      </c>
      <c r="V441" s="1" t="e">
        <f>VLOOKUP(data[[#This Row],[Material]],'[1]Hoja para mrp'!$A:$Z,25,0)</f>
        <v>#N/A</v>
      </c>
    </row>
    <row r="442" spans="2:22" x14ac:dyDescent="0.25">
      <c r="B442" s="4">
        <v>20022057</v>
      </c>
      <c r="C442" s="1" t="s">
        <v>1060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106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 t="e">
        <f>VLOOKUP(data[[#This Row],[Material]],'[1]Hoja para mrp'!$A:$Z,26,0)</f>
        <v>#N/A</v>
      </c>
      <c r="V442" s="1" t="e">
        <f>VLOOKUP(data[[#This Row],[Material]],'[1]Hoja para mrp'!$A:$Z,25,0)</f>
        <v>#N/A</v>
      </c>
    </row>
    <row r="443" spans="2:22" x14ac:dyDescent="0.25">
      <c r="B443" s="4">
        <v>20022101</v>
      </c>
      <c r="C443" s="1" t="s">
        <v>1251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>
        <v>1002648051</v>
      </c>
      <c r="M443" s="3">
        <v>5</v>
      </c>
      <c r="N443"/>
      <c r="O443" s="4"/>
      <c r="P443" s="1"/>
      <c r="Q443" s="22"/>
      <c r="R443"/>
      <c r="S443" s="11"/>
      <c r="T443" s="4" t="s">
        <v>70</v>
      </c>
      <c r="U443" s="1" t="e">
        <f>VLOOKUP(data[[#This Row],[Material]],'[1]Hoja para mrp'!$A:$Z,26,0)</f>
        <v>#N/A</v>
      </c>
      <c r="V443" s="1" t="e">
        <f>VLOOKUP(data[[#This Row],[Material]],'[1]Hoja para mrp'!$A:$Z,25,0)</f>
        <v>#N/A</v>
      </c>
    </row>
    <row r="444" spans="2:22" x14ac:dyDescent="0.25">
      <c r="B444" s="4">
        <v>20022425</v>
      </c>
      <c r="C444" s="1" t="s">
        <v>874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 t="e">
        <f>VLOOKUP(data[[#This Row],[Material]],'[1]Hoja para mrp'!$A:$Z,26,0)</f>
        <v>#N/A</v>
      </c>
      <c r="V444" s="1" t="e">
        <f>VLOOKUP(data[[#This Row],[Material]],'[1]Hoja para mrp'!$A:$Z,25,0)</f>
        <v>#N/A</v>
      </c>
    </row>
    <row r="445" spans="2:22" x14ac:dyDescent="0.25">
      <c r="B445" s="4">
        <v>20022605</v>
      </c>
      <c r="C445" s="1" t="s">
        <v>1307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 t="e">
        <f>VLOOKUP(data[[#This Row],[Material]],'[1]Hoja para mrp'!$A:$Z,26,0)</f>
        <v>#N/A</v>
      </c>
      <c r="V445" s="1" t="e">
        <f>VLOOKUP(data[[#This Row],[Material]],'[1]Hoja para mrp'!$A:$Z,25,0)</f>
        <v>#N/A</v>
      </c>
    </row>
    <row r="446" spans="2:22" x14ac:dyDescent="0.25">
      <c r="B446" s="4">
        <v>20022683</v>
      </c>
      <c r="C446" s="1" t="s">
        <v>1392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 t="e">
        <f>VLOOKUP(data[[#This Row],[Material]],'[1]Hoja para mrp'!$A:$Z,26,0)</f>
        <v>#N/A</v>
      </c>
      <c r="V446" s="1" t="e">
        <f>VLOOKUP(data[[#This Row],[Material]],'[1]Hoja para mrp'!$A:$Z,25,0)</f>
        <v>#N/A</v>
      </c>
    </row>
    <row r="447" spans="2:22" x14ac:dyDescent="0.25">
      <c r="B447" s="4">
        <v>20022697</v>
      </c>
      <c r="C447" s="1" t="s">
        <v>1252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 t="e">
        <f>VLOOKUP(data[[#This Row],[Material]],'[1]Hoja para mrp'!$A:$Z,26,0)</f>
        <v>#N/A</v>
      </c>
      <c r="V447" s="1" t="e">
        <f>VLOOKUP(data[[#This Row],[Material]],'[1]Hoja para mrp'!$A:$Z,25,0)</f>
        <v>#N/A</v>
      </c>
    </row>
    <row r="448" spans="2:22" x14ac:dyDescent="0.25">
      <c r="B448" s="4">
        <v>20022698</v>
      </c>
      <c r="C448" s="1" t="s">
        <v>366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32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70</v>
      </c>
      <c r="U448" s="1" t="e">
        <f>VLOOKUP(data[[#This Row],[Material]],'[1]Hoja para mrp'!$A:$Z,26,0)</f>
        <v>#N/A</v>
      </c>
      <c r="V448" s="1" t="e">
        <f>VLOOKUP(data[[#This Row],[Material]],'[1]Hoja para mrp'!$A:$Z,25,0)</f>
        <v>#N/A</v>
      </c>
    </row>
    <row r="449" spans="2:22" x14ac:dyDescent="0.25">
      <c r="B449" s="4">
        <v>20022707</v>
      </c>
      <c r="C449" s="1" t="s">
        <v>367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28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 t="e">
        <f>VLOOKUP(data[[#This Row],[Material]],'[1]Hoja para mrp'!$A:$Z,26,0)</f>
        <v>#N/A</v>
      </c>
      <c r="V449" s="1" t="e">
        <f>VLOOKUP(data[[#This Row],[Material]],'[1]Hoja para mrp'!$A:$Z,25,0)</f>
        <v>#N/A</v>
      </c>
    </row>
    <row r="450" spans="2:22" x14ac:dyDescent="0.25">
      <c r="B450" s="4">
        <v>20022711</v>
      </c>
      <c r="C450" s="1" t="s">
        <v>1253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 t="e">
        <f>VLOOKUP(data[[#This Row],[Material]],'[1]Hoja para mrp'!$A:$Z,26,0)</f>
        <v>#N/A</v>
      </c>
      <c r="V450" s="1" t="e">
        <f>VLOOKUP(data[[#This Row],[Material]],'[1]Hoja para mrp'!$A:$Z,25,0)</f>
        <v>#N/A</v>
      </c>
    </row>
    <row r="451" spans="2:22" x14ac:dyDescent="0.25">
      <c r="B451" s="4">
        <v>20022877</v>
      </c>
      <c r="C451" s="1" t="s">
        <v>368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 t="e">
        <f>VLOOKUP(data[[#This Row],[Material]],'[1]Hoja para mrp'!$A:$Z,26,0)</f>
        <v>#N/A</v>
      </c>
      <c r="V451" s="1" t="e">
        <f>VLOOKUP(data[[#This Row],[Material]],'[1]Hoja para mrp'!$A:$Z,25,0)</f>
        <v>#N/A</v>
      </c>
    </row>
    <row r="452" spans="2:22" x14ac:dyDescent="0.25">
      <c r="B452" s="4">
        <v>20022878</v>
      </c>
      <c r="C452" s="1" t="s">
        <v>369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 t="e">
        <f>VLOOKUP(data[[#This Row],[Material]],'[1]Hoja para mrp'!$A:$Z,26,0)</f>
        <v>#N/A</v>
      </c>
      <c r="V452" s="1" t="e">
        <f>VLOOKUP(data[[#This Row],[Material]],'[1]Hoja para mrp'!$A:$Z,25,0)</f>
        <v>#N/A</v>
      </c>
    </row>
    <row r="453" spans="2:22" x14ac:dyDescent="0.25">
      <c r="B453" s="4">
        <v>20022888</v>
      </c>
      <c r="C453" s="1" t="s">
        <v>370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 t="e">
        <f>VLOOKUP(data[[#This Row],[Material]],'[1]Hoja para mrp'!$A:$Z,26,0)</f>
        <v>#N/A</v>
      </c>
      <c r="V453" s="1" t="e">
        <f>VLOOKUP(data[[#This Row],[Material]],'[1]Hoja para mrp'!$A:$Z,25,0)</f>
        <v>#N/A</v>
      </c>
    </row>
    <row r="454" spans="2:22" x14ac:dyDescent="0.25">
      <c r="B454" s="4">
        <v>20022922</v>
      </c>
      <c r="C454" s="1" t="s">
        <v>371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 t="e">
        <f>VLOOKUP(data[[#This Row],[Material]],'[1]Hoja para mrp'!$A:$Z,26,0)</f>
        <v>#N/A</v>
      </c>
      <c r="V454" s="1" t="e">
        <f>VLOOKUP(data[[#This Row],[Material]],'[1]Hoja para mrp'!$A:$Z,25,0)</f>
        <v>#N/A</v>
      </c>
    </row>
    <row r="455" spans="2:22" x14ac:dyDescent="0.25">
      <c r="B455" s="4">
        <v>20022924</v>
      </c>
      <c r="C455" s="1" t="s">
        <v>372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 t="e">
        <f>VLOOKUP(data[[#This Row],[Material]],'[1]Hoja para mrp'!$A:$Z,26,0)</f>
        <v>#N/A</v>
      </c>
      <c r="V455" s="1" t="e">
        <f>VLOOKUP(data[[#This Row],[Material]],'[1]Hoja para mrp'!$A:$Z,25,0)</f>
        <v>#N/A</v>
      </c>
    </row>
    <row r="456" spans="2:22" x14ac:dyDescent="0.25">
      <c r="B456" s="4">
        <v>20022992</v>
      </c>
      <c r="C456" s="1" t="s">
        <v>373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4000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71</v>
      </c>
      <c r="U456" s="1" t="e">
        <f>VLOOKUP(data[[#This Row],[Material]],'[1]Hoja para mrp'!$A:$Z,26,0)</f>
        <v>#N/A</v>
      </c>
      <c r="V456" s="1" t="e">
        <f>VLOOKUP(data[[#This Row],[Material]],'[1]Hoja para mrp'!$A:$Z,25,0)</f>
        <v>#N/A</v>
      </c>
    </row>
    <row r="457" spans="2:22" x14ac:dyDescent="0.25">
      <c r="B457" s="4">
        <v>20023010</v>
      </c>
      <c r="C457" s="1" t="s">
        <v>374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 t="e">
        <f>VLOOKUP(data[[#This Row],[Material]],'[1]Hoja para mrp'!$A:$Z,26,0)</f>
        <v>#N/A</v>
      </c>
      <c r="V457" s="1" t="e">
        <f>VLOOKUP(data[[#This Row],[Material]],'[1]Hoja para mrp'!$A:$Z,25,0)</f>
        <v>#N/A</v>
      </c>
    </row>
    <row r="458" spans="2:22" x14ac:dyDescent="0.25">
      <c r="B458" s="4">
        <v>20023022</v>
      </c>
      <c r="C458" s="1" t="s">
        <v>375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 t="e">
        <f>VLOOKUP(data[[#This Row],[Material]],'[1]Hoja para mrp'!$A:$Z,26,0)</f>
        <v>#N/A</v>
      </c>
      <c r="V458" s="1" t="e">
        <f>VLOOKUP(data[[#This Row],[Material]],'[1]Hoja para mrp'!$A:$Z,25,0)</f>
        <v>#N/A</v>
      </c>
    </row>
    <row r="459" spans="2:22" x14ac:dyDescent="0.25">
      <c r="B459" s="4">
        <v>20023087</v>
      </c>
      <c r="C459" s="1" t="s">
        <v>376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5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 t="e">
        <f>VLOOKUP(data[[#This Row],[Material]],'[1]Hoja para mrp'!$A:$Z,26,0)</f>
        <v>#N/A</v>
      </c>
      <c r="V459" s="1" t="e">
        <f>VLOOKUP(data[[#This Row],[Material]],'[1]Hoja para mrp'!$A:$Z,25,0)</f>
        <v>#N/A</v>
      </c>
    </row>
    <row r="460" spans="2:22" x14ac:dyDescent="0.25">
      <c r="B460" s="4">
        <v>20023178</v>
      </c>
      <c r="C460" s="1" t="s">
        <v>377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 t="e">
        <f>VLOOKUP(data[[#This Row],[Material]],'[1]Hoja para mrp'!$A:$Z,26,0)</f>
        <v>#N/A</v>
      </c>
      <c r="V460" s="1" t="e">
        <f>VLOOKUP(data[[#This Row],[Material]],'[1]Hoja para mrp'!$A:$Z,25,0)</f>
        <v>#N/A</v>
      </c>
    </row>
    <row r="461" spans="2:22" x14ac:dyDescent="0.25">
      <c r="B461" s="4">
        <v>20023179</v>
      </c>
      <c r="C461" s="1" t="s">
        <v>378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79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 t="e">
        <f>VLOOKUP(data[[#This Row],[Material]],'[1]Hoja para mrp'!$A:$Z,26,0)</f>
        <v>#N/A</v>
      </c>
      <c r="V461" s="1" t="e">
        <f>VLOOKUP(data[[#This Row],[Material]],'[1]Hoja para mrp'!$A:$Z,25,0)</f>
        <v>#N/A</v>
      </c>
    </row>
    <row r="462" spans="2:22" x14ac:dyDescent="0.25">
      <c r="B462" s="4">
        <v>20023241</v>
      </c>
      <c r="C462" s="1" t="s">
        <v>379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 t="e">
        <f>VLOOKUP(data[[#This Row],[Material]],'[1]Hoja para mrp'!$A:$Z,26,0)</f>
        <v>#N/A</v>
      </c>
      <c r="V462" s="1" t="e">
        <f>VLOOKUP(data[[#This Row],[Material]],'[1]Hoja para mrp'!$A:$Z,25,0)</f>
        <v>#N/A</v>
      </c>
    </row>
    <row r="463" spans="2:22" x14ac:dyDescent="0.25">
      <c r="B463" s="4">
        <v>20023269</v>
      </c>
      <c r="C463" s="1" t="s">
        <v>380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13</v>
      </c>
      <c r="J463" s="4" t="s">
        <v>8</v>
      </c>
      <c r="K463" s="4" t="s">
        <v>9</v>
      </c>
      <c r="L463" s="11">
        <v>1002648063</v>
      </c>
      <c r="M463" s="3">
        <v>20</v>
      </c>
      <c r="N463"/>
      <c r="O463" s="4"/>
      <c r="P463" s="1"/>
      <c r="Q463" s="22"/>
      <c r="R463"/>
      <c r="S463" s="11"/>
      <c r="T463" s="4" t="s">
        <v>73</v>
      </c>
      <c r="U463" s="1" t="e">
        <f>VLOOKUP(data[[#This Row],[Material]],'[1]Hoja para mrp'!$A:$Z,26,0)</f>
        <v>#N/A</v>
      </c>
      <c r="V463" s="1" t="e">
        <f>VLOOKUP(data[[#This Row],[Material]],'[1]Hoja para mrp'!$A:$Z,25,0)</f>
        <v>#N/A</v>
      </c>
    </row>
    <row r="464" spans="2:22" x14ac:dyDescent="0.25">
      <c r="B464" s="4">
        <v>20023350</v>
      </c>
      <c r="C464" s="1" t="s">
        <v>381</v>
      </c>
      <c r="D464" s="4" t="s">
        <v>89</v>
      </c>
      <c r="E464" s="3"/>
      <c r="F464" s="3" t="s">
        <v>69</v>
      </c>
      <c r="G464" s="4">
        <v>4</v>
      </c>
      <c r="H464" s="4">
        <v>4</v>
      </c>
      <c r="I464" s="4">
        <v>0</v>
      </c>
      <c r="J464" s="4" t="s">
        <v>8</v>
      </c>
      <c r="K464" s="4" t="s">
        <v>13</v>
      </c>
      <c r="L464" s="11">
        <v>1002644388</v>
      </c>
      <c r="M464" s="3">
        <v>6</v>
      </c>
      <c r="N464"/>
      <c r="O464" s="4"/>
      <c r="P464" s="1"/>
      <c r="Q464" s="22"/>
      <c r="R464"/>
      <c r="S464" s="11"/>
      <c r="T464" s="4" t="s">
        <v>68</v>
      </c>
      <c r="U464" s="1" t="e">
        <f>VLOOKUP(data[[#This Row],[Material]],'[1]Hoja para mrp'!$A:$Z,26,0)</f>
        <v>#N/A</v>
      </c>
      <c r="V464" s="1" t="e">
        <f>VLOOKUP(data[[#This Row],[Material]],'[1]Hoja para mrp'!$A:$Z,25,0)</f>
        <v>#N/A</v>
      </c>
    </row>
    <row r="465" spans="2:22" x14ac:dyDescent="0.25">
      <c r="B465" s="4">
        <v>20023401</v>
      </c>
      <c r="C465" s="1" t="s">
        <v>382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 t="e">
        <f>VLOOKUP(data[[#This Row],[Material]],'[1]Hoja para mrp'!$A:$Z,26,0)</f>
        <v>#N/A</v>
      </c>
      <c r="V465" s="1" t="e">
        <f>VLOOKUP(data[[#This Row],[Material]],'[1]Hoja para mrp'!$A:$Z,25,0)</f>
        <v>#N/A</v>
      </c>
    </row>
    <row r="466" spans="2:22" x14ac:dyDescent="0.25">
      <c r="B466" s="4">
        <v>20023429</v>
      </c>
      <c r="C466" s="1" t="s">
        <v>383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1590</v>
      </c>
      <c r="T466" s="4" t="s">
        <v>73</v>
      </c>
      <c r="U466" s="1" t="e">
        <f>VLOOKUP(data[[#This Row],[Material]],'[1]Hoja para mrp'!$A:$Z,26,0)</f>
        <v>#N/A</v>
      </c>
      <c r="V466" s="1" t="e">
        <f>VLOOKUP(data[[#This Row],[Material]],'[1]Hoja para mrp'!$A:$Z,25,0)</f>
        <v>#N/A</v>
      </c>
    </row>
    <row r="467" spans="2:22" x14ac:dyDescent="0.25">
      <c r="B467" s="4">
        <v>20023458</v>
      </c>
      <c r="C467" s="1" t="s">
        <v>1351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 t="e">
        <f>VLOOKUP(data[[#This Row],[Material]],'[1]Hoja para mrp'!$A:$Z,26,0)</f>
        <v>#N/A</v>
      </c>
      <c r="V467" s="1" t="e">
        <f>VLOOKUP(data[[#This Row],[Material]],'[1]Hoja para mrp'!$A:$Z,25,0)</f>
        <v>#N/A</v>
      </c>
    </row>
    <row r="468" spans="2:22" x14ac:dyDescent="0.25">
      <c r="B468" s="4">
        <v>20023576</v>
      </c>
      <c r="C468" s="1" t="s">
        <v>384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2000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71</v>
      </c>
      <c r="U468" s="1" t="e">
        <f>VLOOKUP(data[[#This Row],[Material]],'[1]Hoja para mrp'!$A:$Z,26,0)</f>
        <v>#N/A</v>
      </c>
      <c r="V468" s="1" t="e">
        <f>VLOOKUP(data[[#This Row],[Material]],'[1]Hoja para mrp'!$A:$Z,25,0)</f>
        <v>#N/A</v>
      </c>
    </row>
    <row r="469" spans="2:22" x14ac:dyDescent="0.25">
      <c r="B469" s="4">
        <v>20023655</v>
      </c>
      <c r="C469" s="1" t="s">
        <v>1288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2</v>
      </c>
      <c r="J469" s="4" t="s">
        <v>8</v>
      </c>
      <c r="K469" s="4" t="s">
        <v>9</v>
      </c>
      <c r="L469" s="11">
        <v>1002637281</v>
      </c>
      <c r="M469" s="3">
        <v>8</v>
      </c>
      <c r="N469"/>
      <c r="O469" s="4"/>
      <c r="P469" s="1"/>
      <c r="Q469" s="22"/>
      <c r="R469"/>
      <c r="S469" s="11"/>
      <c r="T469" s="4" t="s">
        <v>73</v>
      </c>
      <c r="U469" s="1" t="e">
        <f>VLOOKUP(data[[#This Row],[Material]],'[1]Hoja para mrp'!$A:$Z,26,0)</f>
        <v>#N/A</v>
      </c>
      <c r="V469" s="1" t="e">
        <f>VLOOKUP(data[[#This Row],[Material]],'[1]Hoja para mrp'!$A:$Z,25,0)</f>
        <v>#N/A</v>
      </c>
    </row>
    <row r="470" spans="2:22" x14ac:dyDescent="0.25">
      <c r="B470" s="4">
        <v>20023659</v>
      </c>
      <c r="C470" s="1" t="s">
        <v>385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 t="e">
        <f>VLOOKUP(data[[#This Row],[Material]],'[1]Hoja para mrp'!$A:$Z,26,0)</f>
        <v>#N/A</v>
      </c>
      <c r="V470" s="1" t="e">
        <f>VLOOKUP(data[[#This Row],[Material]],'[1]Hoja para mrp'!$A:$Z,25,0)</f>
        <v>#N/A</v>
      </c>
    </row>
    <row r="471" spans="2:22" x14ac:dyDescent="0.25">
      <c r="B471" s="4">
        <v>20023707</v>
      </c>
      <c r="C471" s="1" t="s">
        <v>386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 t="e">
        <f>VLOOKUP(data[[#This Row],[Material]],'[1]Hoja para mrp'!$A:$Z,26,0)</f>
        <v>#N/A</v>
      </c>
      <c r="V471" s="1" t="e">
        <f>VLOOKUP(data[[#This Row],[Material]],'[1]Hoja para mrp'!$A:$Z,25,0)</f>
        <v>#N/A</v>
      </c>
    </row>
    <row r="472" spans="2:22" x14ac:dyDescent="0.25">
      <c r="B472" s="4">
        <v>20023885</v>
      </c>
      <c r="C472" s="1" t="s">
        <v>1447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34</v>
      </c>
      <c r="J472" s="4" t="s">
        <v>8</v>
      </c>
      <c r="K472" s="4" t="s">
        <v>9</v>
      </c>
      <c r="L472" s="11" t="s">
        <v>1667</v>
      </c>
      <c r="M472" s="3">
        <v>66</v>
      </c>
      <c r="N472"/>
      <c r="O472" s="4"/>
      <c r="P472" s="1"/>
      <c r="Q472" s="22"/>
      <c r="R472"/>
      <c r="S472" s="11"/>
      <c r="T472" s="4" t="s">
        <v>66</v>
      </c>
      <c r="U472" s="1" t="e">
        <f>VLOOKUP(data[[#This Row],[Material]],'[1]Hoja para mrp'!$A:$Z,26,0)</f>
        <v>#N/A</v>
      </c>
      <c r="V472" s="1" t="e">
        <f>VLOOKUP(data[[#This Row],[Material]],'[1]Hoja para mrp'!$A:$Z,25,0)</f>
        <v>#N/A</v>
      </c>
    </row>
    <row r="473" spans="2:22" x14ac:dyDescent="0.25">
      <c r="B473" s="4">
        <v>20023886</v>
      </c>
      <c r="C473" s="1" t="s">
        <v>1534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15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 t="e">
        <f>VLOOKUP(data[[#This Row],[Material]],'[1]Hoja para mrp'!$A:$Z,26,0)</f>
        <v>#N/A</v>
      </c>
      <c r="V473" s="1" t="e">
        <f>VLOOKUP(data[[#This Row],[Material]],'[1]Hoja para mrp'!$A:$Z,25,0)</f>
        <v>#N/A</v>
      </c>
    </row>
    <row r="474" spans="2:22" x14ac:dyDescent="0.25">
      <c r="B474" s="4">
        <v>20024029</v>
      </c>
      <c r="C474" s="1" t="s">
        <v>387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 t="e">
        <f>VLOOKUP(data[[#This Row],[Material]],'[1]Hoja para mrp'!$A:$Z,26,0)</f>
        <v>#N/A</v>
      </c>
      <c r="V474" s="1" t="e">
        <f>VLOOKUP(data[[#This Row],[Material]],'[1]Hoja para mrp'!$A:$Z,25,0)</f>
        <v>#N/A</v>
      </c>
    </row>
    <row r="475" spans="2:22" x14ac:dyDescent="0.25">
      <c r="B475" s="4">
        <v>20024067</v>
      </c>
      <c r="C475" s="1" t="s">
        <v>388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 t="e">
        <f>VLOOKUP(data[[#This Row],[Material]],'[1]Hoja para mrp'!$A:$Z,26,0)</f>
        <v>#N/A</v>
      </c>
      <c r="V475" s="1" t="e">
        <f>VLOOKUP(data[[#This Row],[Material]],'[1]Hoja para mrp'!$A:$Z,25,0)</f>
        <v>#N/A</v>
      </c>
    </row>
    <row r="476" spans="2:22" x14ac:dyDescent="0.25">
      <c r="B476" s="4">
        <v>20024068</v>
      </c>
      <c r="C476" s="1" t="s">
        <v>389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 t="e">
        <f>VLOOKUP(data[[#This Row],[Material]],'[1]Hoja para mrp'!$A:$Z,26,0)</f>
        <v>#N/A</v>
      </c>
      <c r="V476" s="1" t="e">
        <f>VLOOKUP(data[[#This Row],[Material]],'[1]Hoja para mrp'!$A:$Z,25,0)</f>
        <v>#N/A</v>
      </c>
    </row>
    <row r="477" spans="2:22" x14ac:dyDescent="0.25">
      <c r="B477" s="4">
        <v>20024086</v>
      </c>
      <c r="C477" s="1" t="s">
        <v>390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 t="e">
        <f>VLOOKUP(data[[#This Row],[Material]],'[1]Hoja para mrp'!$A:$Z,26,0)</f>
        <v>#N/A</v>
      </c>
      <c r="V477" s="1" t="e">
        <f>VLOOKUP(data[[#This Row],[Material]],'[1]Hoja para mrp'!$A:$Z,25,0)</f>
        <v>#N/A</v>
      </c>
    </row>
    <row r="478" spans="2:22" x14ac:dyDescent="0.25">
      <c r="B478" s="4">
        <v>20024123</v>
      </c>
      <c r="C478" s="1" t="s">
        <v>1370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66</v>
      </c>
      <c r="U478" s="1" t="e">
        <f>VLOOKUP(data[[#This Row],[Material]],'[1]Hoja para mrp'!$A:$Z,26,0)</f>
        <v>#N/A</v>
      </c>
      <c r="V478" s="1" t="e">
        <f>VLOOKUP(data[[#This Row],[Material]],'[1]Hoja para mrp'!$A:$Z,25,0)</f>
        <v>#N/A</v>
      </c>
    </row>
    <row r="479" spans="2:22" x14ac:dyDescent="0.25">
      <c r="B479" s="4">
        <v>20024319</v>
      </c>
      <c r="C479" s="1" t="s">
        <v>391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94</v>
      </c>
      <c r="J479" s="4" t="s">
        <v>21</v>
      </c>
      <c r="K479" s="4" t="s">
        <v>9</v>
      </c>
      <c r="L479" s="11"/>
      <c r="M479" s="3"/>
      <c r="N479">
        <v>4502688597</v>
      </c>
      <c r="O479" s="4">
        <v>100</v>
      </c>
      <c r="P479" s="1" t="s">
        <v>22</v>
      </c>
      <c r="Q479" s="22">
        <v>46207</v>
      </c>
      <c r="R479"/>
      <c r="S479" s="11"/>
      <c r="T479" s="4" t="s">
        <v>70</v>
      </c>
      <c r="U479" s="1" t="e">
        <f>VLOOKUP(data[[#This Row],[Material]],'[1]Hoja para mrp'!$A:$Z,26,0)</f>
        <v>#N/A</v>
      </c>
      <c r="V479" s="1" t="e">
        <f>VLOOKUP(data[[#This Row],[Material]],'[1]Hoja para mrp'!$A:$Z,25,0)</f>
        <v>#N/A</v>
      </c>
    </row>
    <row r="480" spans="2:22" x14ac:dyDescent="0.25">
      <c r="B480" s="4">
        <v>20024336</v>
      </c>
      <c r="C480" s="1" t="s">
        <v>392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 t="e">
        <f>VLOOKUP(data[[#This Row],[Material]],'[1]Hoja para mrp'!$A:$Z,26,0)</f>
        <v>#N/A</v>
      </c>
      <c r="V480" s="1" t="e">
        <f>VLOOKUP(data[[#This Row],[Material]],'[1]Hoja para mrp'!$A:$Z,25,0)</f>
        <v>#N/A</v>
      </c>
    </row>
    <row r="481" spans="2:22" x14ac:dyDescent="0.25">
      <c r="B481" s="4">
        <v>20024363</v>
      </c>
      <c r="C481" s="1" t="s">
        <v>393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 t="e">
        <f>VLOOKUP(data[[#This Row],[Material]],'[1]Hoja para mrp'!$A:$Z,26,0)</f>
        <v>#N/A</v>
      </c>
      <c r="V481" s="1" t="e">
        <f>VLOOKUP(data[[#This Row],[Material]],'[1]Hoja para mrp'!$A:$Z,25,0)</f>
        <v>#N/A</v>
      </c>
    </row>
    <row r="482" spans="2:22" x14ac:dyDescent="0.25">
      <c r="B482" s="4">
        <v>20024371</v>
      </c>
      <c r="C482" s="1" t="s">
        <v>394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 t="e">
        <f>VLOOKUP(data[[#This Row],[Material]],'[1]Hoja para mrp'!$A:$Z,26,0)</f>
        <v>#N/A</v>
      </c>
      <c r="V482" s="1" t="e">
        <f>VLOOKUP(data[[#This Row],[Material]],'[1]Hoja para mrp'!$A:$Z,25,0)</f>
        <v>#N/A</v>
      </c>
    </row>
    <row r="483" spans="2:22" x14ac:dyDescent="0.25">
      <c r="B483" s="4">
        <v>20024453</v>
      </c>
      <c r="C483" s="1" t="s">
        <v>395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 t="e">
        <f>VLOOKUP(data[[#This Row],[Material]],'[1]Hoja para mrp'!$A:$Z,26,0)</f>
        <v>#N/A</v>
      </c>
      <c r="V483" s="1" t="e">
        <f>VLOOKUP(data[[#This Row],[Material]],'[1]Hoja para mrp'!$A:$Z,25,0)</f>
        <v>#N/A</v>
      </c>
    </row>
    <row r="484" spans="2:22" x14ac:dyDescent="0.25">
      <c r="B484" s="4">
        <v>20024458</v>
      </c>
      <c r="C484" s="1" t="s">
        <v>396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 t="e">
        <f>VLOOKUP(data[[#This Row],[Material]],'[1]Hoja para mrp'!$A:$Z,26,0)</f>
        <v>#N/A</v>
      </c>
      <c r="V484" s="1" t="e">
        <f>VLOOKUP(data[[#This Row],[Material]],'[1]Hoja para mrp'!$A:$Z,25,0)</f>
        <v>#N/A</v>
      </c>
    </row>
    <row r="485" spans="2:22" x14ac:dyDescent="0.25">
      <c r="B485" s="4">
        <v>20024469</v>
      </c>
      <c r="C485" s="1" t="s">
        <v>397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 t="e">
        <f>VLOOKUP(data[[#This Row],[Material]],'[1]Hoja para mrp'!$A:$Z,26,0)</f>
        <v>#N/A</v>
      </c>
      <c r="V485" s="1" t="e">
        <f>VLOOKUP(data[[#This Row],[Material]],'[1]Hoja para mrp'!$A:$Z,25,0)</f>
        <v>#N/A</v>
      </c>
    </row>
    <row r="486" spans="2:22" x14ac:dyDescent="0.25">
      <c r="B486" s="4">
        <v>20024538</v>
      </c>
      <c r="C486" s="1" t="s">
        <v>398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 t="e">
        <f>VLOOKUP(data[[#This Row],[Material]],'[1]Hoja para mrp'!$A:$Z,26,0)</f>
        <v>#N/A</v>
      </c>
      <c r="V486" s="1" t="e">
        <f>VLOOKUP(data[[#This Row],[Material]],'[1]Hoja para mrp'!$A:$Z,25,0)</f>
        <v>#N/A</v>
      </c>
    </row>
    <row r="487" spans="2:22" x14ac:dyDescent="0.25">
      <c r="B487" s="4">
        <v>20024539</v>
      </c>
      <c r="C487" s="1" t="s">
        <v>399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 t="e">
        <f>VLOOKUP(data[[#This Row],[Material]],'[1]Hoja para mrp'!$A:$Z,26,0)</f>
        <v>#N/A</v>
      </c>
      <c r="V487" s="1" t="e">
        <f>VLOOKUP(data[[#This Row],[Material]],'[1]Hoja para mrp'!$A:$Z,25,0)</f>
        <v>#N/A</v>
      </c>
    </row>
    <row r="488" spans="2:22" x14ac:dyDescent="0.25">
      <c r="B488" s="4">
        <v>20024542</v>
      </c>
      <c r="C488" s="1" t="s">
        <v>400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 t="e">
        <f>VLOOKUP(data[[#This Row],[Material]],'[1]Hoja para mrp'!$A:$Z,26,0)</f>
        <v>#N/A</v>
      </c>
      <c r="V488" s="1" t="e">
        <f>VLOOKUP(data[[#This Row],[Material]],'[1]Hoja para mrp'!$A:$Z,25,0)</f>
        <v>#N/A</v>
      </c>
    </row>
    <row r="489" spans="2:22" x14ac:dyDescent="0.25">
      <c r="B489" s="4">
        <v>20024544</v>
      </c>
      <c r="C489" s="1" t="s">
        <v>401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 t="e">
        <f>VLOOKUP(data[[#This Row],[Material]],'[1]Hoja para mrp'!$A:$Z,26,0)</f>
        <v>#N/A</v>
      </c>
      <c r="V489" s="1" t="e">
        <f>VLOOKUP(data[[#This Row],[Material]],'[1]Hoja para mrp'!$A:$Z,25,0)</f>
        <v>#N/A</v>
      </c>
    </row>
    <row r="490" spans="2:22" x14ac:dyDescent="0.25">
      <c r="B490" s="4">
        <v>20024595</v>
      </c>
      <c r="C490" s="1" t="s">
        <v>402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 t="e">
        <f>VLOOKUP(data[[#This Row],[Material]],'[1]Hoja para mrp'!$A:$Z,26,0)</f>
        <v>#N/A</v>
      </c>
      <c r="V490" s="1" t="e">
        <f>VLOOKUP(data[[#This Row],[Material]],'[1]Hoja para mrp'!$A:$Z,25,0)</f>
        <v>#N/A</v>
      </c>
    </row>
    <row r="491" spans="2:22" x14ac:dyDescent="0.25">
      <c r="B491" s="4">
        <v>20024596</v>
      </c>
      <c r="C491" s="1" t="s">
        <v>403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12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s="4" t="s">
        <v>71</v>
      </c>
      <c r="U491" s="1" t="e">
        <f>VLOOKUP(data[[#This Row],[Material]],'[1]Hoja para mrp'!$A:$Z,26,0)</f>
        <v>#N/A</v>
      </c>
      <c r="V491" s="1" t="e">
        <f>VLOOKUP(data[[#This Row],[Material]],'[1]Hoja para mrp'!$A:$Z,25,0)</f>
        <v>#N/A</v>
      </c>
    </row>
    <row r="492" spans="2:22" x14ac:dyDescent="0.2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9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 t="e">
        <f>VLOOKUP(data[[#This Row],[Material]],'[1]Hoja para mrp'!$A:$Z,26,0)</f>
        <v>#N/A</v>
      </c>
      <c r="V492" s="1" t="e">
        <f>VLOOKUP(data[[#This Row],[Material]],'[1]Hoja para mrp'!$A:$Z,25,0)</f>
        <v>#N/A</v>
      </c>
    </row>
    <row r="493" spans="2:22" x14ac:dyDescent="0.2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 t="e">
        <f>VLOOKUP(data[[#This Row],[Material]],'[1]Hoja para mrp'!$A:$Z,26,0)</f>
        <v>#N/A</v>
      </c>
      <c r="V493" s="1" t="e">
        <f>VLOOKUP(data[[#This Row],[Material]],'[1]Hoja para mrp'!$A:$Z,25,0)</f>
        <v>#N/A</v>
      </c>
    </row>
    <row r="494" spans="2:22" x14ac:dyDescent="0.25">
      <c r="B494" s="4">
        <v>20024742</v>
      </c>
      <c r="C494" s="1" t="s">
        <v>404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 t="e">
        <f>VLOOKUP(data[[#This Row],[Material]],'[1]Hoja para mrp'!$A:$Z,26,0)</f>
        <v>#N/A</v>
      </c>
      <c r="V494" s="1" t="e">
        <f>VLOOKUP(data[[#This Row],[Material]],'[1]Hoja para mrp'!$A:$Z,25,0)</f>
        <v>#N/A</v>
      </c>
    </row>
    <row r="495" spans="2:22" x14ac:dyDescent="0.25">
      <c r="B495" s="4">
        <v>20024748</v>
      </c>
      <c r="C495" s="1" t="s">
        <v>405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 t="e">
        <f>VLOOKUP(data[[#This Row],[Material]],'[1]Hoja para mrp'!$A:$Z,26,0)</f>
        <v>#N/A</v>
      </c>
      <c r="V495" s="1" t="e">
        <f>VLOOKUP(data[[#This Row],[Material]],'[1]Hoja para mrp'!$A:$Z,25,0)</f>
        <v>#N/A</v>
      </c>
    </row>
    <row r="496" spans="2:22" x14ac:dyDescent="0.25">
      <c r="B496" s="4">
        <v>20024813</v>
      </c>
      <c r="C496" s="1" t="s">
        <v>406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 t="e">
        <f>VLOOKUP(data[[#This Row],[Material]],'[1]Hoja para mrp'!$A:$Z,26,0)</f>
        <v>#N/A</v>
      </c>
      <c r="V496" s="1" t="e">
        <f>VLOOKUP(data[[#This Row],[Material]],'[1]Hoja para mrp'!$A:$Z,25,0)</f>
        <v>#N/A</v>
      </c>
    </row>
    <row r="497" spans="2:23" x14ac:dyDescent="0.25">
      <c r="B497" s="4">
        <v>20024829</v>
      </c>
      <c r="C497" s="1" t="s">
        <v>407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65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 t="e">
        <f>VLOOKUP(data[[#This Row],[Material]],'[1]Hoja para mrp'!$A:$Z,26,0)</f>
        <v>#N/A</v>
      </c>
      <c r="V497" s="1" t="e">
        <f>VLOOKUP(data[[#This Row],[Material]],'[1]Hoja para mrp'!$A:$Z,25,0)</f>
        <v>#N/A</v>
      </c>
    </row>
    <row r="498" spans="2:23" x14ac:dyDescent="0.25">
      <c r="B498" s="4">
        <v>20024831</v>
      </c>
      <c r="C498" s="1" t="s">
        <v>408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35</v>
      </c>
      <c r="J498" s="4" t="s">
        <v>8</v>
      </c>
      <c r="K498" s="4" t="s">
        <v>7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 t="e">
        <f>VLOOKUP(data[[#This Row],[Material]],'[1]Hoja para mrp'!$A:$Z,26,0)</f>
        <v>#N/A</v>
      </c>
      <c r="V498" s="1" t="e">
        <f>VLOOKUP(data[[#This Row],[Material]],'[1]Hoja para mrp'!$A:$Z,25,0)</f>
        <v>#N/A</v>
      </c>
    </row>
    <row r="499" spans="2:23" x14ac:dyDescent="0.25">
      <c r="B499" s="4">
        <v>20024832</v>
      </c>
      <c r="C499" s="1" t="s">
        <v>409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 t="e">
        <f>VLOOKUP(data[[#This Row],[Material]],'[1]Hoja para mrp'!$A:$Z,26,0)</f>
        <v>#N/A</v>
      </c>
      <c r="V499" s="1" t="e">
        <f>VLOOKUP(data[[#This Row],[Material]],'[1]Hoja para mrp'!$A:$Z,25,0)</f>
        <v>#N/A</v>
      </c>
    </row>
    <row r="500" spans="2:23" x14ac:dyDescent="0.25">
      <c r="B500" s="4">
        <v>20024838</v>
      </c>
      <c r="C500" s="1" t="s">
        <v>410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5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73</v>
      </c>
      <c r="U500" s="1" t="e">
        <f>VLOOKUP(data[[#This Row],[Material]],'[1]Hoja para mrp'!$A:$Z,26,0)</f>
        <v>#N/A</v>
      </c>
      <c r="V500" s="1" t="e">
        <f>VLOOKUP(data[[#This Row],[Material]],'[1]Hoja para mrp'!$A:$Z,25,0)</f>
        <v>#N/A</v>
      </c>
    </row>
    <row r="501" spans="2:23" x14ac:dyDescent="0.25">
      <c r="B501" s="4">
        <v>20024847</v>
      </c>
      <c r="C501" s="1" t="s">
        <v>411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 t="e">
        <f>VLOOKUP(data[[#This Row],[Material]],'[1]Hoja para mrp'!$A:$Z,26,0)</f>
        <v>#N/A</v>
      </c>
      <c r="V501" s="1" t="e">
        <f>VLOOKUP(data[[#This Row],[Material]],'[1]Hoja para mrp'!$A:$Z,25,0)</f>
        <v>#N/A</v>
      </c>
    </row>
    <row r="502" spans="2:23" x14ac:dyDescent="0.25">
      <c r="B502" s="4">
        <v>20024848</v>
      </c>
      <c r="C502" s="1" t="s">
        <v>412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7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 t="e">
        <f>VLOOKUP(data[[#This Row],[Material]],'[1]Hoja para mrp'!$A:$Z,26,0)</f>
        <v>#N/A</v>
      </c>
      <c r="V502" s="1" t="e">
        <f>VLOOKUP(data[[#This Row],[Material]],'[1]Hoja para mrp'!$A:$Z,25,0)</f>
        <v>#N/A</v>
      </c>
    </row>
    <row r="503" spans="2:23" x14ac:dyDescent="0.25">
      <c r="B503" s="4">
        <v>20024849</v>
      </c>
      <c r="C503" s="1" t="s">
        <v>413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15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70</v>
      </c>
      <c r="U503" s="1" t="e">
        <f>VLOOKUP(data[[#This Row],[Material]],'[1]Hoja para mrp'!$A:$Z,26,0)</f>
        <v>#N/A</v>
      </c>
      <c r="V503" s="1" t="e">
        <f>VLOOKUP(data[[#This Row],[Material]],'[1]Hoja para mrp'!$A:$Z,25,0)</f>
        <v>#N/A</v>
      </c>
    </row>
    <row r="504" spans="2:23" x14ac:dyDescent="0.25">
      <c r="B504" s="4">
        <v>20024850</v>
      </c>
      <c r="C504" s="1" t="s">
        <v>414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7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1570</v>
      </c>
      <c r="Q504" s="22">
        <v>46108</v>
      </c>
      <c r="R504"/>
      <c r="S504" s="11"/>
      <c r="T504" s="4" t="s">
        <v>70</v>
      </c>
      <c r="U504" s="1" t="e">
        <f>VLOOKUP(data[[#This Row],[Material]],'[1]Hoja para mrp'!$A:$Z,26,0)</f>
        <v>#N/A</v>
      </c>
      <c r="V504" s="1" t="e">
        <f>VLOOKUP(data[[#This Row],[Material]],'[1]Hoja para mrp'!$A:$Z,25,0)</f>
        <v>#N/A</v>
      </c>
      <c r="W504" s="1" t="s">
        <v>1680</v>
      </c>
    </row>
    <row r="505" spans="2:23" x14ac:dyDescent="0.25">
      <c r="B505" s="4">
        <v>20024851</v>
      </c>
      <c r="C505" s="1" t="s">
        <v>415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4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 t="e">
        <f>VLOOKUP(data[[#This Row],[Material]],'[1]Hoja para mrp'!$A:$Z,26,0)</f>
        <v>#N/A</v>
      </c>
      <c r="V505" s="1" t="e">
        <f>VLOOKUP(data[[#This Row],[Material]],'[1]Hoja para mrp'!$A:$Z,25,0)</f>
        <v>#N/A</v>
      </c>
    </row>
    <row r="506" spans="2:23" x14ac:dyDescent="0.25">
      <c r="B506" s="4">
        <v>20024852</v>
      </c>
      <c r="C506" s="1" t="s">
        <v>416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8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70</v>
      </c>
      <c r="U506" s="1" t="e">
        <f>VLOOKUP(data[[#This Row],[Material]],'[1]Hoja para mrp'!$A:$Z,26,0)</f>
        <v>#N/A</v>
      </c>
      <c r="V506" s="1" t="e">
        <f>VLOOKUP(data[[#This Row],[Material]],'[1]Hoja para mrp'!$A:$Z,25,0)</f>
        <v>#N/A</v>
      </c>
    </row>
    <row r="507" spans="2:23" x14ac:dyDescent="0.25">
      <c r="B507" s="4">
        <v>20024955</v>
      </c>
      <c r="C507" s="1" t="s">
        <v>417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 t="e">
        <f>VLOOKUP(data[[#This Row],[Material]],'[1]Hoja para mrp'!$A:$Z,26,0)</f>
        <v>#N/A</v>
      </c>
      <c r="V507" s="1" t="e">
        <f>VLOOKUP(data[[#This Row],[Material]],'[1]Hoja para mrp'!$A:$Z,25,0)</f>
        <v>#N/A</v>
      </c>
    </row>
    <row r="508" spans="2:23" x14ac:dyDescent="0.25">
      <c r="B508" s="4">
        <v>20024957</v>
      </c>
      <c r="C508" s="1" t="s">
        <v>418</v>
      </c>
      <c r="D508" s="4" t="s">
        <v>89</v>
      </c>
      <c r="E508" s="3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 t="e">
        <f>VLOOKUP(data[[#This Row],[Material]],'[1]Hoja para mrp'!$A:$Z,26,0)</f>
        <v>#N/A</v>
      </c>
      <c r="V508" s="1" t="e">
        <f>VLOOKUP(data[[#This Row],[Material]],'[1]Hoja para mrp'!$A:$Z,25,0)</f>
        <v>#N/A</v>
      </c>
    </row>
    <row r="509" spans="2:23" x14ac:dyDescent="0.25">
      <c r="B509" s="4">
        <v>20024960</v>
      </c>
      <c r="C509" s="1" t="s">
        <v>419</v>
      </c>
      <c r="D509" s="4" t="s">
        <v>89</v>
      </c>
      <c r="E509" s="3"/>
      <c r="F509" s="3" t="s">
        <v>69</v>
      </c>
      <c r="G509" s="4">
        <v>1</v>
      </c>
      <c r="H509" s="4">
        <v>1</v>
      </c>
      <c r="I509" s="4">
        <v>0</v>
      </c>
      <c r="J509" s="4" t="s">
        <v>21</v>
      </c>
      <c r="K509" s="4" t="s">
        <v>13</v>
      </c>
      <c r="L509" s="11">
        <v>1002660972</v>
      </c>
      <c r="M509" s="3">
        <v>10</v>
      </c>
      <c r="N509"/>
      <c r="O509" s="4"/>
      <c r="P509" s="1"/>
      <c r="Q509" s="22"/>
      <c r="R509"/>
      <c r="S509" s="11" t="s">
        <v>1596</v>
      </c>
      <c r="T509" s="4" t="s">
        <v>70</v>
      </c>
      <c r="U509" s="1" t="e">
        <f>VLOOKUP(data[[#This Row],[Material]],'[1]Hoja para mrp'!$A:$Z,26,0)</f>
        <v>#N/A</v>
      </c>
      <c r="V509" s="1" t="e">
        <f>VLOOKUP(data[[#This Row],[Material]],'[1]Hoja para mrp'!$A:$Z,25,0)</f>
        <v>#N/A</v>
      </c>
    </row>
    <row r="510" spans="2:23" x14ac:dyDescent="0.25">
      <c r="B510" s="4">
        <v>20024961</v>
      </c>
      <c r="C510" s="1" t="s">
        <v>420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1659</v>
      </c>
      <c r="M510" s="3"/>
      <c r="N510"/>
      <c r="O510" s="4"/>
      <c r="P510" s="1"/>
      <c r="Q510" s="22"/>
      <c r="R510"/>
      <c r="S510" s="11" t="s">
        <v>1597</v>
      </c>
      <c r="T510" s="4" t="s">
        <v>70</v>
      </c>
      <c r="U510" s="1" t="e">
        <f>VLOOKUP(data[[#This Row],[Material]],'[1]Hoja para mrp'!$A:$Z,26,0)</f>
        <v>#N/A</v>
      </c>
      <c r="V510" s="1" t="e">
        <f>VLOOKUP(data[[#This Row],[Material]],'[1]Hoja para mrp'!$A:$Z,25,0)</f>
        <v>#N/A</v>
      </c>
    </row>
    <row r="511" spans="2:23" x14ac:dyDescent="0.25">
      <c r="B511" s="4">
        <v>20024962</v>
      </c>
      <c r="C511" s="1" t="s">
        <v>421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1659</v>
      </c>
      <c r="M511" s="3"/>
      <c r="N511"/>
      <c r="O511" s="4"/>
      <c r="P511" s="1"/>
      <c r="Q511" s="22"/>
      <c r="R511"/>
      <c r="S511" s="11" t="s">
        <v>1598</v>
      </c>
      <c r="T511" s="4" t="s">
        <v>70</v>
      </c>
      <c r="U511" s="1" t="e">
        <f>VLOOKUP(data[[#This Row],[Material]],'[1]Hoja para mrp'!$A:$Z,26,0)</f>
        <v>#N/A</v>
      </c>
      <c r="V511" s="1" t="e">
        <f>VLOOKUP(data[[#This Row],[Material]],'[1]Hoja para mrp'!$A:$Z,25,0)</f>
        <v>#N/A</v>
      </c>
    </row>
    <row r="512" spans="2:23" x14ac:dyDescent="0.25">
      <c r="B512" s="4">
        <v>20025047</v>
      </c>
      <c r="C512" s="1" t="s">
        <v>1500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6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 t="e">
        <f>VLOOKUP(data[[#This Row],[Material]],'[1]Hoja para mrp'!$A:$Z,26,0)</f>
        <v>#N/A</v>
      </c>
      <c r="V512" s="1" t="e">
        <f>VLOOKUP(data[[#This Row],[Material]],'[1]Hoja para mrp'!$A:$Z,25,0)</f>
        <v>#N/A</v>
      </c>
    </row>
    <row r="513" spans="2:22" x14ac:dyDescent="0.25">
      <c r="B513" s="4">
        <v>20025112</v>
      </c>
      <c r="C513" s="1" t="s">
        <v>422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 t="e">
        <f>VLOOKUP(data[[#This Row],[Material]],'[1]Hoja para mrp'!$A:$Z,26,0)</f>
        <v>#N/A</v>
      </c>
      <c r="V513" s="1" t="e">
        <f>VLOOKUP(data[[#This Row],[Material]],'[1]Hoja para mrp'!$A:$Z,25,0)</f>
        <v>#N/A</v>
      </c>
    </row>
    <row r="514" spans="2:22" x14ac:dyDescent="0.25">
      <c r="B514" s="4">
        <v>20025184</v>
      </c>
      <c r="C514" s="1" t="s">
        <v>423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 t="e">
        <f>VLOOKUP(data[[#This Row],[Material]],'[1]Hoja para mrp'!$A:$Z,26,0)</f>
        <v>#N/A</v>
      </c>
      <c r="V514" s="1" t="e">
        <f>VLOOKUP(data[[#This Row],[Material]],'[1]Hoja para mrp'!$A:$Z,25,0)</f>
        <v>#N/A</v>
      </c>
    </row>
    <row r="515" spans="2:22" x14ac:dyDescent="0.25">
      <c r="B515" s="4">
        <v>20025287</v>
      </c>
      <c r="C515" s="1" t="s">
        <v>1495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 t="e">
        <f>VLOOKUP(data[[#This Row],[Material]],'[1]Hoja para mrp'!$A:$Z,26,0)</f>
        <v>#N/A</v>
      </c>
      <c r="V515" s="1" t="e">
        <f>VLOOKUP(data[[#This Row],[Material]],'[1]Hoja para mrp'!$A:$Z,25,0)</f>
        <v>#N/A</v>
      </c>
    </row>
    <row r="516" spans="2:22" x14ac:dyDescent="0.25">
      <c r="B516" s="4">
        <v>20025289</v>
      </c>
      <c r="C516" s="1" t="s">
        <v>424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 t="e">
        <f>VLOOKUP(data[[#This Row],[Material]],'[1]Hoja para mrp'!$A:$Z,26,0)</f>
        <v>#N/A</v>
      </c>
      <c r="V516" s="1" t="e">
        <f>VLOOKUP(data[[#This Row],[Material]],'[1]Hoja para mrp'!$A:$Z,25,0)</f>
        <v>#N/A</v>
      </c>
    </row>
    <row r="517" spans="2:22" x14ac:dyDescent="0.25">
      <c r="B517" s="4">
        <v>20025290</v>
      </c>
      <c r="C517" s="1" t="s">
        <v>425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 t="e">
        <f>VLOOKUP(data[[#This Row],[Material]],'[1]Hoja para mrp'!$A:$Z,26,0)</f>
        <v>#N/A</v>
      </c>
      <c r="V517" s="1" t="e">
        <f>VLOOKUP(data[[#This Row],[Material]],'[1]Hoja para mrp'!$A:$Z,25,0)</f>
        <v>#N/A</v>
      </c>
    </row>
    <row r="518" spans="2:22" x14ac:dyDescent="0.25">
      <c r="B518" s="4">
        <v>20025291</v>
      </c>
      <c r="C518" s="1" t="s">
        <v>426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 t="e">
        <f>VLOOKUP(data[[#This Row],[Material]],'[1]Hoja para mrp'!$A:$Z,26,0)</f>
        <v>#N/A</v>
      </c>
      <c r="V518" s="1" t="e">
        <f>VLOOKUP(data[[#This Row],[Material]],'[1]Hoja para mrp'!$A:$Z,25,0)</f>
        <v>#N/A</v>
      </c>
    </row>
    <row r="519" spans="2:22" x14ac:dyDescent="0.25">
      <c r="B519" s="4">
        <v>20025461</v>
      </c>
      <c r="C519" s="1" t="s">
        <v>1402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>
        <v>4700161827</v>
      </c>
      <c r="O519" s="4">
        <v>3</v>
      </c>
      <c r="P519" s="1" t="s">
        <v>1643</v>
      </c>
      <c r="Q519" s="22">
        <v>46225</v>
      </c>
      <c r="R519"/>
      <c r="S519" s="11"/>
      <c r="T519" s="4" t="s">
        <v>73</v>
      </c>
      <c r="U519" s="1" t="e">
        <f>VLOOKUP(data[[#This Row],[Material]],'[1]Hoja para mrp'!$A:$Z,26,0)</f>
        <v>#N/A</v>
      </c>
      <c r="V519" s="1" t="e">
        <f>VLOOKUP(data[[#This Row],[Material]],'[1]Hoja para mrp'!$A:$Z,25,0)</f>
        <v>#N/A</v>
      </c>
    </row>
    <row r="520" spans="2:22" x14ac:dyDescent="0.25">
      <c r="B520" s="4">
        <v>20025463</v>
      </c>
      <c r="C520" s="1" t="s">
        <v>427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 t="e">
        <f>VLOOKUP(data[[#This Row],[Material]],'[1]Hoja para mrp'!$A:$Z,26,0)</f>
        <v>#N/A</v>
      </c>
      <c r="V520" s="1" t="e">
        <f>VLOOKUP(data[[#This Row],[Material]],'[1]Hoja para mrp'!$A:$Z,25,0)</f>
        <v>#N/A</v>
      </c>
    </row>
    <row r="521" spans="2:22" x14ac:dyDescent="0.25">
      <c r="B521" s="4">
        <v>20025466</v>
      </c>
      <c r="C521" s="1" t="s">
        <v>1488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35</v>
      </c>
      <c r="J521" s="4" t="s">
        <v>8</v>
      </c>
      <c r="K521" s="4" t="s">
        <v>7</v>
      </c>
      <c r="L521" s="11"/>
      <c r="M521" s="3"/>
      <c r="N521">
        <v>4502668628</v>
      </c>
      <c r="O521" s="4">
        <v>4</v>
      </c>
      <c r="P521" s="1" t="s">
        <v>1578</v>
      </c>
      <c r="Q521" s="22">
        <v>46185</v>
      </c>
      <c r="R521"/>
      <c r="S521" s="11"/>
      <c r="T521" s="4" t="s">
        <v>67</v>
      </c>
      <c r="U521" s="1" t="e">
        <f>VLOOKUP(data[[#This Row],[Material]],'[1]Hoja para mrp'!$A:$Z,26,0)</f>
        <v>#N/A</v>
      </c>
      <c r="V521" s="1" t="e">
        <f>VLOOKUP(data[[#This Row],[Material]],'[1]Hoja para mrp'!$A:$Z,25,0)</f>
        <v>#N/A</v>
      </c>
    </row>
    <row r="522" spans="2:22" x14ac:dyDescent="0.25">
      <c r="B522" s="4">
        <v>20025553</v>
      </c>
      <c r="C522" s="1" t="s">
        <v>1484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15</v>
      </c>
      <c r="J522" s="4" t="s">
        <v>8</v>
      </c>
      <c r="K522" s="4" t="s">
        <v>9</v>
      </c>
      <c r="L522" s="11">
        <v>1002660929</v>
      </c>
      <c r="M522" s="3">
        <v>20</v>
      </c>
      <c r="N522"/>
      <c r="O522" s="4"/>
      <c r="P522" s="1"/>
      <c r="Q522" s="22"/>
      <c r="R522"/>
      <c r="S522" s="11"/>
      <c r="T522" s="4" t="s">
        <v>66</v>
      </c>
      <c r="U522" s="1" t="e">
        <f>VLOOKUP(data[[#This Row],[Material]],'[1]Hoja para mrp'!$A:$Z,26,0)</f>
        <v>#N/A</v>
      </c>
      <c r="V522" s="1" t="e">
        <f>VLOOKUP(data[[#This Row],[Material]],'[1]Hoja para mrp'!$A:$Z,25,0)</f>
        <v>#N/A</v>
      </c>
    </row>
    <row r="523" spans="2:22" x14ac:dyDescent="0.25">
      <c r="B523" s="4">
        <v>20025554</v>
      </c>
      <c r="C523" s="1" t="s">
        <v>428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 t="e">
        <f>VLOOKUP(data[[#This Row],[Material]],'[1]Hoja para mrp'!$A:$Z,26,0)</f>
        <v>#N/A</v>
      </c>
      <c r="V523" s="1" t="e">
        <f>VLOOKUP(data[[#This Row],[Material]],'[1]Hoja para mrp'!$A:$Z,25,0)</f>
        <v>#N/A</v>
      </c>
    </row>
    <row r="524" spans="2:22" x14ac:dyDescent="0.25">
      <c r="B524" s="4">
        <v>20025559</v>
      </c>
      <c r="C524" s="1" t="s">
        <v>429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 t="e">
        <f>VLOOKUP(data[[#This Row],[Material]],'[1]Hoja para mrp'!$A:$Z,26,0)</f>
        <v>#N/A</v>
      </c>
      <c r="V524" s="1" t="e">
        <f>VLOOKUP(data[[#This Row],[Material]],'[1]Hoja para mrp'!$A:$Z,25,0)</f>
        <v>#N/A</v>
      </c>
    </row>
    <row r="525" spans="2:22" x14ac:dyDescent="0.25">
      <c r="B525" s="4">
        <v>20025560</v>
      </c>
      <c r="C525" s="1" t="s">
        <v>1345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27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66</v>
      </c>
      <c r="U525" s="1" t="e">
        <f>VLOOKUP(data[[#This Row],[Material]],'[1]Hoja para mrp'!$A:$Z,26,0)</f>
        <v>#N/A</v>
      </c>
      <c r="V525" s="1" t="e">
        <f>VLOOKUP(data[[#This Row],[Material]],'[1]Hoja para mrp'!$A:$Z,25,0)</f>
        <v>#N/A</v>
      </c>
    </row>
    <row r="526" spans="2:22" x14ac:dyDescent="0.25">
      <c r="B526" s="4">
        <v>20025561</v>
      </c>
      <c r="C526" s="1" t="s">
        <v>430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 t="e">
        <f>VLOOKUP(data[[#This Row],[Material]],'[1]Hoja para mrp'!$A:$Z,26,0)</f>
        <v>#N/A</v>
      </c>
      <c r="V526" s="1" t="e">
        <f>VLOOKUP(data[[#This Row],[Material]],'[1]Hoja para mrp'!$A:$Z,25,0)</f>
        <v>#N/A</v>
      </c>
    </row>
    <row r="527" spans="2:22" x14ac:dyDescent="0.25">
      <c r="B527" s="4">
        <v>20025566</v>
      </c>
      <c r="C527" s="1" t="s">
        <v>431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210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70</v>
      </c>
      <c r="U527" s="1" t="e">
        <f>VLOOKUP(data[[#This Row],[Material]],'[1]Hoja para mrp'!$A:$Z,26,0)</f>
        <v>#N/A</v>
      </c>
      <c r="V527" s="1" t="e">
        <f>VLOOKUP(data[[#This Row],[Material]],'[1]Hoja para mrp'!$A:$Z,25,0)</f>
        <v>#N/A</v>
      </c>
    </row>
    <row r="528" spans="2:22" x14ac:dyDescent="0.25">
      <c r="B528" s="4">
        <v>20025587</v>
      </c>
      <c r="C528" s="1" t="s">
        <v>432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 t="e">
        <f>VLOOKUP(data[[#This Row],[Material]],'[1]Hoja para mrp'!$A:$Z,26,0)</f>
        <v>#N/A</v>
      </c>
      <c r="V528" s="1" t="e">
        <f>VLOOKUP(data[[#This Row],[Material]],'[1]Hoja para mrp'!$A:$Z,25,0)</f>
        <v>#N/A</v>
      </c>
    </row>
    <row r="529" spans="2:22" x14ac:dyDescent="0.25">
      <c r="B529" s="4">
        <v>20025677</v>
      </c>
      <c r="C529" s="1" t="s">
        <v>433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1</v>
      </c>
      <c r="J529" s="4" t="s">
        <v>8</v>
      </c>
      <c r="K529" s="4" t="s">
        <v>9</v>
      </c>
      <c r="L529" s="11"/>
      <c r="M529" s="3"/>
      <c r="N529">
        <v>4502684575</v>
      </c>
      <c r="O529" s="4">
        <v>4</v>
      </c>
      <c r="P529" s="1" t="s">
        <v>1570</v>
      </c>
      <c r="Q529" s="22">
        <v>46198</v>
      </c>
      <c r="R529"/>
      <c r="S529" s="11"/>
      <c r="T529" s="4" t="s">
        <v>70</v>
      </c>
      <c r="U529" s="1" t="e">
        <f>VLOOKUP(data[[#This Row],[Material]],'[1]Hoja para mrp'!$A:$Z,26,0)</f>
        <v>#N/A</v>
      </c>
      <c r="V529" s="1" t="e">
        <f>VLOOKUP(data[[#This Row],[Material]],'[1]Hoja para mrp'!$A:$Z,25,0)</f>
        <v>#N/A</v>
      </c>
    </row>
    <row r="530" spans="2:22" x14ac:dyDescent="0.25">
      <c r="B530" s="4">
        <v>20025678</v>
      </c>
      <c r="C530" s="1" t="s">
        <v>434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 t="e">
        <f>VLOOKUP(data[[#This Row],[Material]],'[1]Hoja para mrp'!$A:$Z,26,0)</f>
        <v>#N/A</v>
      </c>
      <c r="V530" s="1" t="e">
        <f>VLOOKUP(data[[#This Row],[Material]],'[1]Hoja para mrp'!$A:$Z,25,0)</f>
        <v>#N/A</v>
      </c>
    </row>
    <row r="531" spans="2:22" x14ac:dyDescent="0.25">
      <c r="B531" s="4">
        <v>20025729</v>
      </c>
      <c r="C531" s="1" t="s">
        <v>435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12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71</v>
      </c>
      <c r="U531" s="1" t="e">
        <f>VLOOKUP(data[[#This Row],[Material]],'[1]Hoja para mrp'!$A:$Z,26,0)</f>
        <v>#N/A</v>
      </c>
      <c r="V531" s="1" t="e">
        <f>VLOOKUP(data[[#This Row],[Material]],'[1]Hoja para mrp'!$A:$Z,25,0)</f>
        <v>#N/A</v>
      </c>
    </row>
    <row r="532" spans="2:22" x14ac:dyDescent="0.25">
      <c r="B532" s="4">
        <v>20025731</v>
      </c>
      <c r="C532" s="1" t="s">
        <v>436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 t="e">
        <f>VLOOKUP(data[[#This Row],[Material]],'[1]Hoja para mrp'!$A:$Z,26,0)</f>
        <v>#N/A</v>
      </c>
      <c r="V532" s="1" t="e">
        <f>VLOOKUP(data[[#This Row],[Material]],'[1]Hoja para mrp'!$A:$Z,25,0)</f>
        <v>#N/A</v>
      </c>
    </row>
    <row r="533" spans="2:22" x14ac:dyDescent="0.25">
      <c r="B533" s="4">
        <v>20025732</v>
      </c>
      <c r="C533" s="1" t="s">
        <v>437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 t="e">
        <f>VLOOKUP(data[[#This Row],[Material]],'[1]Hoja para mrp'!$A:$Z,26,0)</f>
        <v>#N/A</v>
      </c>
      <c r="V533" s="1" t="e">
        <f>VLOOKUP(data[[#This Row],[Material]],'[1]Hoja para mrp'!$A:$Z,25,0)</f>
        <v>#N/A</v>
      </c>
    </row>
    <row r="534" spans="2:22" x14ac:dyDescent="0.25">
      <c r="B534" s="4">
        <v>20025733</v>
      </c>
      <c r="C534" s="1" t="s">
        <v>438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 t="e">
        <f>VLOOKUP(data[[#This Row],[Material]],'[1]Hoja para mrp'!$A:$Z,26,0)</f>
        <v>#N/A</v>
      </c>
      <c r="V534" s="1" t="e">
        <f>VLOOKUP(data[[#This Row],[Material]],'[1]Hoja para mrp'!$A:$Z,25,0)</f>
        <v>#N/A</v>
      </c>
    </row>
    <row r="535" spans="2:22" x14ac:dyDescent="0.25">
      <c r="B535" s="4">
        <v>20025734</v>
      </c>
      <c r="C535" s="1" t="s">
        <v>439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 t="e">
        <f>VLOOKUP(data[[#This Row],[Material]],'[1]Hoja para mrp'!$A:$Z,26,0)</f>
        <v>#N/A</v>
      </c>
      <c r="V535" s="1" t="e">
        <f>VLOOKUP(data[[#This Row],[Material]],'[1]Hoja para mrp'!$A:$Z,25,0)</f>
        <v>#N/A</v>
      </c>
    </row>
    <row r="536" spans="2:22" x14ac:dyDescent="0.25">
      <c r="B536" s="4">
        <v>20025736</v>
      </c>
      <c r="C536" s="1" t="s">
        <v>440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 t="e">
        <f>VLOOKUP(data[[#This Row],[Material]],'[1]Hoja para mrp'!$A:$Z,26,0)</f>
        <v>#N/A</v>
      </c>
      <c r="V536" s="1" t="e">
        <f>VLOOKUP(data[[#This Row],[Material]],'[1]Hoja para mrp'!$A:$Z,25,0)</f>
        <v>#N/A</v>
      </c>
    </row>
    <row r="537" spans="2:22" x14ac:dyDescent="0.25">
      <c r="B537" s="4">
        <v>20025747</v>
      </c>
      <c r="C537" s="1" t="s">
        <v>441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 t="e">
        <f>VLOOKUP(data[[#This Row],[Material]],'[1]Hoja para mrp'!$A:$Z,26,0)</f>
        <v>#N/A</v>
      </c>
      <c r="V537" s="1" t="e">
        <f>VLOOKUP(data[[#This Row],[Material]],'[1]Hoja para mrp'!$A:$Z,25,0)</f>
        <v>#N/A</v>
      </c>
    </row>
    <row r="538" spans="2:22" x14ac:dyDescent="0.25">
      <c r="B538" s="4">
        <v>20025795</v>
      </c>
      <c r="C538" s="1" t="s">
        <v>442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 t="e">
        <f>VLOOKUP(data[[#This Row],[Material]],'[1]Hoja para mrp'!$A:$Z,26,0)</f>
        <v>#N/A</v>
      </c>
      <c r="V538" s="1" t="e">
        <f>VLOOKUP(data[[#This Row],[Material]],'[1]Hoja para mrp'!$A:$Z,25,0)</f>
        <v>#N/A</v>
      </c>
    </row>
    <row r="539" spans="2:22" x14ac:dyDescent="0.25">
      <c r="B539" s="4">
        <v>20025796</v>
      </c>
      <c r="C539" s="1" t="s">
        <v>1063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 t="e">
        <f>VLOOKUP(data[[#This Row],[Material]],'[1]Hoja para mrp'!$A:$Z,26,0)</f>
        <v>#N/A</v>
      </c>
      <c r="V539" s="1" t="e">
        <f>VLOOKUP(data[[#This Row],[Material]],'[1]Hoja para mrp'!$A:$Z,25,0)</f>
        <v>#N/A</v>
      </c>
    </row>
    <row r="540" spans="2:22" x14ac:dyDescent="0.25">
      <c r="B540" s="4">
        <v>20025799</v>
      </c>
      <c r="C540" s="1" t="s">
        <v>443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41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66</v>
      </c>
      <c r="U540" s="1" t="e">
        <f>VLOOKUP(data[[#This Row],[Material]],'[1]Hoja para mrp'!$A:$Z,26,0)</f>
        <v>#N/A</v>
      </c>
      <c r="V540" s="1" t="e">
        <f>VLOOKUP(data[[#This Row],[Material]],'[1]Hoja para mrp'!$A:$Z,25,0)</f>
        <v>#N/A</v>
      </c>
    </row>
    <row r="541" spans="2:22" x14ac:dyDescent="0.25">
      <c r="B541" s="4">
        <v>20025815</v>
      </c>
      <c r="C541" s="1" t="s">
        <v>444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1599</v>
      </c>
      <c r="T541" s="4" t="s">
        <v>70</v>
      </c>
      <c r="U541" s="1" t="e">
        <f>VLOOKUP(data[[#This Row],[Material]],'[1]Hoja para mrp'!$A:$Z,26,0)</f>
        <v>#N/A</v>
      </c>
      <c r="V541" s="1" t="e">
        <f>VLOOKUP(data[[#This Row],[Material]],'[1]Hoja para mrp'!$A:$Z,25,0)</f>
        <v>#N/A</v>
      </c>
    </row>
    <row r="542" spans="2:22" x14ac:dyDescent="0.25">
      <c r="B542" s="4">
        <v>20025842</v>
      </c>
      <c r="C542" s="1" t="s">
        <v>1277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 t="e">
        <f>VLOOKUP(data[[#This Row],[Material]],'[1]Hoja para mrp'!$A:$Z,26,0)</f>
        <v>#N/A</v>
      </c>
      <c r="V542" s="1" t="e">
        <f>VLOOKUP(data[[#This Row],[Material]],'[1]Hoja para mrp'!$A:$Z,25,0)</f>
        <v>#N/A</v>
      </c>
    </row>
    <row r="543" spans="2:22" x14ac:dyDescent="0.25">
      <c r="B543" s="4">
        <v>20025867</v>
      </c>
      <c r="C543" s="1" t="s">
        <v>445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72</v>
      </c>
      <c r="J543" s="4" t="s">
        <v>24</v>
      </c>
      <c r="K543" s="4" t="s">
        <v>9</v>
      </c>
      <c r="L543" s="11">
        <v>1002660930</v>
      </c>
      <c r="M543" s="3">
        <v>108</v>
      </c>
      <c r="N543"/>
      <c r="O543" s="4"/>
      <c r="P543" s="1"/>
      <c r="Q543" s="22"/>
      <c r="R543"/>
      <c r="S543" s="11"/>
      <c r="T543" s="4" t="s">
        <v>73</v>
      </c>
      <c r="U543" s="1" t="e">
        <f>VLOOKUP(data[[#This Row],[Material]],'[1]Hoja para mrp'!$A:$Z,26,0)</f>
        <v>#N/A</v>
      </c>
      <c r="V543" s="1" t="e">
        <f>VLOOKUP(data[[#This Row],[Material]],'[1]Hoja para mrp'!$A:$Z,25,0)</f>
        <v>#N/A</v>
      </c>
    </row>
    <row r="544" spans="2:22" x14ac:dyDescent="0.25">
      <c r="B544" s="4">
        <v>20025912</v>
      </c>
      <c r="C544" s="1" t="s">
        <v>446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 t="e">
        <f>VLOOKUP(data[[#This Row],[Material]],'[1]Hoja para mrp'!$A:$Z,26,0)</f>
        <v>#N/A</v>
      </c>
      <c r="V544" s="1" t="e">
        <f>VLOOKUP(data[[#This Row],[Material]],'[1]Hoja para mrp'!$A:$Z,25,0)</f>
        <v>#N/A</v>
      </c>
    </row>
    <row r="545" spans="2:22" x14ac:dyDescent="0.25">
      <c r="B545" s="4">
        <v>20025916</v>
      </c>
      <c r="C545" s="1" t="s">
        <v>447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1660</v>
      </c>
      <c r="M545" s="3"/>
      <c r="N545"/>
      <c r="O545" s="4"/>
      <c r="P545" s="1"/>
      <c r="Q545" s="22"/>
      <c r="R545"/>
      <c r="S545" s="11" t="s">
        <v>1600</v>
      </c>
      <c r="T545" s="4" t="s">
        <v>71</v>
      </c>
      <c r="U545" s="1" t="e">
        <f>VLOOKUP(data[[#This Row],[Material]],'[1]Hoja para mrp'!$A:$Z,26,0)</f>
        <v>#N/A</v>
      </c>
      <c r="V545" s="1" t="e">
        <f>VLOOKUP(data[[#This Row],[Material]],'[1]Hoja para mrp'!$A:$Z,25,0)</f>
        <v>#N/A</v>
      </c>
    </row>
    <row r="546" spans="2:22" x14ac:dyDescent="0.25">
      <c r="B546" s="4">
        <v>20025973</v>
      </c>
      <c r="C546" s="1" t="s">
        <v>448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87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70</v>
      </c>
      <c r="U546" s="1" t="e">
        <f>VLOOKUP(data[[#This Row],[Material]],'[1]Hoja para mrp'!$A:$Z,26,0)</f>
        <v>#N/A</v>
      </c>
      <c r="V546" s="1" t="e">
        <f>VLOOKUP(data[[#This Row],[Material]],'[1]Hoja para mrp'!$A:$Z,25,0)</f>
        <v>#N/A</v>
      </c>
    </row>
    <row r="547" spans="2:22" x14ac:dyDescent="0.25">
      <c r="B547" s="4">
        <v>20025975</v>
      </c>
      <c r="C547" s="1" t="s">
        <v>449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 t="e">
        <f>VLOOKUP(data[[#This Row],[Material]],'[1]Hoja para mrp'!$A:$Z,26,0)</f>
        <v>#N/A</v>
      </c>
      <c r="V547" s="1" t="e">
        <f>VLOOKUP(data[[#This Row],[Material]],'[1]Hoja para mrp'!$A:$Z,25,0)</f>
        <v>#N/A</v>
      </c>
    </row>
    <row r="548" spans="2:22" x14ac:dyDescent="0.25">
      <c r="B548" s="4">
        <v>20026017</v>
      </c>
      <c r="C548" s="1" t="s">
        <v>1254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 t="e">
        <f>VLOOKUP(data[[#This Row],[Material]],'[1]Hoja para mrp'!$A:$Z,26,0)</f>
        <v>#N/A</v>
      </c>
      <c r="V548" s="1" t="e">
        <f>VLOOKUP(data[[#This Row],[Material]],'[1]Hoja para mrp'!$A:$Z,25,0)</f>
        <v>#N/A</v>
      </c>
    </row>
    <row r="549" spans="2:22" x14ac:dyDescent="0.25">
      <c r="B549" s="4">
        <v>20026030</v>
      </c>
      <c r="C549" s="1" t="s">
        <v>1554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 t="e">
        <f>VLOOKUP(data[[#This Row],[Material]],'[1]Hoja para mrp'!$A:$Z,26,0)</f>
        <v>#N/A</v>
      </c>
      <c r="V549" s="1" t="e">
        <f>VLOOKUP(data[[#This Row],[Material]],'[1]Hoja para mrp'!$A:$Z,25,0)</f>
        <v>#N/A</v>
      </c>
    </row>
    <row r="550" spans="2:22" x14ac:dyDescent="0.25">
      <c r="B550" s="4">
        <v>20026037</v>
      </c>
      <c r="C550" s="1" t="s">
        <v>450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 t="e">
        <f>VLOOKUP(data[[#This Row],[Material]],'[1]Hoja para mrp'!$A:$Z,26,0)</f>
        <v>#N/A</v>
      </c>
      <c r="V550" s="1" t="e">
        <f>VLOOKUP(data[[#This Row],[Material]],'[1]Hoja para mrp'!$A:$Z,25,0)</f>
        <v>#N/A</v>
      </c>
    </row>
    <row r="551" spans="2:22" x14ac:dyDescent="0.25">
      <c r="B551" s="4">
        <v>20026038</v>
      </c>
      <c r="C551" s="1" t="s">
        <v>451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 t="e">
        <f>VLOOKUP(data[[#This Row],[Material]],'[1]Hoja para mrp'!$A:$Z,26,0)</f>
        <v>#N/A</v>
      </c>
      <c r="V551" s="1" t="e">
        <f>VLOOKUP(data[[#This Row],[Material]],'[1]Hoja para mrp'!$A:$Z,25,0)</f>
        <v>#N/A</v>
      </c>
    </row>
    <row r="552" spans="2:22" x14ac:dyDescent="0.25">
      <c r="B552" s="4">
        <v>20026040</v>
      </c>
      <c r="C552" s="1" t="s">
        <v>452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 t="e">
        <f>VLOOKUP(data[[#This Row],[Material]],'[1]Hoja para mrp'!$A:$Z,26,0)</f>
        <v>#N/A</v>
      </c>
      <c r="V552" s="1" t="e">
        <f>VLOOKUP(data[[#This Row],[Material]],'[1]Hoja para mrp'!$A:$Z,25,0)</f>
        <v>#N/A</v>
      </c>
    </row>
    <row r="553" spans="2:22" x14ac:dyDescent="0.25">
      <c r="B553" s="4">
        <v>20026046</v>
      </c>
      <c r="C553" s="1" t="s">
        <v>453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 t="e">
        <f>VLOOKUP(data[[#This Row],[Material]],'[1]Hoja para mrp'!$A:$Z,26,0)</f>
        <v>#N/A</v>
      </c>
      <c r="V553" s="1" t="e">
        <f>VLOOKUP(data[[#This Row],[Material]],'[1]Hoja para mrp'!$A:$Z,25,0)</f>
        <v>#N/A</v>
      </c>
    </row>
    <row r="554" spans="2:22" x14ac:dyDescent="0.25">
      <c r="B554" s="4">
        <v>20026108</v>
      </c>
      <c r="C554" s="1" t="s">
        <v>454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 t="e">
        <f>VLOOKUP(data[[#This Row],[Material]],'[1]Hoja para mrp'!$A:$Z,26,0)</f>
        <v>#N/A</v>
      </c>
      <c r="V554" s="1" t="e">
        <f>VLOOKUP(data[[#This Row],[Material]],'[1]Hoja para mrp'!$A:$Z,25,0)</f>
        <v>#N/A</v>
      </c>
    </row>
    <row r="555" spans="2:22" x14ac:dyDescent="0.25">
      <c r="B555" s="4">
        <v>20026114</v>
      </c>
      <c r="C555" s="1" t="s">
        <v>455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 t="e">
        <f>VLOOKUP(data[[#This Row],[Material]],'[1]Hoja para mrp'!$A:$Z,26,0)</f>
        <v>#N/A</v>
      </c>
      <c r="V555" s="1" t="e">
        <f>VLOOKUP(data[[#This Row],[Material]],'[1]Hoja para mrp'!$A:$Z,25,0)</f>
        <v>#N/A</v>
      </c>
    </row>
    <row r="556" spans="2:22" x14ac:dyDescent="0.25">
      <c r="B556" s="4">
        <v>20026187</v>
      </c>
      <c r="C556" s="1" t="s">
        <v>456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 t="e">
        <f>VLOOKUP(data[[#This Row],[Material]],'[1]Hoja para mrp'!$A:$Z,26,0)</f>
        <v>#N/A</v>
      </c>
      <c r="V556" s="1" t="e">
        <f>VLOOKUP(data[[#This Row],[Material]],'[1]Hoja para mrp'!$A:$Z,25,0)</f>
        <v>#N/A</v>
      </c>
    </row>
    <row r="557" spans="2:22" x14ac:dyDescent="0.25">
      <c r="B557" s="4">
        <v>20026188</v>
      </c>
      <c r="C557" s="1" t="s">
        <v>457</v>
      </c>
      <c r="D557" s="4" t="s">
        <v>89</v>
      </c>
      <c r="E557" s="3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 t="e">
        <f>VLOOKUP(data[[#This Row],[Material]],'[1]Hoja para mrp'!$A:$Z,26,0)</f>
        <v>#N/A</v>
      </c>
      <c r="V557" s="1" t="e">
        <f>VLOOKUP(data[[#This Row],[Material]],'[1]Hoja para mrp'!$A:$Z,25,0)</f>
        <v>#N/A</v>
      </c>
    </row>
    <row r="558" spans="2:22" x14ac:dyDescent="0.25">
      <c r="B558" s="4">
        <v>20026192</v>
      </c>
      <c r="C558" s="1" t="s">
        <v>458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1400</v>
      </c>
      <c r="J558" s="4" t="s">
        <v>8</v>
      </c>
      <c r="K558" s="4" t="s">
        <v>7</v>
      </c>
      <c r="L558" s="11">
        <v>1002631417</v>
      </c>
      <c r="M558" s="3">
        <v>1400</v>
      </c>
      <c r="N558"/>
      <c r="O558" s="4"/>
      <c r="P558" s="1"/>
      <c r="Q558" s="22"/>
      <c r="R558"/>
      <c r="S558" s="11"/>
      <c r="T558" s="4" t="s">
        <v>70</v>
      </c>
      <c r="U558" s="1" t="e">
        <f>VLOOKUP(data[[#This Row],[Material]],'[1]Hoja para mrp'!$A:$Z,26,0)</f>
        <v>#N/A</v>
      </c>
      <c r="V558" s="1" t="e">
        <f>VLOOKUP(data[[#This Row],[Material]],'[1]Hoja para mrp'!$A:$Z,25,0)</f>
        <v>#N/A</v>
      </c>
    </row>
    <row r="559" spans="2:22" x14ac:dyDescent="0.25">
      <c r="B559" s="4">
        <v>20026193</v>
      </c>
      <c r="C559" s="1" t="s">
        <v>459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400</v>
      </c>
      <c r="J559" s="4" t="s">
        <v>8</v>
      </c>
      <c r="K559" s="4" t="s">
        <v>9</v>
      </c>
      <c r="L559" s="11">
        <v>1002660928</v>
      </c>
      <c r="M559" s="3">
        <v>2000</v>
      </c>
      <c r="N559"/>
      <c r="O559" s="4"/>
      <c r="P559" s="1"/>
      <c r="Q559" s="22"/>
      <c r="R559"/>
      <c r="S559" s="11"/>
      <c r="T559" s="4" t="s">
        <v>70</v>
      </c>
      <c r="U559" s="1" t="e">
        <f>VLOOKUP(data[[#This Row],[Material]],'[1]Hoja para mrp'!$A:$Z,26,0)</f>
        <v>#N/A</v>
      </c>
      <c r="V559" s="1" t="e">
        <f>VLOOKUP(data[[#This Row],[Material]],'[1]Hoja para mrp'!$A:$Z,25,0)</f>
        <v>#N/A</v>
      </c>
    </row>
    <row r="560" spans="2:22" x14ac:dyDescent="0.25">
      <c r="B560" s="4">
        <v>20026194</v>
      </c>
      <c r="C560" s="1" t="s">
        <v>460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1400</v>
      </c>
      <c r="J560" s="4" t="s">
        <v>8</v>
      </c>
      <c r="K560" s="4" t="s">
        <v>7</v>
      </c>
      <c r="L560" s="11">
        <v>1002637279</v>
      </c>
      <c r="M560" s="3">
        <v>2000</v>
      </c>
      <c r="N560"/>
      <c r="O560" s="4"/>
      <c r="P560" s="1"/>
      <c r="Q560" s="22"/>
      <c r="R560"/>
      <c r="S560" s="11"/>
      <c r="T560" s="4" t="s">
        <v>70</v>
      </c>
      <c r="U560" s="1" t="e">
        <f>VLOOKUP(data[[#This Row],[Material]],'[1]Hoja para mrp'!$A:$Z,26,0)</f>
        <v>#N/A</v>
      </c>
      <c r="V560" s="1" t="e">
        <f>VLOOKUP(data[[#This Row],[Material]],'[1]Hoja para mrp'!$A:$Z,25,0)</f>
        <v>#N/A</v>
      </c>
    </row>
    <row r="561" spans="2:22" x14ac:dyDescent="0.25">
      <c r="B561" s="4">
        <v>20026200</v>
      </c>
      <c r="C561" s="1" t="s">
        <v>461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 t="e">
        <f>VLOOKUP(data[[#This Row],[Material]],'[1]Hoja para mrp'!$A:$Z,26,0)</f>
        <v>#N/A</v>
      </c>
      <c r="V561" s="1" t="e">
        <f>VLOOKUP(data[[#This Row],[Material]],'[1]Hoja para mrp'!$A:$Z,25,0)</f>
        <v>#N/A</v>
      </c>
    </row>
    <row r="562" spans="2:22" x14ac:dyDescent="0.25">
      <c r="B562" s="4">
        <v>20026202</v>
      </c>
      <c r="C562" s="1" t="s">
        <v>1216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30000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 t="s">
        <v>1632</v>
      </c>
      <c r="T562" s="4" t="s">
        <v>71</v>
      </c>
      <c r="U562" s="1" t="e">
        <f>VLOOKUP(data[[#This Row],[Material]],'[1]Hoja para mrp'!$A:$Z,26,0)</f>
        <v>#N/A</v>
      </c>
      <c r="V562" s="1" t="e">
        <f>VLOOKUP(data[[#This Row],[Material]],'[1]Hoja para mrp'!$A:$Z,25,0)</f>
        <v>#N/A</v>
      </c>
    </row>
    <row r="563" spans="2:22" x14ac:dyDescent="0.25">
      <c r="B563" s="4">
        <v>20026346</v>
      </c>
      <c r="C563" s="1" t="s">
        <v>462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4</v>
      </c>
      <c r="J563" s="4" t="s">
        <v>8</v>
      </c>
      <c r="K563" s="5" t="s">
        <v>9</v>
      </c>
      <c r="L563" s="11"/>
      <c r="M563" s="3"/>
      <c r="N563">
        <v>4502679143</v>
      </c>
      <c r="O563" s="4">
        <v>6</v>
      </c>
      <c r="P563" s="1" t="s">
        <v>1584</v>
      </c>
      <c r="Q563" s="22">
        <v>46195</v>
      </c>
      <c r="R563"/>
      <c r="S563" s="11"/>
      <c r="T563" s="4" t="s">
        <v>68</v>
      </c>
      <c r="U563" s="1" t="e">
        <f>VLOOKUP(data[[#This Row],[Material]],'[1]Hoja para mrp'!$A:$Z,26,0)</f>
        <v>#N/A</v>
      </c>
      <c r="V563" s="1" t="e">
        <f>VLOOKUP(data[[#This Row],[Material]],'[1]Hoja para mrp'!$A:$Z,25,0)</f>
        <v>#N/A</v>
      </c>
    </row>
    <row r="564" spans="2:22" x14ac:dyDescent="0.25">
      <c r="B564" s="4">
        <v>20026364</v>
      </c>
      <c r="C564" s="1" t="s">
        <v>463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5" t="s">
        <v>7</v>
      </c>
      <c r="L564" s="11"/>
      <c r="M564" s="3"/>
      <c r="N564">
        <v>4502681822</v>
      </c>
      <c r="O564" s="4">
        <v>2</v>
      </c>
      <c r="P564" s="1" t="s">
        <v>1584</v>
      </c>
      <c r="Q564" s="22">
        <v>46241</v>
      </c>
      <c r="R564"/>
      <c r="S564" s="11"/>
      <c r="T564" s="4" t="s">
        <v>68</v>
      </c>
      <c r="U564" s="1" t="e">
        <f>VLOOKUP(data[[#This Row],[Material]],'[1]Hoja para mrp'!$A:$Z,26,0)</f>
        <v>#N/A</v>
      </c>
      <c r="V564" s="1" t="e">
        <f>VLOOKUP(data[[#This Row],[Material]],'[1]Hoja para mrp'!$A:$Z,25,0)</f>
        <v>#N/A</v>
      </c>
    </row>
    <row r="565" spans="2:22" x14ac:dyDescent="0.25">
      <c r="B565" s="4">
        <v>20026390</v>
      </c>
      <c r="C565" s="1" t="s">
        <v>1555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5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 t="e">
        <f>VLOOKUP(data[[#This Row],[Material]],'[1]Hoja para mrp'!$A:$Z,26,0)</f>
        <v>#N/A</v>
      </c>
      <c r="V565" s="1" t="e">
        <f>VLOOKUP(data[[#This Row],[Material]],'[1]Hoja para mrp'!$A:$Z,25,0)</f>
        <v>#N/A</v>
      </c>
    </row>
    <row r="566" spans="2:22" x14ac:dyDescent="0.25">
      <c r="B566" s="4">
        <v>20026392</v>
      </c>
      <c r="C566" s="1" t="s">
        <v>464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5" t="s">
        <v>13</v>
      </c>
      <c r="L566" s="11">
        <v>1002637281</v>
      </c>
      <c r="M566" s="3">
        <v>2</v>
      </c>
      <c r="N566"/>
      <c r="O566" s="4"/>
      <c r="P566" s="1"/>
      <c r="Q566" s="22"/>
      <c r="R566"/>
      <c r="S566" s="11"/>
      <c r="T566" s="4" t="s">
        <v>73</v>
      </c>
      <c r="U566" s="1" t="e">
        <f>VLOOKUP(data[[#This Row],[Material]],'[1]Hoja para mrp'!$A:$Z,26,0)</f>
        <v>#N/A</v>
      </c>
      <c r="V566" s="1" t="e">
        <f>VLOOKUP(data[[#This Row],[Material]],'[1]Hoja para mrp'!$A:$Z,25,0)</f>
        <v>#N/A</v>
      </c>
    </row>
    <row r="567" spans="2:22" x14ac:dyDescent="0.2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 t="e">
        <f>VLOOKUP(data[[#This Row],[Material]],'[1]Hoja para mrp'!$A:$Z,26,0)</f>
        <v>#N/A</v>
      </c>
      <c r="V567" s="1" t="e">
        <f>VLOOKUP(data[[#This Row],[Material]],'[1]Hoja para mrp'!$A:$Z,25,0)</f>
        <v>#N/A</v>
      </c>
    </row>
    <row r="568" spans="2:22" x14ac:dyDescent="0.25">
      <c r="B568" s="4">
        <v>20026432</v>
      </c>
      <c r="C568" s="1" t="s">
        <v>465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 t="e">
        <f>VLOOKUP(data[[#This Row],[Material]],'[1]Hoja para mrp'!$A:$Z,26,0)</f>
        <v>#N/A</v>
      </c>
      <c r="V568" s="1" t="e">
        <f>VLOOKUP(data[[#This Row],[Material]],'[1]Hoja para mrp'!$A:$Z,25,0)</f>
        <v>#N/A</v>
      </c>
    </row>
    <row r="569" spans="2:22" x14ac:dyDescent="0.25">
      <c r="B569" s="4">
        <v>20026433</v>
      </c>
      <c r="C569" s="1" t="s">
        <v>466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>
        <v>4502676716</v>
      </c>
      <c r="O569" s="4">
        <v>2</v>
      </c>
      <c r="P569" s="1" t="s">
        <v>1637</v>
      </c>
      <c r="Q569" s="22">
        <v>46183</v>
      </c>
      <c r="R569"/>
      <c r="S569" s="11"/>
      <c r="T569" s="4" t="s">
        <v>73</v>
      </c>
      <c r="U569" s="1" t="e">
        <f>VLOOKUP(data[[#This Row],[Material]],'[1]Hoja para mrp'!$A:$Z,26,0)</f>
        <v>#N/A</v>
      </c>
      <c r="V569" s="1" t="e">
        <f>VLOOKUP(data[[#This Row],[Material]],'[1]Hoja para mrp'!$A:$Z,25,0)</f>
        <v>#N/A</v>
      </c>
    </row>
    <row r="570" spans="2:22" x14ac:dyDescent="0.25">
      <c r="B570" s="4">
        <v>20026501</v>
      </c>
      <c r="C570" s="1" t="s">
        <v>467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5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 t="e">
        <f>VLOOKUP(data[[#This Row],[Material]],'[1]Hoja para mrp'!$A:$Z,26,0)</f>
        <v>#N/A</v>
      </c>
      <c r="V570" s="1" t="e">
        <f>VLOOKUP(data[[#This Row],[Material]],'[1]Hoja para mrp'!$A:$Z,25,0)</f>
        <v>#N/A</v>
      </c>
    </row>
    <row r="571" spans="2:22" x14ac:dyDescent="0.25">
      <c r="B571" s="4">
        <v>20026502</v>
      </c>
      <c r="C571" s="1" t="s">
        <v>1393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2</v>
      </c>
      <c r="J571" s="4" t="s">
        <v>8</v>
      </c>
      <c r="K571" s="4" t="s">
        <v>9</v>
      </c>
      <c r="L571" s="11" t="s">
        <v>1666</v>
      </c>
      <c r="M571" s="3">
        <v>3</v>
      </c>
      <c r="N571"/>
      <c r="O571" s="4"/>
      <c r="P571" s="1"/>
      <c r="Q571" s="22"/>
      <c r="R571"/>
      <c r="S571" s="11"/>
      <c r="T571" s="4" t="s">
        <v>73</v>
      </c>
      <c r="U571" s="1" t="e">
        <f>VLOOKUP(data[[#This Row],[Material]],'[1]Hoja para mrp'!$A:$Z,26,0)</f>
        <v>#N/A</v>
      </c>
      <c r="V571" s="1" t="e">
        <f>VLOOKUP(data[[#This Row],[Material]],'[1]Hoja para mrp'!$A:$Z,25,0)</f>
        <v>#N/A</v>
      </c>
    </row>
    <row r="572" spans="2:22" x14ac:dyDescent="0.25">
      <c r="B572" s="4">
        <v>20026503</v>
      </c>
      <c r="C572" s="1" t="s">
        <v>468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0</v>
      </c>
      <c r="J572" s="4" t="s">
        <v>8</v>
      </c>
      <c r="K572" s="4" t="s">
        <v>13</v>
      </c>
      <c r="L572" s="11" t="s">
        <v>1666</v>
      </c>
      <c r="M572" s="3">
        <v>4</v>
      </c>
      <c r="N572"/>
      <c r="O572" s="4"/>
      <c r="P572" s="1"/>
      <c r="Q572" s="22"/>
      <c r="R572"/>
      <c r="S572" s="11"/>
      <c r="T572" s="4" t="s">
        <v>73</v>
      </c>
      <c r="U572" s="1" t="e">
        <f>VLOOKUP(data[[#This Row],[Material]],'[1]Hoja para mrp'!$A:$Z,26,0)</f>
        <v>#N/A</v>
      </c>
      <c r="V572" s="1" t="e">
        <f>VLOOKUP(data[[#This Row],[Material]],'[1]Hoja para mrp'!$A:$Z,25,0)</f>
        <v>#N/A</v>
      </c>
    </row>
    <row r="573" spans="2:22" x14ac:dyDescent="0.25">
      <c r="B573" s="4">
        <v>20026504</v>
      </c>
      <c r="C573" s="1" t="s">
        <v>1394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1</v>
      </c>
      <c r="J573" s="4" t="s">
        <v>8</v>
      </c>
      <c r="K573" s="4" t="s">
        <v>9</v>
      </c>
      <c r="L573" s="11" t="s">
        <v>1666</v>
      </c>
      <c r="M573" s="3">
        <v>3</v>
      </c>
      <c r="N573"/>
      <c r="O573" s="4"/>
      <c r="P573" s="1"/>
      <c r="Q573" s="22"/>
      <c r="R573"/>
      <c r="S573" s="11"/>
      <c r="T573" s="4" t="s">
        <v>73</v>
      </c>
      <c r="U573" s="1" t="e">
        <f>VLOOKUP(data[[#This Row],[Material]],'[1]Hoja para mrp'!$A:$Z,26,0)</f>
        <v>#N/A</v>
      </c>
      <c r="V573" s="1" t="e">
        <f>VLOOKUP(data[[#This Row],[Material]],'[1]Hoja para mrp'!$A:$Z,25,0)</f>
        <v>#N/A</v>
      </c>
    </row>
    <row r="574" spans="2:22" x14ac:dyDescent="0.25">
      <c r="B574" s="4">
        <v>20026506</v>
      </c>
      <c r="C574" s="1" t="s">
        <v>1395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3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 t="e">
        <f>VLOOKUP(data[[#This Row],[Material]],'[1]Hoja para mrp'!$A:$Z,26,0)</f>
        <v>#N/A</v>
      </c>
      <c r="V574" s="1" t="e">
        <f>VLOOKUP(data[[#This Row],[Material]],'[1]Hoja para mrp'!$A:$Z,25,0)</f>
        <v>#N/A</v>
      </c>
    </row>
    <row r="575" spans="2:22" x14ac:dyDescent="0.25">
      <c r="B575" s="4">
        <v>20026517</v>
      </c>
      <c r="C575" s="1" t="s">
        <v>1396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1</v>
      </c>
      <c r="J575" s="4" t="s">
        <v>8</v>
      </c>
      <c r="K575" s="4" t="s">
        <v>9</v>
      </c>
      <c r="L575" s="11" t="s">
        <v>1666</v>
      </c>
      <c r="M575" s="3">
        <v>3</v>
      </c>
      <c r="N575"/>
      <c r="O575" s="4"/>
      <c r="P575" s="1"/>
      <c r="Q575" s="22"/>
      <c r="R575"/>
      <c r="S575" s="11"/>
      <c r="T575" s="4" t="s">
        <v>73</v>
      </c>
      <c r="U575" s="1" t="e">
        <f>VLOOKUP(data[[#This Row],[Material]],'[1]Hoja para mrp'!$A:$Z,26,0)</f>
        <v>#N/A</v>
      </c>
      <c r="V575" s="1" t="e">
        <f>VLOOKUP(data[[#This Row],[Material]],'[1]Hoja para mrp'!$A:$Z,25,0)</f>
        <v>#N/A</v>
      </c>
    </row>
    <row r="576" spans="2:22" x14ac:dyDescent="0.25">
      <c r="B576" s="4">
        <v>20026518</v>
      </c>
      <c r="C576" s="1" t="s">
        <v>1397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1</v>
      </c>
      <c r="J576" s="4" t="s">
        <v>8</v>
      </c>
      <c r="K576" s="4" t="s">
        <v>9</v>
      </c>
      <c r="L576" s="11" t="s">
        <v>1666</v>
      </c>
      <c r="M576" s="3">
        <v>3</v>
      </c>
      <c r="N576"/>
      <c r="O576" s="4"/>
      <c r="P576" s="1"/>
      <c r="Q576" s="22"/>
      <c r="R576"/>
      <c r="S576" s="11"/>
      <c r="T576" s="4" t="s">
        <v>73</v>
      </c>
      <c r="U576" s="1" t="e">
        <f>VLOOKUP(data[[#This Row],[Material]],'[1]Hoja para mrp'!$A:$Z,26,0)</f>
        <v>#N/A</v>
      </c>
      <c r="V576" s="1" t="e">
        <f>VLOOKUP(data[[#This Row],[Material]],'[1]Hoja para mrp'!$A:$Z,25,0)</f>
        <v>#N/A</v>
      </c>
    </row>
    <row r="577" spans="2:23" x14ac:dyDescent="0.25">
      <c r="B577" s="4">
        <v>20026520</v>
      </c>
      <c r="C577" s="1" t="s">
        <v>469</v>
      </c>
      <c r="D577" s="4" t="s">
        <v>89</v>
      </c>
      <c r="E577" s="3"/>
      <c r="F577" s="3" t="s">
        <v>69</v>
      </c>
      <c r="G577" s="4">
        <v>12</v>
      </c>
      <c r="H577" s="4">
        <v>12</v>
      </c>
      <c r="I577" s="4">
        <v>31</v>
      </c>
      <c r="J577" s="4" t="s">
        <v>8</v>
      </c>
      <c r="K577" s="4" t="s">
        <v>14</v>
      </c>
      <c r="L577" s="11"/>
      <c r="M577" s="3"/>
      <c r="N577"/>
      <c r="O577" s="4"/>
      <c r="P577" s="1"/>
      <c r="Q577" s="22"/>
      <c r="R577"/>
      <c r="S577" s="11"/>
      <c r="T577" s="4" t="s">
        <v>73</v>
      </c>
      <c r="U577" s="1" t="e">
        <f>VLOOKUP(data[[#This Row],[Material]],'[1]Hoja para mrp'!$A:$Z,26,0)</f>
        <v>#N/A</v>
      </c>
      <c r="V577" s="1" t="e">
        <f>VLOOKUP(data[[#This Row],[Material]],'[1]Hoja para mrp'!$A:$Z,25,0)</f>
        <v>#N/A</v>
      </c>
    </row>
    <row r="578" spans="2:23" x14ac:dyDescent="0.25">
      <c r="B578" s="4">
        <v>20026525</v>
      </c>
      <c r="C578" s="1" t="s">
        <v>470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1</v>
      </c>
      <c r="J578" s="4" t="s">
        <v>8</v>
      </c>
      <c r="K578" s="4" t="s">
        <v>9</v>
      </c>
      <c r="L578" s="11" t="s">
        <v>1666</v>
      </c>
      <c r="M578" s="3">
        <v>2</v>
      </c>
      <c r="N578"/>
      <c r="O578" s="4"/>
      <c r="P578" s="1"/>
      <c r="Q578" s="22"/>
      <c r="R578"/>
      <c r="S578" s="11"/>
      <c r="T578" s="4" t="s">
        <v>73</v>
      </c>
      <c r="U578" s="1" t="e">
        <f>VLOOKUP(data[[#This Row],[Material]],'[1]Hoja para mrp'!$A:$Z,26,0)</f>
        <v>#N/A</v>
      </c>
      <c r="V578" s="1" t="e">
        <f>VLOOKUP(data[[#This Row],[Material]],'[1]Hoja para mrp'!$A:$Z,25,0)</f>
        <v>#N/A</v>
      </c>
    </row>
    <row r="579" spans="2:23" x14ac:dyDescent="0.25">
      <c r="B579" s="4">
        <v>20026590</v>
      </c>
      <c r="C579" s="1" t="s">
        <v>472</v>
      </c>
      <c r="D579" s="4" t="s">
        <v>89</v>
      </c>
      <c r="E579" s="3"/>
      <c r="F579" s="3" t="s">
        <v>69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s="4" t="s">
        <v>66</v>
      </c>
      <c r="U579" s="1" t="e">
        <f>VLOOKUP(data[[#This Row],[Material]],'[1]Hoja para mrp'!$A:$Z,26,0)</f>
        <v>#N/A</v>
      </c>
      <c r="V579" s="1" t="e">
        <f>VLOOKUP(data[[#This Row],[Material]],'[1]Hoja para mrp'!$A:$Z,25,0)</f>
        <v>#N/A</v>
      </c>
    </row>
    <row r="580" spans="2:23" x14ac:dyDescent="0.25">
      <c r="B580" s="4">
        <v>20026591</v>
      </c>
      <c r="C580" s="1" t="s">
        <v>473</v>
      </c>
      <c r="D580" s="4" t="s">
        <v>89</v>
      </c>
      <c r="E580" s="3"/>
      <c r="F580" s="3" t="s">
        <v>69</v>
      </c>
      <c r="G580" s="4">
        <v>4</v>
      </c>
      <c r="H580" s="4">
        <v>7</v>
      </c>
      <c r="I580" s="4">
        <v>10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 t="e">
        <f>VLOOKUP(data[[#This Row],[Material]],'[1]Hoja para mrp'!$A:$Z,26,0)</f>
        <v>#N/A</v>
      </c>
      <c r="V580" s="1" t="e">
        <f>VLOOKUP(data[[#This Row],[Material]],'[1]Hoja para mrp'!$A:$Z,25,0)</f>
        <v>#N/A</v>
      </c>
    </row>
    <row r="581" spans="2:23" x14ac:dyDescent="0.25">
      <c r="B581" s="4">
        <v>20026663</v>
      </c>
      <c r="C581" s="1" t="s">
        <v>474</v>
      </c>
      <c r="D581" s="4" t="s">
        <v>89</v>
      </c>
      <c r="E581" s="3"/>
      <c r="F581" s="3" t="s">
        <v>69</v>
      </c>
      <c r="G581" s="4">
        <v>141</v>
      </c>
      <c r="H581" s="4">
        <v>250</v>
      </c>
      <c r="I581" s="4">
        <v>250</v>
      </c>
      <c r="J581" s="4" t="s">
        <v>24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 t="e">
        <f>VLOOKUP(data[[#This Row],[Material]],'[1]Hoja para mrp'!$A:$Z,26,0)</f>
        <v>#N/A</v>
      </c>
      <c r="V581" s="1" t="e">
        <f>VLOOKUP(data[[#This Row],[Material]],'[1]Hoja para mrp'!$A:$Z,25,0)</f>
        <v>#N/A</v>
      </c>
    </row>
    <row r="582" spans="2:23" x14ac:dyDescent="0.25">
      <c r="B582" s="4">
        <v>20026691</v>
      </c>
      <c r="C582" s="1" t="s">
        <v>475</v>
      </c>
      <c r="D582" s="4" t="s">
        <v>89</v>
      </c>
      <c r="E582" s="3"/>
      <c r="F582" s="3" t="s">
        <v>69</v>
      </c>
      <c r="G582" s="4">
        <v>2</v>
      </c>
      <c r="H582" s="4">
        <v>2</v>
      </c>
      <c r="I582" s="4">
        <v>2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73</v>
      </c>
      <c r="U582" s="1" t="e">
        <f>VLOOKUP(data[[#This Row],[Material]],'[1]Hoja para mrp'!$A:$Z,26,0)</f>
        <v>#N/A</v>
      </c>
      <c r="V582" s="1" t="e">
        <f>VLOOKUP(data[[#This Row],[Material]],'[1]Hoja para mrp'!$A:$Z,25,0)</f>
        <v>#N/A</v>
      </c>
    </row>
    <row r="583" spans="2:23" x14ac:dyDescent="0.25">
      <c r="B583" s="4">
        <v>20026699</v>
      </c>
      <c r="C583" s="1" t="s">
        <v>476</v>
      </c>
      <c r="D583" s="4" t="s">
        <v>89</v>
      </c>
      <c r="E583" s="3"/>
      <c r="F583" s="3" t="s">
        <v>69</v>
      </c>
      <c r="G583" s="4">
        <v>1</v>
      </c>
      <c r="H583" s="4">
        <v>1</v>
      </c>
      <c r="I583" s="4">
        <v>4</v>
      </c>
      <c r="J583" s="4" t="s">
        <v>8</v>
      </c>
      <c r="K583" s="4" t="s">
        <v>14</v>
      </c>
      <c r="L583" s="11"/>
      <c r="M583" s="3"/>
      <c r="N583">
        <v>4502668886</v>
      </c>
      <c r="O583" s="4">
        <v>4</v>
      </c>
      <c r="P583" s="1" t="s">
        <v>1587</v>
      </c>
      <c r="Q583" s="22">
        <v>45719</v>
      </c>
      <c r="R583"/>
      <c r="S583" s="11" t="s">
        <v>1601</v>
      </c>
      <c r="T583" s="4" t="s">
        <v>73</v>
      </c>
      <c r="U583" s="1" t="e">
        <f>VLOOKUP(data[[#This Row],[Material]],'[1]Hoja para mrp'!$A:$Z,26,0)</f>
        <v>#N/A</v>
      </c>
      <c r="V583" s="1" t="e">
        <f>VLOOKUP(data[[#This Row],[Material]],'[1]Hoja para mrp'!$A:$Z,25,0)</f>
        <v>#N/A</v>
      </c>
      <c r="W583" s="1" t="s">
        <v>1681</v>
      </c>
    </row>
    <row r="584" spans="2:23" x14ac:dyDescent="0.25">
      <c r="B584" s="4">
        <v>20026700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1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73</v>
      </c>
      <c r="U584" s="1" t="e">
        <f>VLOOKUP(data[[#This Row],[Material]],'[1]Hoja para mrp'!$A:$Z,26,0)</f>
        <v>#N/A</v>
      </c>
      <c r="V584" s="1" t="e">
        <f>VLOOKUP(data[[#This Row],[Material]],'[1]Hoja para mrp'!$A:$Z,25,0)</f>
        <v>#N/A</v>
      </c>
    </row>
    <row r="585" spans="2:23" x14ac:dyDescent="0.25">
      <c r="B585" s="4">
        <v>20026815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 t="e">
        <f>VLOOKUP(data[[#This Row],[Material]],'[1]Hoja para mrp'!$A:$Z,26,0)</f>
        <v>#N/A</v>
      </c>
      <c r="V585" s="1" t="e">
        <f>VLOOKUP(data[[#This Row],[Material]],'[1]Hoja para mrp'!$A:$Z,25,0)</f>
        <v>#N/A</v>
      </c>
    </row>
    <row r="586" spans="2:23" x14ac:dyDescent="0.25">
      <c r="B586" s="4">
        <v>20026818</v>
      </c>
      <c r="C586" s="1" t="s">
        <v>479</v>
      </c>
      <c r="D586" s="4" t="s">
        <v>89</v>
      </c>
      <c r="E586" s="3"/>
      <c r="F586" s="3" t="s">
        <v>69</v>
      </c>
      <c r="G586" s="4">
        <v>10</v>
      </c>
      <c r="H586" s="4">
        <v>40</v>
      </c>
      <c r="I586" s="4">
        <v>10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 t="e">
        <f>VLOOKUP(data[[#This Row],[Material]],'[1]Hoja para mrp'!$A:$Z,26,0)</f>
        <v>#N/A</v>
      </c>
      <c r="V586" s="1" t="e">
        <f>VLOOKUP(data[[#This Row],[Material]],'[1]Hoja para mrp'!$A:$Z,25,0)</f>
        <v>#N/A</v>
      </c>
    </row>
    <row r="587" spans="2:23" x14ac:dyDescent="0.25">
      <c r="B587" s="4">
        <v>20026847</v>
      </c>
      <c r="C587" s="1" t="s">
        <v>480</v>
      </c>
      <c r="D587" s="4" t="s">
        <v>89</v>
      </c>
      <c r="E587" s="3"/>
      <c r="F587" s="3" t="s">
        <v>69</v>
      </c>
      <c r="G587" s="4">
        <v>2</v>
      </c>
      <c r="H587" s="4">
        <v>2</v>
      </c>
      <c r="I587" s="4">
        <v>10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67</v>
      </c>
      <c r="U587" s="1" t="e">
        <f>VLOOKUP(data[[#This Row],[Material]],'[1]Hoja para mrp'!$A:$Z,26,0)</f>
        <v>#N/A</v>
      </c>
      <c r="V587" s="1" t="e">
        <f>VLOOKUP(data[[#This Row],[Material]],'[1]Hoja para mrp'!$A:$Z,25,0)</f>
        <v>#N/A</v>
      </c>
    </row>
    <row r="588" spans="2:23" x14ac:dyDescent="0.25">
      <c r="B588" s="4">
        <v>20026892</v>
      </c>
      <c r="C588" s="1" t="s">
        <v>1532</v>
      </c>
      <c r="D588" s="4" t="s">
        <v>89</v>
      </c>
      <c r="E588" s="3"/>
      <c r="F588" s="3" t="s">
        <v>69</v>
      </c>
      <c r="G588" s="4">
        <v>5</v>
      </c>
      <c r="H588" s="4">
        <v>5</v>
      </c>
      <c r="I588" s="4">
        <v>9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73</v>
      </c>
      <c r="U588" s="1" t="e">
        <f>VLOOKUP(data[[#This Row],[Material]],'[1]Hoja para mrp'!$A:$Z,26,0)</f>
        <v>#N/A</v>
      </c>
      <c r="V588" s="1" t="e">
        <f>VLOOKUP(data[[#This Row],[Material]],'[1]Hoja para mrp'!$A:$Z,25,0)</f>
        <v>#N/A</v>
      </c>
    </row>
    <row r="589" spans="2:23" x14ac:dyDescent="0.25">
      <c r="B589" s="4">
        <v>20026910</v>
      </c>
      <c r="C589" s="1" t="s">
        <v>481</v>
      </c>
      <c r="D589" s="4" t="s">
        <v>89</v>
      </c>
      <c r="E589" s="3"/>
      <c r="F589" s="3" t="s">
        <v>69</v>
      </c>
      <c r="G589" s="4">
        <v>3</v>
      </c>
      <c r="H589" s="4">
        <v>2</v>
      </c>
      <c r="I589" s="4">
        <v>4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 t="e">
        <f>VLOOKUP(data[[#This Row],[Material]],'[1]Hoja para mrp'!$A:$Z,26,0)</f>
        <v>#N/A</v>
      </c>
      <c r="V589" s="1" t="e">
        <f>VLOOKUP(data[[#This Row],[Material]],'[1]Hoja para mrp'!$A:$Z,25,0)</f>
        <v>#N/A</v>
      </c>
    </row>
    <row r="590" spans="2:23" x14ac:dyDescent="0.25">
      <c r="B590" s="4">
        <v>20026914</v>
      </c>
      <c r="C590" s="1" t="s">
        <v>482</v>
      </c>
      <c r="D590" s="4" t="s">
        <v>89</v>
      </c>
      <c r="E590" s="3"/>
      <c r="F590" s="3" t="s">
        <v>69</v>
      </c>
      <c r="G590" s="4">
        <v>1</v>
      </c>
      <c r="H590" s="4">
        <v>1</v>
      </c>
      <c r="I590" s="4">
        <v>14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 t="e">
        <f>VLOOKUP(data[[#This Row],[Material]],'[1]Hoja para mrp'!$A:$Z,26,0)</f>
        <v>#N/A</v>
      </c>
      <c r="V590" s="1" t="e">
        <f>VLOOKUP(data[[#This Row],[Material]],'[1]Hoja para mrp'!$A:$Z,25,0)</f>
        <v>#N/A</v>
      </c>
    </row>
    <row r="591" spans="2:23" x14ac:dyDescent="0.25">
      <c r="B591" s="4">
        <v>20026977</v>
      </c>
      <c r="C591" s="1" t="s">
        <v>483</v>
      </c>
      <c r="D591" s="4" t="s">
        <v>89</v>
      </c>
      <c r="E591" s="3"/>
      <c r="F591" s="3" t="s">
        <v>69</v>
      </c>
      <c r="G591" s="4">
        <v>7</v>
      </c>
      <c r="H591" s="4">
        <v>11</v>
      </c>
      <c r="I591" s="4">
        <v>55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66</v>
      </c>
      <c r="U591" s="1" t="e">
        <f>VLOOKUP(data[[#This Row],[Material]],'[1]Hoja para mrp'!$A:$Z,26,0)</f>
        <v>#N/A</v>
      </c>
      <c r="V591" s="1" t="e">
        <f>VLOOKUP(data[[#This Row],[Material]],'[1]Hoja para mrp'!$A:$Z,25,0)</f>
        <v>#N/A</v>
      </c>
    </row>
    <row r="592" spans="2:23" x14ac:dyDescent="0.25">
      <c r="B592" s="4">
        <v>20026980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117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73</v>
      </c>
      <c r="U592" s="1" t="e">
        <f>VLOOKUP(data[[#This Row],[Material]],'[1]Hoja para mrp'!$A:$Z,26,0)</f>
        <v>#N/A</v>
      </c>
      <c r="V592" s="1" t="e">
        <f>VLOOKUP(data[[#This Row],[Material]],'[1]Hoja para mrp'!$A:$Z,25,0)</f>
        <v>#N/A</v>
      </c>
    </row>
    <row r="593" spans="2:22" x14ac:dyDescent="0.25">
      <c r="B593" s="4">
        <v>20026981</v>
      </c>
      <c r="C593" s="1" t="s">
        <v>485</v>
      </c>
      <c r="D593" s="4" t="s">
        <v>89</v>
      </c>
      <c r="E593" s="3"/>
      <c r="F593" s="3" t="s">
        <v>69</v>
      </c>
      <c r="G593" s="4">
        <v>2</v>
      </c>
      <c r="H593" s="4">
        <v>2</v>
      </c>
      <c r="I593" s="4">
        <v>153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 t="e">
        <f>VLOOKUP(data[[#This Row],[Material]],'[1]Hoja para mrp'!$A:$Z,26,0)</f>
        <v>#N/A</v>
      </c>
      <c r="V593" s="1" t="e">
        <f>VLOOKUP(data[[#This Row],[Material]],'[1]Hoja para mrp'!$A:$Z,25,0)</f>
        <v>#N/A</v>
      </c>
    </row>
    <row r="594" spans="2:22" x14ac:dyDescent="0.25">
      <c r="B594" s="4">
        <v>20026982</v>
      </c>
      <c r="C594" s="1" t="s">
        <v>486</v>
      </c>
      <c r="D594" s="4" t="s">
        <v>89</v>
      </c>
      <c r="E594" s="3"/>
      <c r="F594" s="3" t="s">
        <v>69</v>
      </c>
      <c r="G594" s="4">
        <v>7</v>
      </c>
      <c r="H594" s="4">
        <v>11</v>
      </c>
      <c r="I594" s="4">
        <v>73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 t="e">
        <f>VLOOKUP(data[[#This Row],[Material]],'[1]Hoja para mrp'!$A:$Z,26,0)</f>
        <v>#N/A</v>
      </c>
      <c r="V594" s="1" t="e">
        <f>VLOOKUP(data[[#This Row],[Material]],'[1]Hoja para mrp'!$A:$Z,25,0)</f>
        <v>#N/A</v>
      </c>
    </row>
    <row r="595" spans="2:22" x14ac:dyDescent="0.25">
      <c r="B595" s="4">
        <v>20027011</v>
      </c>
      <c r="C595" s="1" t="s">
        <v>1485</v>
      </c>
      <c r="D595" s="4" t="s">
        <v>89</v>
      </c>
      <c r="E595" s="3"/>
      <c r="F595" s="3" t="s">
        <v>69</v>
      </c>
      <c r="G595" s="4">
        <v>2</v>
      </c>
      <c r="H595" s="4">
        <v>1</v>
      </c>
      <c r="I595" s="4">
        <v>2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 t="e">
        <f>VLOOKUP(data[[#This Row],[Material]],'[1]Hoja para mrp'!$A:$Z,26,0)</f>
        <v>#N/A</v>
      </c>
      <c r="V595" s="1" t="e">
        <f>VLOOKUP(data[[#This Row],[Material]],'[1]Hoja para mrp'!$A:$Z,25,0)</f>
        <v>#N/A</v>
      </c>
    </row>
    <row r="596" spans="2:22" x14ac:dyDescent="0.25">
      <c r="B596" s="4">
        <v>20027254</v>
      </c>
      <c r="C596" s="1" t="s">
        <v>487</v>
      </c>
      <c r="D596" s="4" t="s">
        <v>89</v>
      </c>
      <c r="E596" s="3"/>
      <c r="F596" s="3" t="s">
        <v>69</v>
      </c>
      <c r="G596" s="4">
        <v>20</v>
      </c>
      <c r="H596" s="4">
        <v>20</v>
      </c>
      <c r="I596" s="4">
        <v>39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71</v>
      </c>
      <c r="U596" s="1" t="e">
        <f>VLOOKUP(data[[#This Row],[Material]],'[1]Hoja para mrp'!$A:$Z,26,0)</f>
        <v>#N/A</v>
      </c>
      <c r="V596" s="1" t="e">
        <f>VLOOKUP(data[[#This Row],[Material]],'[1]Hoja para mrp'!$A:$Z,25,0)</f>
        <v>#N/A</v>
      </c>
    </row>
    <row r="597" spans="2:22" x14ac:dyDescent="0.25">
      <c r="B597" s="4">
        <v>20027267</v>
      </c>
      <c r="C597" s="1" t="s">
        <v>488</v>
      </c>
      <c r="D597" s="4" t="s">
        <v>89</v>
      </c>
      <c r="E597" s="3"/>
      <c r="F597" s="3" t="s">
        <v>69</v>
      </c>
      <c r="G597" s="4">
        <v>2</v>
      </c>
      <c r="H597" s="4">
        <v>2</v>
      </c>
      <c r="I597" s="4">
        <v>56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73</v>
      </c>
      <c r="U597" s="1" t="e">
        <f>VLOOKUP(data[[#This Row],[Material]],'[1]Hoja para mrp'!$A:$Z,26,0)</f>
        <v>#N/A</v>
      </c>
      <c r="V597" s="1" t="e">
        <f>VLOOKUP(data[[#This Row],[Material]],'[1]Hoja para mrp'!$A:$Z,25,0)</f>
        <v>#N/A</v>
      </c>
    </row>
    <row r="598" spans="2:22" x14ac:dyDescent="0.25">
      <c r="B598" s="4">
        <v>20027268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73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 t="e">
        <f>VLOOKUP(data[[#This Row],[Material]],'[1]Hoja para mrp'!$A:$Z,26,0)</f>
        <v>#N/A</v>
      </c>
      <c r="V598" s="1" t="e">
        <f>VLOOKUP(data[[#This Row],[Material]],'[1]Hoja para mrp'!$A:$Z,25,0)</f>
        <v>#N/A</v>
      </c>
    </row>
    <row r="599" spans="2:22" x14ac:dyDescent="0.25">
      <c r="B599" s="4">
        <v>20027269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113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 t="e">
        <f>VLOOKUP(data[[#This Row],[Material]],'[1]Hoja para mrp'!$A:$Z,26,0)</f>
        <v>#N/A</v>
      </c>
      <c r="V599" s="1" t="e">
        <f>VLOOKUP(data[[#This Row],[Material]],'[1]Hoja para mrp'!$A:$Z,25,0)</f>
        <v>#N/A</v>
      </c>
    </row>
    <row r="600" spans="2:22" x14ac:dyDescent="0.25">
      <c r="B600" s="4">
        <v>20027270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61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 t="e">
        <f>VLOOKUP(data[[#This Row],[Material]],'[1]Hoja para mrp'!$A:$Z,26,0)</f>
        <v>#N/A</v>
      </c>
      <c r="V600" s="1" t="e">
        <f>VLOOKUP(data[[#This Row],[Material]],'[1]Hoja para mrp'!$A:$Z,25,0)</f>
        <v>#N/A</v>
      </c>
    </row>
    <row r="601" spans="2:22" x14ac:dyDescent="0.25">
      <c r="B601" s="4">
        <v>20027271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69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 t="e">
        <f>VLOOKUP(data[[#This Row],[Material]],'[1]Hoja para mrp'!$A:$Z,26,0)</f>
        <v>#N/A</v>
      </c>
      <c r="V601" s="1" t="e">
        <f>VLOOKUP(data[[#This Row],[Material]],'[1]Hoja para mrp'!$A:$Z,25,0)</f>
        <v>#N/A</v>
      </c>
    </row>
    <row r="602" spans="2:22" x14ac:dyDescent="0.25">
      <c r="B602" s="4">
        <v>20027272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75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 t="e">
        <f>VLOOKUP(data[[#This Row],[Material]],'[1]Hoja para mrp'!$A:$Z,26,0)</f>
        <v>#N/A</v>
      </c>
      <c r="V602" s="1" t="e">
        <f>VLOOKUP(data[[#This Row],[Material]],'[1]Hoja para mrp'!$A:$Z,25,0)</f>
        <v>#N/A</v>
      </c>
    </row>
    <row r="603" spans="2:22" x14ac:dyDescent="0.25">
      <c r="B603" s="4">
        <v>20027286</v>
      </c>
      <c r="C603" s="1" t="s">
        <v>1477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2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70</v>
      </c>
      <c r="U603" s="1" t="e">
        <f>VLOOKUP(data[[#This Row],[Material]],'[1]Hoja para mrp'!$A:$Z,26,0)</f>
        <v>#N/A</v>
      </c>
      <c r="V603" s="1" t="e">
        <f>VLOOKUP(data[[#This Row],[Material]],'[1]Hoja para mrp'!$A:$Z,25,0)</f>
        <v>#N/A</v>
      </c>
    </row>
    <row r="604" spans="2:22" x14ac:dyDescent="0.25">
      <c r="B604" s="4">
        <v>20027297</v>
      </c>
      <c r="C604" s="1" t="s">
        <v>1429</v>
      </c>
      <c r="D604" s="4" t="s">
        <v>89</v>
      </c>
      <c r="E604" s="3"/>
      <c r="F604" s="3" t="s">
        <v>69</v>
      </c>
      <c r="G604" s="4">
        <v>2</v>
      </c>
      <c r="H604" s="4">
        <v>3</v>
      </c>
      <c r="I604" s="4">
        <v>5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 t="e">
        <f>VLOOKUP(data[[#This Row],[Material]],'[1]Hoja para mrp'!$A:$Z,26,0)</f>
        <v>#N/A</v>
      </c>
      <c r="V604" s="1" t="e">
        <f>VLOOKUP(data[[#This Row],[Material]],'[1]Hoja para mrp'!$A:$Z,25,0)</f>
        <v>#N/A</v>
      </c>
    </row>
    <row r="605" spans="2:22" x14ac:dyDescent="0.25">
      <c r="B605" s="4">
        <v>20027355</v>
      </c>
      <c r="C605" s="1" t="s">
        <v>494</v>
      </c>
      <c r="D605" s="4" t="s">
        <v>89</v>
      </c>
      <c r="E605" s="3"/>
      <c r="F605" s="3" t="s">
        <v>69</v>
      </c>
      <c r="G605" s="4">
        <v>1</v>
      </c>
      <c r="H605" s="4">
        <v>1</v>
      </c>
      <c r="I605" s="4">
        <v>12</v>
      </c>
      <c r="J605" s="4" t="s">
        <v>25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73</v>
      </c>
      <c r="U605" s="1" t="e">
        <f>VLOOKUP(data[[#This Row],[Material]],'[1]Hoja para mrp'!$A:$Z,26,0)</f>
        <v>#N/A</v>
      </c>
      <c r="V605" s="1" t="e">
        <f>VLOOKUP(data[[#This Row],[Material]],'[1]Hoja para mrp'!$A:$Z,25,0)</f>
        <v>#N/A</v>
      </c>
    </row>
    <row r="606" spans="2:22" x14ac:dyDescent="0.25">
      <c r="B606" s="4">
        <v>20027356</v>
      </c>
      <c r="C606" s="1" t="s">
        <v>1454</v>
      </c>
      <c r="D606" s="4" t="s">
        <v>89</v>
      </c>
      <c r="E606" s="3"/>
      <c r="F606" s="3" t="s">
        <v>69</v>
      </c>
      <c r="G606" s="4">
        <v>2</v>
      </c>
      <c r="H606" s="4">
        <v>2</v>
      </c>
      <c r="I606" s="4">
        <v>0</v>
      </c>
      <c r="J606" s="4" t="s">
        <v>8</v>
      </c>
      <c r="K606" s="4" t="s">
        <v>13</v>
      </c>
      <c r="L606" s="11">
        <v>1002663550</v>
      </c>
      <c r="M606" s="3">
        <v>4</v>
      </c>
      <c r="N606"/>
      <c r="O606" s="4"/>
      <c r="P606" s="1"/>
      <c r="Q606" s="22"/>
      <c r="R606"/>
      <c r="S606" s="11"/>
      <c r="T606" s="4" t="s">
        <v>73</v>
      </c>
      <c r="U606" s="1" t="e">
        <f>VLOOKUP(data[[#This Row],[Material]],'[1]Hoja para mrp'!$A:$Z,26,0)</f>
        <v>#N/A</v>
      </c>
      <c r="V606" s="1" t="e">
        <f>VLOOKUP(data[[#This Row],[Material]],'[1]Hoja para mrp'!$A:$Z,25,0)</f>
        <v>#N/A</v>
      </c>
    </row>
    <row r="607" spans="2:22" x14ac:dyDescent="0.25">
      <c r="B607" s="4">
        <v>20027357</v>
      </c>
      <c r="C607" s="1" t="s">
        <v>495</v>
      </c>
      <c r="D607" s="4" t="s">
        <v>89</v>
      </c>
      <c r="E607" s="3"/>
      <c r="F607" s="3" t="s">
        <v>69</v>
      </c>
      <c r="G607" s="4">
        <v>3</v>
      </c>
      <c r="H607" s="4">
        <v>4</v>
      </c>
      <c r="I607" s="4">
        <v>278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s="4" t="s">
        <v>73</v>
      </c>
      <c r="U607" s="1" t="e">
        <f>VLOOKUP(data[[#This Row],[Material]],'[1]Hoja para mrp'!$A:$Z,26,0)</f>
        <v>#N/A</v>
      </c>
      <c r="V607" s="1" t="e">
        <f>VLOOKUP(data[[#This Row],[Material]],'[1]Hoja para mrp'!$A:$Z,25,0)</f>
        <v>#N/A</v>
      </c>
    </row>
    <row r="608" spans="2:22" x14ac:dyDescent="0.25">
      <c r="B608" s="4">
        <v>20027378</v>
      </c>
      <c r="C608" s="1" t="s">
        <v>496</v>
      </c>
      <c r="D608" s="4" t="s">
        <v>89</v>
      </c>
      <c r="E608" s="3"/>
      <c r="F608" s="3" t="s">
        <v>69</v>
      </c>
      <c r="G608" s="4">
        <v>2</v>
      </c>
      <c r="H608" s="4">
        <v>2</v>
      </c>
      <c r="I608" s="4">
        <v>10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 t="e">
        <f>VLOOKUP(data[[#This Row],[Material]],'[1]Hoja para mrp'!$A:$Z,26,0)</f>
        <v>#N/A</v>
      </c>
      <c r="V608" s="1" t="e">
        <f>VLOOKUP(data[[#This Row],[Material]],'[1]Hoja para mrp'!$A:$Z,25,0)</f>
        <v>#N/A</v>
      </c>
    </row>
    <row r="609" spans="2:22" x14ac:dyDescent="0.25">
      <c r="B609" s="4">
        <v>20027456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3</v>
      </c>
      <c r="I609" s="4">
        <v>3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 t="e">
        <f>VLOOKUP(data[[#This Row],[Material]],'[1]Hoja para mrp'!$A:$Z,26,0)</f>
        <v>#N/A</v>
      </c>
      <c r="V609" s="1" t="e">
        <f>VLOOKUP(data[[#This Row],[Material]],'[1]Hoja para mrp'!$A:$Z,25,0)</f>
        <v>#N/A</v>
      </c>
    </row>
    <row r="610" spans="2:22" x14ac:dyDescent="0.25">
      <c r="B610" s="4">
        <v>20027476</v>
      </c>
      <c r="C610" s="1" t="s">
        <v>498</v>
      </c>
      <c r="D610" s="4" t="s">
        <v>89</v>
      </c>
      <c r="E610" s="3"/>
      <c r="F610" s="3" t="s">
        <v>69</v>
      </c>
      <c r="G610" s="4">
        <v>10</v>
      </c>
      <c r="H610" s="4">
        <v>20</v>
      </c>
      <c r="I610" s="4">
        <v>10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66</v>
      </c>
      <c r="U610" s="1" t="e">
        <f>VLOOKUP(data[[#This Row],[Material]],'[1]Hoja para mrp'!$A:$Z,26,0)</f>
        <v>#N/A</v>
      </c>
      <c r="V610" s="1" t="e">
        <f>VLOOKUP(data[[#This Row],[Material]],'[1]Hoja para mrp'!$A:$Z,25,0)</f>
        <v>#N/A</v>
      </c>
    </row>
    <row r="611" spans="2:22" x14ac:dyDescent="0.25">
      <c r="B611" s="4">
        <v>20027483</v>
      </c>
      <c r="C611" s="1" t="s">
        <v>499</v>
      </c>
      <c r="D611" s="4" t="s">
        <v>89</v>
      </c>
      <c r="E611" s="3"/>
      <c r="F611" s="3" t="s">
        <v>69</v>
      </c>
      <c r="G611" s="4">
        <v>2</v>
      </c>
      <c r="H611" s="4">
        <v>3</v>
      </c>
      <c r="I611" s="4">
        <v>3</v>
      </c>
      <c r="J611" s="4" t="s">
        <v>25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 t="e">
        <f>VLOOKUP(data[[#This Row],[Material]],'[1]Hoja para mrp'!$A:$Z,26,0)</f>
        <v>#N/A</v>
      </c>
      <c r="V611" s="1" t="e">
        <f>VLOOKUP(data[[#This Row],[Material]],'[1]Hoja para mrp'!$A:$Z,25,0)</f>
        <v>#N/A</v>
      </c>
    </row>
    <row r="612" spans="2:22" x14ac:dyDescent="0.25">
      <c r="B612" s="4">
        <v>20027524</v>
      </c>
      <c r="C612" s="1" t="s">
        <v>500</v>
      </c>
      <c r="D612" s="4" t="s">
        <v>89</v>
      </c>
      <c r="E612" s="3"/>
      <c r="F612" s="3" t="s">
        <v>69</v>
      </c>
      <c r="G612" s="4">
        <v>13</v>
      </c>
      <c r="H612" s="4">
        <v>21</v>
      </c>
      <c r="I612" s="4">
        <v>299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s="4" t="s">
        <v>73</v>
      </c>
      <c r="U612" s="1" t="e">
        <f>VLOOKUP(data[[#This Row],[Material]],'[1]Hoja para mrp'!$A:$Z,26,0)</f>
        <v>#N/A</v>
      </c>
      <c r="V612" s="1" t="e">
        <f>VLOOKUP(data[[#This Row],[Material]],'[1]Hoja para mrp'!$A:$Z,25,0)</f>
        <v>#N/A</v>
      </c>
    </row>
    <row r="613" spans="2:22" x14ac:dyDescent="0.25">
      <c r="B613" s="4">
        <v>20027532</v>
      </c>
      <c r="C613" s="1" t="s">
        <v>501</v>
      </c>
      <c r="D613" s="4" t="s">
        <v>89</v>
      </c>
      <c r="E613" s="3"/>
      <c r="F613" s="3" t="s">
        <v>69</v>
      </c>
      <c r="G613" s="4">
        <v>1</v>
      </c>
      <c r="H613" s="4">
        <v>1</v>
      </c>
      <c r="I613" s="4">
        <v>2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71</v>
      </c>
      <c r="U613" s="1" t="e">
        <f>VLOOKUP(data[[#This Row],[Material]],'[1]Hoja para mrp'!$A:$Z,26,0)</f>
        <v>#N/A</v>
      </c>
      <c r="V613" s="1" t="e">
        <f>VLOOKUP(data[[#This Row],[Material]],'[1]Hoja para mrp'!$A:$Z,25,0)</f>
        <v>#N/A</v>
      </c>
    </row>
    <row r="614" spans="2:22" x14ac:dyDescent="0.25">
      <c r="B614" s="4">
        <v>20027534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1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 t="e">
        <f>VLOOKUP(data[[#This Row],[Material]],'[1]Hoja para mrp'!$A:$Z,26,0)</f>
        <v>#N/A</v>
      </c>
      <c r="V614" s="1" t="e">
        <f>VLOOKUP(data[[#This Row],[Material]],'[1]Hoja para mrp'!$A:$Z,25,0)</f>
        <v>#N/A</v>
      </c>
    </row>
    <row r="615" spans="2:22" x14ac:dyDescent="0.25">
      <c r="B615" s="4">
        <v>20027541</v>
      </c>
      <c r="C615" s="1" t="s">
        <v>503</v>
      </c>
      <c r="D615" s="4" t="s">
        <v>89</v>
      </c>
      <c r="E615" s="3"/>
      <c r="F615" s="3" t="s">
        <v>69</v>
      </c>
      <c r="G615" s="4">
        <v>8</v>
      </c>
      <c r="H615" s="4">
        <v>6</v>
      </c>
      <c r="I615" s="4">
        <v>12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 t="e">
        <f>VLOOKUP(data[[#This Row],[Material]],'[1]Hoja para mrp'!$A:$Z,26,0)</f>
        <v>#N/A</v>
      </c>
      <c r="V615" s="1" t="e">
        <f>VLOOKUP(data[[#This Row],[Material]],'[1]Hoja para mrp'!$A:$Z,25,0)</f>
        <v>#N/A</v>
      </c>
    </row>
    <row r="616" spans="2:22" x14ac:dyDescent="0.25">
      <c r="B616" s="4">
        <v>20027542</v>
      </c>
      <c r="C616" s="1" t="s">
        <v>504</v>
      </c>
      <c r="D616" s="4" t="s">
        <v>89</v>
      </c>
      <c r="E616" s="3"/>
      <c r="F616" s="3" t="s">
        <v>69</v>
      </c>
      <c r="G616" s="4">
        <v>1</v>
      </c>
      <c r="H616" s="4">
        <v>1</v>
      </c>
      <c r="I616" s="4">
        <v>41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 t="e">
        <f>VLOOKUP(data[[#This Row],[Material]],'[1]Hoja para mrp'!$A:$Z,26,0)</f>
        <v>#N/A</v>
      </c>
      <c r="V616" s="1" t="e">
        <f>VLOOKUP(data[[#This Row],[Material]],'[1]Hoja para mrp'!$A:$Z,25,0)</f>
        <v>#N/A</v>
      </c>
    </row>
    <row r="617" spans="2:22" x14ac:dyDescent="0.25">
      <c r="B617" s="4">
        <v>20027543</v>
      </c>
      <c r="C617" s="1" t="s">
        <v>505</v>
      </c>
      <c r="D617" s="4" t="s">
        <v>89</v>
      </c>
      <c r="E617" s="3"/>
      <c r="F617" s="3" t="s">
        <v>69</v>
      </c>
      <c r="G617" s="4">
        <v>2</v>
      </c>
      <c r="H617" s="4">
        <v>2</v>
      </c>
      <c r="I617" s="4">
        <v>98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 t="e">
        <f>VLOOKUP(data[[#This Row],[Material]],'[1]Hoja para mrp'!$A:$Z,26,0)</f>
        <v>#N/A</v>
      </c>
      <c r="V617" s="1" t="e">
        <f>VLOOKUP(data[[#This Row],[Material]],'[1]Hoja para mrp'!$A:$Z,25,0)</f>
        <v>#N/A</v>
      </c>
    </row>
    <row r="618" spans="2:22" x14ac:dyDescent="0.25">
      <c r="B618" s="4">
        <v>20027634</v>
      </c>
      <c r="C618" s="1" t="s">
        <v>1478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2</v>
      </c>
      <c r="J618" s="4" t="s">
        <v>21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s="4" t="s">
        <v>70</v>
      </c>
      <c r="U618" s="1" t="e">
        <f>VLOOKUP(data[[#This Row],[Material]],'[1]Hoja para mrp'!$A:$Z,26,0)</f>
        <v>#N/A</v>
      </c>
      <c r="V618" s="1" t="e">
        <f>VLOOKUP(data[[#This Row],[Material]],'[1]Hoja para mrp'!$A:$Z,25,0)</f>
        <v>#N/A</v>
      </c>
    </row>
    <row r="619" spans="2:22" x14ac:dyDescent="0.25">
      <c r="B619" s="4">
        <v>20027851</v>
      </c>
      <c r="C619" s="1" t="s">
        <v>506</v>
      </c>
      <c r="D619" s="4" t="s">
        <v>89</v>
      </c>
      <c r="E619" s="3"/>
      <c r="F619" s="3" t="s">
        <v>69</v>
      </c>
      <c r="G619" s="4">
        <v>17</v>
      </c>
      <c r="H619" s="4">
        <v>30</v>
      </c>
      <c r="I619" s="4">
        <v>39</v>
      </c>
      <c r="J619" s="4" t="s">
        <v>23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68</v>
      </c>
      <c r="U619" s="1" t="e">
        <f>VLOOKUP(data[[#This Row],[Material]],'[1]Hoja para mrp'!$A:$Z,26,0)</f>
        <v>#N/A</v>
      </c>
      <c r="V619" s="1" t="e">
        <f>VLOOKUP(data[[#This Row],[Material]],'[1]Hoja para mrp'!$A:$Z,25,0)</f>
        <v>#N/A</v>
      </c>
    </row>
    <row r="620" spans="2:22" x14ac:dyDescent="0.25">
      <c r="B620" s="4">
        <v>20027853</v>
      </c>
      <c r="C620" s="1" t="s">
        <v>507</v>
      </c>
      <c r="D620" s="4" t="s">
        <v>89</v>
      </c>
      <c r="E620" s="3"/>
      <c r="F620" s="3" t="s">
        <v>69</v>
      </c>
      <c r="G620" s="4">
        <v>230</v>
      </c>
      <c r="H620" s="4">
        <v>400</v>
      </c>
      <c r="I620" s="4">
        <v>208</v>
      </c>
      <c r="J620" s="4" t="s">
        <v>23</v>
      </c>
      <c r="K620" s="4" t="s">
        <v>9</v>
      </c>
      <c r="L620" s="11">
        <v>1002648064</v>
      </c>
      <c r="M620" s="3">
        <v>400</v>
      </c>
      <c r="N620"/>
      <c r="O620" s="4"/>
      <c r="P620" s="1"/>
      <c r="Q620" s="22"/>
      <c r="R620"/>
      <c r="S620" s="11"/>
      <c r="T620" s="4" t="s">
        <v>68</v>
      </c>
      <c r="U620" s="1" t="e">
        <f>VLOOKUP(data[[#This Row],[Material]],'[1]Hoja para mrp'!$A:$Z,26,0)</f>
        <v>#N/A</v>
      </c>
      <c r="V620" s="1" t="e">
        <f>VLOOKUP(data[[#This Row],[Material]],'[1]Hoja para mrp'!$A:$Z,25,0)</f>
        <v>#N/A</v>
      </c>
    </row>
    <row r="621" spans="2:22" x14ac:dyDescent="0.25">
      <c r="B621" s="4">
        <v>20027854</v>
      </c>
      <c r="C621" s="1" t="s">
        <v>508</v>
      </c>
      <c r="D621" s="4" t="s">
        <v>89</v>
      </c>
      <c r="E621" s="3"/>
      <c r="F621" s="3" t="s">
        <v>69</v>
      </c>
      <c r="G621" s="4">
        <v>8</v>
      </c>
      <c r="H621" s="4">
        <v>13</v>
      </c>
      <c r="I621" s="4">
        <v>180</v>
      </c>
      <c r="J621" s="4" t="s">
        <v>23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s="4" t="s">
        <v>73</v>
      </c>
      <c r="U621" s="1" t="e">
        <f>VLOOKUP(data[[#This Row],[Material]],'[1]Hoja para mrp'!$A:$Z,26,0)</f>
        <v>#N/A</v>
      </c>
      <c r="V621" s="1" t="e">
        <f>VLOOKUP(data[[#This Row],[Material]],'[1]Hoja para mrp'!$A:$Z,25,0)</f>
        <v>#N/A</v>
      </c>
    </row>
    <row r="622" spans="2:22" x14ac:dyDescent="0.25">
      <c r="B622" s="4">
        <v>20028146</v>
      </c>
      <c r="C622" s="1" t="s">
        <v>509</v>
      </c>
      <c r="D622" s="4" t="s">
        <v>89</v>
      </c>
      <c r="E622" s="3"/>
      <c r="F622" s="3" t="s">
        <v>69</v>
      </c>
      <c r="G622" s="4">
        <v>1</v>
      </c>
      <c r="H622" s="4">
        <v>1</v>
      </c>
      <c r="I622" s="4">
        <v>10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 t="e">
        <f>VLOOKUP(data[[#This Row],[Material]],'[1]Hoja para mrp'!$A:$Z,26,0)</f>
        <v>#N/A</v>
      </c>
      <c r="V622" s="1" t="e">
        <f>VLOOKUP(data[[#This Row],[Material]],'[1]Hoja para mrp'!$A:$Z,25,0)</f>
        <v>#N/A</v>
      </c>
    </row>
    <row r="623" spans="2:22" x14ac:dyDescent="0.25">
      <c r="B623" s="4">
        <v>20028189</v>
      </c>
      <c r="C623" s="1" t="s">
        <v>510</v>
      </c>
      <c r="D623" s="4" t="s">
        <v>89</v>
      </c>
      <c r="E623" s="3"/>
      <c r="F623" s="3" t="s">
        <v>69</v>
      </c>
      <c r="G623" s="4">
        <v>2</v>
      </c>
      <c r="H623" s="4">
        <v>3</v>
      </c>
      <c r="I623" s="4">
        <v>2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66</v>
      </c>
      <c r="U623" s="1" t="e">
        <f>VLOOKUP(data[[#This Row],[Material]],'[1]Hoja para mrp'!$A:$Z,26,0)</f>
        <v>#N/A</v>
      </c>
      <c r="V623" s="1" t="e">
        <f>VLOOKUP(data[[#This Row],[Material]],'[1]Hoja para mrp'!$A:$Z,25,0)</f>
        <v>#N/A</v>
      </c>
    </row>
    <row r="624" spans="2:22" x14ac:dyDescent="0.25">
      <c r="B624" s="4">
        <v>20028190</v>
      </c>
      <c r="C624" s="1" t="s">
        <v>511</v>
      </c>
      <c r="D624" s="4" t="s">
        <v>89</v>
      </c>
      <c r="E624" s="3"/>
      <c r="F624" s="3" t="s">
        <v>69</v>
      </c>
      <c r="G624" s="4">
        <v>1</v>
      </c>
      <c r="H624" s="4">
        <v>1</v>
      </c>
      <c r="I624" s="4">
        <v>6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s="4" t="s">
        <v>70</v>
      </c>
      <c r="U624" s="1" t="e">
        <f>VLOOKUP(data[[#This Row],[Material]],'[1]Hoja para mrp'!$A:$Z,26,0)</f>
        <v>#N/A</v>
      </c>
      <c r="V624" s="1" t="e">
        <f>VLOOKUP(data[[#This Row],[Material]],'[1]Hoja para mrp'!$A:$Z,25,0)</f>
        <v>#N/A</v>
      </c>
    </row>
    <row r="625" spans="2:22" x14ac:dyDescent="0.25">
      <c r="B625" s="4">
        <v>20028193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3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73</v>
      </c>
      <c r="U625" s="1" t="e">
        <f>VLOOKUP(data[[#This Row],[Material]],'[1]Hoja para mrp'!$A:$Z,26,0)</f>
        <v>#N/A</v>
      </c>
      <c r="V625" s="1" t="e">
        <f>VLOOKUP(data[[#This Row],[Material]],'[1]Hoja para mrp'!$A:$Z,25,0)</f>
        <v>#N/A</v>
      </c>
    </row>
    <row r="626" spans="2:22" x14ac:dyDescent="0.25">
      <c r="B626" s="4">
        <v>20028226</v>
      </c>
      <c r="C626" s="1" t="s">
        <v>513</v>
      </c>
      <c r="D626" s="4" t="s">
        <v>89</v>
      </c>
      <c r="E626" s="3"/>
      <c r="F626" s="3" t="s">
        <v>69</v>
      </c>
      <c r="G626" s="4">
        <v>2</v>
      </c>
      <c r="H626" s="4">
        <v>3</v>
      </c>
      <c r="I626" s="4">
        <v>12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68</v>
      </c>
      <c r="U626" s="1" t="e">
        <f>VLOOKUP(data[[#This Row],[Material]],'[1]Hoja para mrp'!$A:$Z,26,0)</f>
        <v>#N/A</v>
      </c>
      <c r="V626" s="1" t="e">
        <f>VLOOKUP(data[[#This Row],[Material]],'[1]Hoja para mrp'!$A:$Z,25,0)</f>
        <v>#N/A</v>
      </c>
    </row>
    <row r="627" spans="2:22" x14ac:dyDescent="0.25">
      <c r="B627" s="4">
        <v>20028734</v>
      </c>
      <c r="C627" s="1" t="s">
        <v>1479</v>
      </c>
      <c r="D627" s="4" t="s">
        <v>89</v>
      </c>
      <c r="E627" s="3"/>
      <c r="F627" s="3" t="s">
        <v>69</v>
      </c>
      <c r="G627" s="4">
        <v>2</v>
      </c>
      <c r="H627" s="4">
        <v>2</v>
      </c>
      <c r="I627" s="4">
        <v>2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 t="e">
        <f>VLOOKUP(data[[#This Row],[Material]],'[1]Hoja para mrp'!$A:$Z,26,0)</f>
        <v>#N/A</v>
      </c>
      <c r="V627" s="1" t="e">
        <f>VLOOKUP(data[[#This Row],[Material]],'[1]Hoja para mrp'!$A:$Z,25,0)</f>
        <v>#N/A</v>
      </c>
    </row>
    <row r="628" spans="2:22" x14ac:dyDescent="0.25">
      <c r="B628" s="4">
        <v>20028767</v>
      </c>
      <c r="C628" s="1" t="s">
        <v>514</v>
      </c>
      <c r="D628" s="4" t="s">
        <v>89</v>
      </c>
      <c r="E628" s="3"/>
      <c r="F628" s="3" t="s">
        <v>69</v>
      </c>
      <c r="G628" s="4">
        <v>4</v>
      </c>
      <c r="H628" s="4">
        <v>8</v>
      </c>
      <c r="I628" s="4">
        <v>7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74</v>
      </c>
      <c r="U628" s="1" t="e">
        <f>VLOOKUP(data[[#This Row],[Material]],'[1]Hoja para mrp'!$A:$Z,26,0)</f>
        <v>#N/A</v>
      </c>
      <c r="V628" s="1" t="e">
        <f>VLOOKUP(data[[#This Row],[Material]],'[1]Hoja para mrp'!$A:$Z,25,0)</f>
        <v>#N/A</v>
      </c>
    </row>
    <row r="629" spans="2:22" x14ac:dyDescent="0.25">
      <c r="B629" s="4">
        <v>20028768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8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 t="e">
        <f>VLOOKUP(data[[#This Row],[Material]],'[1]Hoja para mrp'!$A:$Z,26,0)</f>
        <v>#N/A</v>
      </c>
      <c r="V629" s="1" t="e">
        <f>VLOOKUP(data[[#This Row],[Material]],'[1]Hoja para mrp'!$A:$Z,25,0)</f>
        <v>#N/A</v>
      </c>
    </row>
    <row r="630" spans="2:22" x14ac:dyDescent="0.25">
      <c r="B630" s="4">
        <v>20040973</v>
      </c>
      <c r="C630" s="1" t="s">
        <v>516</v>
      </c>
      <c r="D630" s="4" t="s">
        <v>89</v>
      </c>
      <c r="E630" s="3"/>
      <c r="F630" s="3" t="s">
        <v>69</v>
      </c>
      <c r="G630" s="4">
        <v>24</v>
      </c>
      <c r="H630" s="4">
        <v>24</v>
      </c>
      <c r="I630" s="4">
        <v>23</v>
      </c>
      <c r="J630" s="4" t="s">
        <v>8</v>
      </c>
      <c r="K630" s="4" t="s">
        <v>9</v>
      </c>
      <c r="L630" s="11">
        <v>1002654974</v>
      </c>
      <c r="M630" s="3">
        <v>24</v>
      </c>
      <c r="N630"/>
      <c r="O630" s="4"/>
      <c r="P630" s="1"/>
      <c r="Q630" s="22"/>
      <c r="R630"/>
      <c r="S630" s="11"/>
      <c r="T630" s="4" t="s">
        <v>68</v>
      </c>
      <c r="U630" s="1" t="e">
        <f>VLOOKUP(data[[#This Row],[Material]],'[1]Hoja para mrp'!$A:$Z,26,0)</f>
        <v>#N/A</v>
      </c>
      <c r="V630" s="1" t="e">
        <f>VLOOKUP(data[[#This Row],[Material]],'[1]Hoja para mrp'!$A:$Z,25,0)</f>
        <v>#N/A</v>
      </c>
    </row>
    <row r="631" spans="2:22" x14ac:dyDescent="0.25">
      <c r="B631" s="4">
        <v>20041001</v>
      </c>
      <c r="C631" s="1" t="s">
        <v>517</v>
      </c>
      <c r="D631" s="4" t="s">
        <v>89</v>
      </c>
      <c r="E631" s="3"/>
      <c r="F631" s="3" t="s">
        <v>69</v>
      </c>
      <c r="G631" s="4">
        <v>12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 t="e">
        <f>VLOOKUP(data[[#This Row],[Material]],'[1]Hoja para mrp'!$A:$Z,26,0)</f>
        <v>#N/A</v>
      </c>
      <c r="V631" s="1" t="e">
        <f>VLOOKUP(data[[#This Row],[Material]],'[1]Hoja para mrp'!$A:$Z,25,0)</f>
        <v>#N/A</v>
      </c>
    </row>
    <row r="632" spans="2:22" x14ac:dyDescent="0.25">
      <c r="B632" s="4">
        <v>20041002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36</v>
      </c>
      <c r="I632" s="4">
        <v>16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 t="e">
        <f>VLOOKUP(data[[#This Row],[Material]],'[1]Hoja para mrp'!$A:$Z,26,0)</f>
        <v>#N/A</v>
      </c>
      <c r="V632" s="1" t="e">
        <f>VLOOKUP(data[[#This Row],[Material]],'[1]Hoja para mrp'!$A:$Z,25,0)</f>
        <v>#N/A</v>
      </c>
    </row>
    <row r="633" spans="2:22" x14ac:dyDescent="0.25">
      <c r="B633" s="4">
        <v>20041003</v>
      </c>
      <c r="C633" s="1" t="s">
        <v>519</v>
      </c>
      <c r="D633" s="4" t="s">
        <v>89</v>
      </c>
      <c r="E633" s="3"/>
      <c r="F633" s="3" t="s">
        <v>69</v>
      </c>
      <c r="G633" s="4">
        <v>11</v>
      </c>
      <c r="H633" s="4">
        <v>12</v>
      </c>
      <c r="I633" s="4">
        <v>147</v>
      </c>
      <c r="J633" s="4" t="s">
        <v>8</v>
      </c>
      <c r="K633" s="4" t="s">
        <v>14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 t="e">
        <f>VLOOKUP(data[[#This Row],[Material]],'[1]Hoja para mrp'!$A:$Z,26,0)</f>
        <v>#N/A</v>
      </c>
      <c r="V633" s="1" t="e">
        <f>VLOOKUP(data[[#This Row],[Material]],'[1]Hoja para mrp'!$A:$Z,25,0)</f>
        <v>#N/A</v>
      </c>
    </row>
    <row r="634" spans="2:22" x14ac:dyDescent="0.25">
      <c r="B634" s="4">
        <v>20041014</v>
      </c>
      <c r="C634" s="1" t="s">
        <v>76</v>
      </c>
      <c r="D634" s="4" t="s">
        <v>89</v>
      </c>
      <c r="E634" s="3"/>
      <c r="F634" s="3" t="s">
        <v>69</v>
      </c>
      <c r="G634" s="4">
        <v>600</v>
      </c>
      <c r="H634" s="4">
        <v>400</v>
      </c>
      <c r="I634" s="4">
        <v>780</v>
      </c>
      <c r="J634" s="4" t="s">
        <v>8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 t="e">
        <f>VLOOKUP(data[[#This Row],[Material]],'[1]Hoja para mrp'!$A:$Z,26,0)</f>
        <v>#N/A</v>
      </c>
      <c r="V634" s="1" t="e">
        <f>VLOOKUP(data[[#This Row],[Material]],'[1]Hoja para mrp'!$A:$Z,25,0)</f>
        <v>#N/A</v>
      </c>
    </row>
    <row r="635" spans="2:22" x14ac:dyDescent="0.25">
      <c r="B635" s="4">
        <v>20041015</v>
      </c>
      <c r="C635" s="1" t="s">
        <v>520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913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 t="e">
        <f>VLOOKUP(data[[#This Row],[Material]],'[1]Hoja para mrp'!$A:$Z,26,0)</f>
        <v>#N/A</v>
      </c>
      <c r="V635" s="1" t="e">
        <f>VLOOKUP(data[[#This Row],[Material]],'[1]Hoja para mrp'!$A:$Z,25,0)</f>
        <v>#N/A</v>
      </c>
    </row>
    <row r="636" spans="2:22" x14ac:dyDescent="0.25">
      <c r="B636" s="4">
        <v>20046227</v>
      </c>
      <c r="C636" s="1" t="s">
        <v>1209</v>
      </c>
      <c r="D636" s="4" t="s">
        <v>89</v>
      </c>
      <c r="E636" s="3"/>
      <c r="F636" s="3" t="s">
        <v>69</v>
      </c>
      <c r="G636" s="4">
        <v>100</v>
      </c>
      <c r="H636" s="4">
        <v>150</v>
      </c>
      <c r="I636" s="4">
        <v>135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71</v>
      </c>
      <c r="U636" s="1" t="e">
        <f>VLOOKUP(data[[#This Row],[Material]],'[1]Hoja para mrp'!$A:$Z,26,0)</f>
        <v>#N/A</v>
      </c>
      <c r="V636" s="1" t="e">
        <f>VLOOKUP(data[[#This Row],[Material]],'[1]Hoja para mrp'!$A:$Z,25,0)</f>
        <v>#N/A</v>
      </c>
    </row>
    <row r="637" spans="2:22" x14ac:dyDescent="0.25">
      <c r="B637" s="4">
        <v>20046228</v>
      </c>
      <c r="C637" s="1" t="s">
        <v>1210</v>
      </c>
      <c r="D637" s="4" t="s">
        <v>89</v>
      </c>
      <c r="E637" s="3"/>
      <c r="F637" s="3" t="s">
        <v>69</v>
      </c>
      <c r="G637" s="4">
        <v>70</v>
      </c>
      <c r="H637" s="4">
        <v>200</v>
      </c>
      <c r="I637" s="4">
        <v>229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 t="e">
        <f>VLOOKUP(data[[#This Row],[Material]],'[1]Hoja para mrp'!$A:$Z,26,0)</f>
        <v>#N/A</v>
      </c>
      <c r="V637" s="1" t="e">
        <f>VLOOKUP(data[[#This Row],[Material]],'[1]Hoja para mrp'!$A:$Z,25,0)</f>
        <v>#N/A</v>
      </c>
    </row>
    <row r="638" spans="2:22" x14ac:dyDescent="0.25">
      <c r="B638" s="4">
        <v>20046229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100</v>
      </c>
      <c r="I638" s="4">
        <v>99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 t="e">
        <f>VLOOKUP(data[[#This Row],[Material]],'[1]Hoja para mrp'!$A:$Z,26,0)</f>
        <v>#N/A</v>
      </c>
      <c r="V638" s="1" t="e">
        <f>VLOOKUP(data[[#This Row],[Material]],'[1]Hoja para mrp'!$A:$Z,25,0)</f>
        <v>#N/A</v>
      </c>
    </row>
    <row r="639" spans="2:22" x14ac:dyDescent="0.25">
      <c r="B639" s="4">
        <v>20046230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128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 t="e">
        <f>VLOOKUP(data[[#This Row],[Material]],'[1]Hoja para mrp'!$A:$Z,26,0)</f>
        <v>#N/A</v>
      </c>
      <c r="V639" s="1" t="e">
        <f>VLOOKUP(data[[#This Row],[Material]],'[1]Hoja para mrp'!$A:$Z,25,0)</f>
        <v>#N/A</v>
      </c>
    </row>
    <row r="640" spans="2:22" x14ac:dyDescent="0.25">
      <c r="B640" s="4">
        <v>20047000</v>
      </c>
      <c r="C640" s="1" t="s">
        <v>521</v>
      </c>
      <c r="D640" s="4" t="s">
        <v>89</v>
      </c>
      <c r="E640" s="3"/>
      <c r="F640" s="3" t="s">
        <v>69</v>
      </c>
      <c r="G640" s="4">
        <v>1000</v>
      </c>
      <c r="H640" s="4">
        <v>1500</v>
      </c>
      <c r="I640" s="4">
        <v>3494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 t="e">
        <f>VLOOKUP(data[[#This Row],[Material]],'[1]Hoja para mrp'!$A:$Z,26,0)</f>
        <v>#N/A</v>
      </c>
      <c r="V640" s="1" t="e">
        <f>VLOOKUP(data[[#This Row],[Material]],'[1]Hoja para mrp'!$A:$Z,25,0)</f>
        <v>#N/A</v>
      </c>
    </row>
    <row r="641" spans="2:23" x14ac:dyDescent="0.25">
      <c r="B641" s="4">
        <v>20048691</v>
      </c>
      <c r="C641" s="1" t="s">
        <v>522</v>
      </c>
      <c r="D641" s="4" t="s">
        <v>89</v>
      </c>
      <c r="E641" s="3"/>
      <c r="F641" s="3" t="s">
        <v>69</v>
      </c>
      <c r="G641" s="4">
        <v>72</v>
      </c>
      <c r="H641" s="4">
        <v>120</v>
      </c>
      <c r="I641" s="4">
        <v>168</v>
      </c>
      <c r="J641" s="4" t="s">
        <v>10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 t="e">
        <f>VLOOKUP(data[[#This Row],[Material]],'[1]Hoja para mrp'!$A:$Z,26,0)</f>
        <v>#N/A</v>
      </c>
      <c r="V641" s="1" t="e">
        <f>VLOOKUP(data[[#This Row],[Material]],'[1]Hoja para mrp'!$A:$Z,25,0)</f>
        <v>#N/A</v>
      </c>
    </row>
    <row r="642" spans="2:23" x14ac:dyDescent="0.25">
      <c r="B642" s="4">
        <v>20050351</v>
      </c>
      <c r="C642" s="1" t="s">
        <v>1112</v>
      </c>
      <c r="D642" s="4" t="s">
        <v>89</v>
      </c>
      <c r="E642" s="3"/>
      <c r="F642" s="3" t="s">
        <v>69</v>
      </c>
      <c r="G642" s="4">
        <v>35</v>
      </c>
      <c r="H642" s="4">
        <v>100</v>
      </c>
      <c r="I642" s="4">
        <v>100</v>
      </c>
      <c r="J642" s="4" t="s">
        <v>8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71</v>
      </c>
      <c r="U642" s="1" t="e">
        <f>VLOOKUP(data[[#This Row],[Material]],'[1]Hoja para mrp'!$A:$Z,26,0)</f>
        <v>#N/A</v>
      </c>
      <c r="V642" s="1" t="e">
        <f>VLOOKUP(data[[#This Row],[Material]],'[1]Hoja para mrp'!$A:$Z,25,0)</f>
        <v>#N/A</v>
      </c>
    </row>
    <row r="643" spans="2:23" x14ac:dyDescent="0.25">
      <c r="B643" s="4">
        <v>20050353</v>
      </c>
      <c r="C643" s="1" t="s">
        <v>1406</v>
      </c>
      <c r="D643" s="4" t="s">
        <v>89</v>
      </c>
      <c r="E643" s="3"/>
      <c r="F643" s="3" t="s">
        <v>69</v>
      </c>
      <c r="G643" s="4">
        <v>6</v>
      </c>
      <c r="H643" s="4">
        <v>10</v>
      </c>
      <c r="I643" s="4">
        <v>8</v>
      </c>
      <c r="J643" s="4" t="s">
        <v>784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71</v>
      </c>
      <c r="U643" s="1" t="e">
        <f>VLOOKUP(data[[#This Row],[Material]],'[1]Hoja para mrp'!$A:$Z,26,0)</f>
        <v>#N/A</v>
      </c>
      <c r="V643" s="1" t="e">
        <f>VLOOKUP(data[[#This Row],[Material]],'[1]Hoja para mrp'!$A:$Z,25,0)</f>
        <v>#N/A</v>
      </c>
    </row>
    <row r="644" spans="2:23" x14ac:dyDescent="0.25">
      <c r="B644" s="4">
        <v>20050354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7</v>
      </c>
      <c r="J644" s="4" t="s">
        <v>784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 t="e">
        <f>VLOOKUP(data[[#This Row],[Material]],'[1]Hoja para mrp'!$A:$Z,26,0)</f>
        <v>#N/A</v>
      </c>
      <c r="V644" s="1" t="e">
        <f>VLOOKUP(data[[#This Row],[Material]],'[1]Hoja para mrp'!$A:$Z,25,0)</f>
        <v>#N/A</v>
      </c>
    </row>
    <row r="645" spans="2:23" x14ac:dyDescent="0.25">
      <c r="B645" s="4">
        <v>20050387</v>
      </c>
      <c r="C645" s="1" t="s">
        <v>795</v>
      </c>
      <c r="D645" s="4" t="s">
        <v>89</v>
      </c>
      <c r="E645" s="3"/>
      <c r="F645" s="3" t="s">
        <v>69</v>
      </c>
      <c r="G645" s="4">
        <v>15</v>
      </c>
      <c r="H645" s="4">
        <v>32</v>
      </c>
      <c r="I645" s="4">
        <v>11</v>
      </c>
      <c r="J645" s="4" t="s">
        <v>8</v>
      </c>
      <c r="K645" s="4" t="s">
        <v>9</v>
      </c>
      <c r="L645" s="11">
        <v>1002660927</v>
      </c>
      <c r="M645" s="3">
        <v>32</v>
      </c>
      <c r="N645"/>
      <c r="O645" s="4"/>
      <c r="P645" s="1"/>
      <c r="Q645" s="22"/>
      <c r="R645"/>
      <c r="S645" s="11"/>
      <c r="T645" s="4" t="s">
        <v>67</v>
      </c>
      <c r="U645" s="1" t="e">
        <f>VLOOKUP(data[[#This Row],[Material]],'[1]Hoja para mrp'!$A:$Z,26,0)</f>
        <v>#N/A</v>
      </c>
      <c r="V645" s="1" t="e">
        <f>VLOOKUP(data[[#This Row],[Material]],'[1]Hoja para mrp'!$A:$Z,25,0)</f>
        <v>#N/A</v>
      </c>
    </row>
    <row r="646" spans="2:23" x14ac:dyDescent="0.25">
      <c r="B646" s="4">
        <v>20050460</v>
      </c>
      <c r="C646" s="1" t="s">
        <v>1441</v>
      </c>
      <c r="D646" s="4" t="s">
        <v>89</v>
      </c>
      <c r="E646" s="3"/>
      <c r="F646" s="3" t="s">
        <v>69</v>
      </c>
      <c r="G646" s="4">
        <v>6</v>
      </c>
      <c r="H646" s="4">
        <v>10</v>
      </c>
      <c r="I646" s="4">
        <v>10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73</v>
      </c>
      <c r="U646" s="1" t="e">
        <f>VLOOKUP(data[[#This Row],[Material]],'[1]Hoja para mrp'!$A:$Z,26,0)</f>
        <v>#N/A</v>
      </c>
      <c r="V646" s="1" t="e">
        <f>VLOOKUP(data[[#This Row],[Material]],'[1]Hoja para mrp'!$A:$Z,25,0)</f>
        <v>#N/A</v>
      </c>
    </row>
    <row r="647" spans="2:23" x14ac:dyDescent="0.25">
      <c r="B647" s="4">
        <v>20058961</v>
      </c>
      <c r="C647" s="1" t="s">
        <v>1227</v>
      </c>
      <c r="D647" s="4" t="s">
        <v>89</v>
      </c>
      <c r="E647" s="3"/>
      <c r="F647" s="3" t="s">
        <v>69</v>
      </c>
      <c r="G647" s="4">
        <v>100</v>
      </c>
      <c r="H647" s="4">
        <v>200</v>
      </c>
      <c r="I647" s="4">
        <v>132</v>
      </c>
      <c r="J647" s="4" t="s">
        <v>21</v>
      </c>
      <c r="K647" s="4" t="s">
        <v>7</v>
      </c>
      <c r="L647" s="11"/>
      <c r="M647" s="66"/>
      <c r="N647"/>
      <c r="O647" s="4"/>
      <c r="P647" s="1"/>
      <c r="Q647" s="22"/>
      <c r="R647"/>
      <c r="S647" s="11"/>
      <c r="T647" s="4" t="s">
        <v>70</v>
      </c>
      <c r="U647" s="1" t="e">
        <f>VLOOKUP(data[[#This Row],[Material]],'[1]Hoja para mrp'!$A:$Z,26,0)</f>
        <v>#N/A</v>
      </c>
      <c r="V647" s="1" t="e">
        <f>VLOOKUP(data[[#This Row],[Material]],'[1]Hoja para mrp'!$A:$Z,25,0)</f>
        <v>#N/A</v>
      </c>
    </row>
    <row r="648" spans="2:23" x14ac:dyDescent="0.25">
      <c r="B648" s="4">
        <v>20059165</v>
      </c>
      <c r="C648" s="1" t="s">
        <v>1268</v>
      </c>
      <c r="D648" s="4" t="s">
        <v>89</v>
      </c>
      <c r="E648" s="3"/>
      <c r="F648" s="3" t="s">
        <v>69</v>
      </c>
      <c r="G648" s="4">
        <v>5</v>
      </c>
      <c r="H648" s="4">
        <v>10</v>
      </c>
      <c r="I648" s="4">
        <v>81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s="4" t="s">
        <v>68</v>
      </c>
      <c r="U648" s="1" t="e">
        <f>VLOOKUP(data[[#This Row],[Material]],'[1]Hoja para mrp'!$A:$Z,26,0)</f>
        <v>#N/A</v>
      </c>
      <c r="V648" s="1" t="e">
        <f>VLOOKUP(data[[#This Row],[Material]],'[1]Hoja para mrp'!$A:$Z,25,0)</f>
        <v>#N/A</v>
      </c>
    </row>
    <row r="649" spans="2:23" x14ac:dyDescent="0.25">
      <c r="B649" s="4">
        <v>20059166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90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 t="e">
        <f>VLOOKUP(data[[#This Row],[Material]],'[1]Hoja para mrp'!$A:$Z,26,0)</f>
        <v>#N/A</v>
      </c>
      <c r="V649" s="1" t="e">
        <f>VLOOKUP(data[[#This Row],[Material]],'[1]Hoja para mrp'!$A:$Z,25,0)</f>
        <v>#N/A</v>
      </c>
    </row>
    <row r="650" spans="2:23" x14ac:dyDescent="0.25">
      <c r="B650" s="4">
        <v>20060483</v>
      </c>
      <c r="C650" s="1" t="s">
        <v>1480</v>
      </c>
      <c r="D650" s="4" t="s">
        <v>89</v>
      </c>
      <c r="E650" s="3"/>
      <c r="F650" s="3" t="s">
        <v>69</v>
      </c>
      <c r="G650" s="4">
        <v>2</v>
      </c>
      <c r="H650" s="4">
        <v>2</v>
      </c>
      <c r="I650" s="4">
        <v>2</v>
      </c>
      <c r="J650" s="4" t="s">
        <v>21</v>
      </c>
      <c r="K650" s="4" t="s">
        <v>7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 t="e">
        <f>VLOOKUP(data[[#This Row],[Material]],'[1]Hoja para mrp'!$A:$Z,26,0)</f>
        <v>#N/A</v>
      </c>
      <c r="V650" s="1" t="e">
        <f>VLOOKUP(data[[#This Row],[Material]],'[1]Hoja para mrp'!$A:$Z,25,0)</f>
        <v>#N/A</v>
      </c>
    </row>
    <row r="651" spans="2:23" x14ac:dyDescent="0.25">
      <c r="B651" s="4">
        <v>20062125</v>
      </c>
      <c r="C651" s="1" t="s">
        <v>1335</v>
      </c>
      <c r="D651" s="4" t="s">
        <v>89</v>
      </c>
      <c r="E651" s="3"/>
      <c r="F651" s="3" t="s">
        <v>69</v>
      </c>
      <c r="G651" s="4">
        <v>20000</v>
      </c>
      <c r="H651" s="4">
        <v>30000</v>
      </c>
      <c r="I651" s="4">
        <v>33000</v>
      </c>
      <c r="J651" s="4" t="s">
        <v>10</v>
      </c>
      <c r="K651" s="4" t="s">
        <v>7</v>
      </c>
      <c r="L651" s="11"/>
      <c r="M651" s="3"/>
      <c r="N651"/>
      <c r="O651" s="4"/>
      <c r="P651" s="1"/>
      <c r="Q651" s="22"/>
      <c r="R651"/>
      <c r="S651" s="11" t="s">
        <v>1590</v>
      </c>
      <c r="T651" s="4" t="s">
        <v>71</v>
      </c>
      <c r="U651" s="1" t="e">
        <f>VLOOKUP(data[[#This Row],[Material]],'[1]Hoja para mrp'!$A:$Z,26,0)</f>
        <v>#N/A</v>
      </c>
      <c r="V651" s="1" t="e">
        <f>VLOOKUP(data[[#This Row],[Material]],'[1]Hoja para mrp'!$A:$Z,25,0)</f>
        <v>#N/A</v>
      </c>
    </row>
    <row r="652" spans="2:23" x14ac:dyDescent="0.25">
      <c r="B652" s="4">
        <v>20062126</v>
      </c>
      <c r="C652" s="1" t="s">
        <v>1289</v>
      </c>
      <c r="D652" s="4" t="s">
        <v>89</v>
      </c>
      <c r="E652" s="3"/>
      <c r="F652" s="3" t="s">
        <v>69</v>
      </c>
      <c r="G652" s="4">
        <v>2</v>
      </c>
      <c r="H652" s="4">
        <v>4</v>
      </c>
      <c r="I652" s="4">
        <v>4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73</v>
      </c>
      <c r="U652" s="1" t="e">
        <f>VLOOKUP(data[[#This Row],[Material]],'[1]Hoja para mrp'!$A:$Z,26,0)</f>
        <v>#N/A</v>
      </c>
      <c r="V652" s="1" t="e">
        <f>VLOOKUP(data[[#This Row],[Material]],'[1]Hoja para mrp'!$A:$Z,25,0)</f>
        <v>#N/A</v>
      </c>
    </row>
    <row r="653" spans="2:23" x14ac:dyDescent="0.25">
      <c r="B653" s="4">
        <v>20064476</v>
      </c>
      <c r="C653" s="1" t="s">
        <v>1481</v>
      </c>
      <c r="D653" s="4" t="s">
        <v>89</v>
      </c>
      <c r="E653" s="3"/>
      <c r="F653" s="3" t="s">
        <v>69</v>
      </c>
      <c r="G653" s="4">
        <v>20</v>
      </c>
      <c r="H653" s="4">
        <v>20</v>
      </c>
      <c r="I653" s="4">
        <v>40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71</v>
      </c>
      <c r="U653" s="1" t="e">
        <f>VLOOKUP(data[[#This Row],[Material]],'[1]Hoja para mrp'!$A:$Z,26,0)</f>
        <v>#N/A</v>
      </c>
      <c r="V653" s="1" t="e">
        <f>VLOOKUP(data[[#This Row],[Material]],'[1]Hoja para mrp'!$A:$Z,25,0)</f>
        <v>#N/A</v>
      </c>
    </row>
    <row r="654" spans="2:23" x14ac:dyDescent="0.25">
      <c r="B654" s="4">
        <v>20069666</v>
      </c>
      <c r="C654" s="1" t="s">
        <v>1505</v>
      </c>
      <c r="D654" s="4" t="s">
        <v>89</v>
      </c>
      <c r="E654" s="3"/>
      <c r="F654" s="3" t="s">
        <v>69</v>
      </c>
      <c r="G654" s="4">
        <v>4</v>
      </c>
      <c r="H654" s="4">
        <v>4</v>
      </c>
      <c r="I654" s="4">
        <v>7</v>
      </c>
      <c r="J654" s="4" t="s">
        <v>8</v>
      </c>
      <c r="K654" s="4" t="s">
        <v>7</v>
      </c>
      <c r="L654" s="11"/>
      <c r="M654" s="3"/>
      <c r="N654"/>
      <c r="O654" s="16"/>
      <c r="P654" s="73"/>
      <c r="Q654" s="23"/>
      <c r="R654"/>
      <c r="S654" s="11"/>
      <c r="T654" s="4" t="s">
        <v>66</v>
      </c>
      <c r="U654" s="1" t="e">
        <f>VLOOKUP(data[[#This Row],[Material]],'[1]Hoja para mrp'!$A:$Z,26,0)</f>
        <v>#N/A</v>
      </c>
      <c r="V654" s="1" t="e">
        <f>VLOOKUP(data[[#This Row],[Material]],'[1]Hoja para mrp'!$A:$Z,25,0)</f>
        <v>#N/A</v>
      </c>
    </row>
    <row r="655" spans="2:23" x14ac:dyDescent="0.25">
      <c r="B655" s="4">
        <v>20069977</v>
      </c>
      <c r="C655" s="1" t="s">
        <v>1432</v>
      </c>
      <c r="D655" s="4" t="s">
        <v>89</v>
      </c>
      <c r="E655" s="3"/>
      <c r="F655" s="3" t="s">
        <v>69</v>
      </c>
      <c r="G655" s="4">
        <v>20</v>
      </c>
      <c r="H655" s="4">
        <v>60</v>
      </c>
      <c r="I655" s="4">
        <v>38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71</v>
      </c>
      <c r="U655" s="1" t="e">
        <f>VLOOKUP(data[[#This Row],[Material]],'[1]Hoja para mrp'!$A:$Z,26,0)</f>
        <v>#N/A</v>
      </c>
      <c r="V655" s="1" t="e">
        <f>VLOOKUP(data[[#This Row],[Material]],'[1]Hoja para mrp'!$A:$Z,25,0)</f>
        <v>#N/A</v>
      </c>
    </row>
    <row r="656" spans="2:23" x14ac:dyDescent="0.25">
      <c r="B656" s="4">
        <v>20070039</v>
      </c>
      <c r="C656" s="1" t="s">
        <v>1580</v>
      </c>
      <c r="D656" s="4" t="s">
        <v>89</v>
      </c>
      <c r="E656" s="3"/>
      <c r="F656" s="3" t="s">
        <v>69</v>
      </c>
      <c r="G656" s="4">
        <v>100</v>
      </c>
      <c r="H656" s="4">
        <v>100</v>
      </c>
      <c r="I656" s="4">
        <v>0</v>
      </c>
      <c r="J656" s="4" t="s">
        <v>8</v>
      </c>
      <c r="K656" s="4" t="s">
        <v>13</v>
      </c>
      <c r="L656" s="11"/>
      <c r="M656" s="3"/>
      <c r="N656">
        <v>4502666323</v>
      </c>
      <c r="O656" s="4">
        <v>300</v>
      </c>
      <c r="P656" s="1" t="s">
        <v>1585</v>
      </c>
      <c r="Q656" s="22">
        <v>46146</v>
      </c>
      <c r="R656"/>
      <c r="S656" s="11"/>
      <c r="T656" s="4" t="s">
        <v>66</v>
      </c>
      <c r="U656" s="1" t="e">
        <f>VLOOKUP(data[[#This Row],[Material]],'[1]Hoja para mrp'!$A:$Z,26,0)</f>
        <v>#N/A</v>
      </c>
      <c r="V656" s="1" t="e">
        <f>VLOOKUP(data[[#This Row],[Material]],'[1]Hoja para mrp'!$A:$Z,25,0)</f>
        <v>#N/A</v>
      </c>
      <c r="W656" s="1" t="s">
        <v>1682</v>
      </c>
    </row>
    <row r="657" spans="2:22" x14ac:dyDescent="0.25">
      <c r="B657" s="4">
        <v>20070347</v>
      </c>
      <c r="C657" s="1" t="s">
        <v>1446</v>
      </c>
      <c r="D657" s="4" t="s">
        <v>89</v>
      </c>
      <c r="E657" s="3"/>
      <c r="F657" s="3" t="s">
        <v>69</v>
      </c>
      <c r="G657" s="4">
        <v>250</v>
      </c>
      <c r="H657" s="4">
        <v>400</v>
      </c>
      <c r="I657" s="4">
        <v>267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67</v>
      </c>
      <c r="U657" s="1" t="e">
        <f>VLOOKUP(data[[#This Row],[Material]],'[1]Hoja para mrp'!$A:$Z,26,0)</f>
        <v>#N/A</v>
      </c>
      <c r="V657" s="1" t="e">
        <f>VLOOKUP(data[[#This Row],[Material]],'[1]Hoja para mrp'!$A:$Z,25,0)</f>
        <v>#N/A</v>
      </c>
    </row>
    <row r="658" spans="2:22" x14ac:dyDescent="0.25">
      <c r="B658" s="4">
        <v>20070759</v>
      </c>
      <c r="C658" s="1" t="s">
        <v>1401</v>
      </c>
      <c r="D658" s="4" t="s">
        <v>89</v>
      </c>
      <c r="E658" s="3"/>
      <c r="F658" s="3" t="s">
        <v>69</v>
      </c>
      <c r="G658" s="4">
        <v>10</v>
      </c>
      <c r="H658" s="4">
        <v>20</v>
      </c>
      <c r="I658" s="4">
        <v>15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70</v>
      </c>
      <c r="U658" s="1" t="e">
        <f>VLOOKUP(data[[#This Row],[Material]],'[1]Hoja para mrp'!$A:$Z,26,0)</f>
        <v>#N/A</v>
      </c>
      <c r="V658" s="1" t="e">
        <f>VLOOKUP(data[[#This Row],[Material]],'[1]Hoja para mrp'!$A:$Z,25,0)</f>
        <v>#N/A</v>
      </c>
    </row>
    <row r="659" spans="2:22" x14ac:dyDescent="0.25">
      <c r="B659" s="4">
        <v>20070881</v>
      </c>
      <c r="C659" s="1" t="s">
        <v>1400</v>
      </c>
      <c r="D659" s="4" t="s">
        <v>89</v>
      </c>
      <c r="E659" s="3"/>
      <c r="F659" s="3" t="s">
        <v>69</v>
      </c>
      <c r="G659" s="4">
        <v>4</v>
      </c>
      <c r="H659" s="4">
        <v>2</v>
      </c>
      <c r="I659" s="4">
        <v>6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68</v>
      </c>
      <c r="U659" s="1" t="e">
        <f>VLOOKUP(data[[#This Row],[Material]],'[1]Hoja para mrp'!$A:$Z,26,0)</f>
        <v>#N/A</v>
      </c>
      <c r="V659" s="1" t="e">
        <f>VLOOKUP(data[[#This Row],[Material]],'[1]Hoja para mrp'!$A:$Z,25,0)</f>
        <v>#N/A</v>
      </c>
    </row>
    <row r="660" spans="2:22" x14ac:dyDescent="0.25">
      <c r="B660" s="4">
        <v>20070888</v>
      </c>
      <c r="C660" s="1" t="s">
        <v>1427</v>
      </c>
      <c r="D660" s="4" t="s">
        <v>89</v>
      </c>
      <c r="E660" s="3"/>
      <c r="F660" s="3" t="s">
        <v>69</v>
      </c>
      <c r="G660" s="4">
        <v>10</v>
      </c>
      <c r="H660" s="4">
        <v>10</v>
      </c>
      <c r="I660" s="4">
        <v>9</v>
      </c>
      <c r="J660" s="4" t="s">
        <v>8</v>
      </c>
      <c r="K660" s="4" t="s">
        <v>9</v>
      </c>
      <c r="L660" s="11" t="s">
        <v>1668</v>
      </c>
      <c r="M660" s="3">
        <v>10</v>
      </c>
      <c r="N660"/>
      <c r="O660" s="4"/>
      <c r="P660" s="1"/>
      <c r="Q660" s="22"/>
      <c r="R660"/>
      <c r="S660" s="11"/>
      <c r="T660" s="4" t="s">
        <v>67</v>
      </c>
      <c r="U660" s="1" t="e">
        <f>VLOOKUP(data[[#This Row],[Material]],'[1]Hoja para mrp'!$A:$Z,26,0)</f>
        <v>#N/A</v>
      </c>
      <c r="V660" s="1" t="e">
        <f>VLOOKUP(data[[#This Row],[Material]],'[1]Hoja para mrp'!$A:$Z,25,0)</f>
        <v>#N/A</v>
      </c>
    </row>
    <row r="661" spans="2:22" x14ac:dyDescent="0.25">
      <c r="B661" s="4">
        <v>20073205</v>
      </c>
      <c r="C661" s="1" t="s">
        <v>1482</v>
      </c>
      <c r="D661" s="4" t="s">
        <v>89</v>
      </c>
      <c r="E661" s="3"/>
      <c r="F661" s="3" t="s">
        <v>69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70</v>
      </c>
      <c r="U661" s="1" t="e">
        <f>VLOOKUP(data[[#This Row],[Material]],'[1]Hoja para mrp'!$A:$Z,26,0)</f>
        <v>#N/A</v>
      </c>
      <c r="V661" s="1" t="e">
        <f>VLOOKUP(data[[#This Row],[Material]],'[1]Hoja para mrp'!$A:$Z,25,0)</f>
        <v>#N/A</v>
      </c>
    </row>
    <row r="662" spans="2:22" x14ac:dyDescent="0.25">
      <c r="B662" s="4">
        <v>20076418</v>
      </c>
      <c r="C662" s="1" t="s">
        <v>1514</v>
      </c>
      <c r="D662" s="4" t="s">
        <v>89</v>
      </c>
      <c r="E662" s="3"/>
      <c r="F662" s="3" t="s">
        <v>69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 t="e">
        <f>VLOOKUP(data[[#This Row],[Material]],'[1]Hoja para mrp'!$A:$Z,26,0)</f>
        <v>#N/A</v>
      </c>
      <c r="V662" s="1" t="e">
        <f>VLOOKUP(data[[#This Row],[Material]],'[1]Hoja para mrp'!$A:$Z,25,0)</f>
        <v>#N/A</v>
      </c>
    </row>
    <row r="663" spans="2:22" x14ac:dyDescent="0.25">
      <c r="B663" s="4">
        <v>20078273</v>
      </c>
      <c r="C663" s="1" t="s">
        <v>1559</v>
      </c>
      <c r="D663" s="4" t="s">
        <v>89</v>
      </c>
      <c r="E663" s="3"/>
      <c r="F663" s="3" t="s">
        <v>69</v>
      </c>
      <c r="G663" s="4">
        <v>30</v>
      </c>
      <c r="H663" s="4">
        <v>50</v>
      </c>
      <c r="I663" s="4">
        <v>50</v>
      </c>
      <c r="J663" s="4" t="s">
        <v>23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68</v>
      </c>
      <c r="U663" s="1" t="e">
        <f>VLOOKUP(data[[#This Row],[Material]],'[1]Hoja para mrp'!$A:$Z,26,0)</f>
        <v>#N/A</v>
      </c>
      <c r="V663" s="1" t="e">
        <f>VLOOKUP(data[[#This Row],[Material]],'[1]Hoja para mrp'!$A:$Z,25,0)</f>
        <v>#N/A</v>
      </c>
    </row>
    <row r="664" spans="2:22" x14ac:dyDescent="0.25">
      <c r="B664" s="4">
        <v>30005406</v>
      </c>
      <c r="C664" s="1" t="s">
        <v>796</v>
      </c>
      <c r="D664" s="4" t="s">
        <v>89</v>
      </c>
      <c r="E664" s="3"/>
      <c r="F664" s="3" t="s">
        <v>105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66</v>
      </c>
      <c r="U664" s="1" t="e">
        <f>VLOOKUP(data[[#This Row],[Material]],'[1]Hoja para mrp'!$A:$Z,26,0)</f>
        <v>#N/A</v>
      </c>
      <c r="V664" s="1" t="e">
        <f>VLOOKUP(data[[#This Row],[Material]],'[1]Hoja para mrp'!$A:$Z,25,0)</f>
        <v>#N/A</v>
      </c>
    </row>
    <row r="665" spans="2:22" x14ac:dyDescent="0.25">
      <c r="B665" s="4">
        <v>30005783</v>
      </c>
      <c r="C665" s="1" t="s">
        <v>523</v>
      </c>
      <c r="D665" s="4" t="s">
        <v>89</v>
      </c>
      <c r="E665" s="3"/>
      <c r="F665" s="3" t="s">
        <v>69</v>
      </c>
      <c r="G665" s="4">
        <v>60</v>
      </c>
      <c r="H665" s="4">
        <v>40</v>
      </c>
      <c r="I665" s="4">
        <v>77</v>
      </c>
      <c r="J665" s="4" t="s">
        <v>8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73</v>
      </c>
      <c r="U665" s="1" t="e">
        <f>VLOOKUP(data[[#This Row],[Material]],'[1]Hoja para mrp'!$A:$Z,26,0)</f>
        <v>#N/A</v>
      </c>
      <c r="V665" s="1" t="e">
        <f>VLOOKUP(data[[#This Row],[Material]],'[1]Hoja para mrp'!$A:$Z,25,0)</f>
        <v>#N/A</v>
      </c>
    </row>
    <row r="666" spans="2:22" x14ac:dyDescent="0.25">
      <c r="B666" s="4">
        <v>30006055</v>
      </c>
      <c r="C666" s="1" t="s">
        <v>1113</v>
      </c>
      <c r="D666" s="4" t="s">
        <v>89</v>
      </c>
      <c r="E666" s="3"/>
      <c r="F666" s="3" t="s">
        <v>69</v>
      </c>
      <c r="G666" s="4">
        <v>72</v>
      </c>
      <c r="H666" s="4">
        <v>72</v>
      </c>
      <c r="I666" s="4">
        <v>100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74</v>
      </c>
      <c r="U666" s="1" t="e">
        <f>VLOOKUP(data[[#This Row],[Material]],'[1]Hoja para mrp'!$A:$Z,26,0)</f>
        <v>#N/A</v>
      </c>
      <c r="V666" s="1" t="e">
        <f>VLOOKUP(data[[#This Row],[Material]],'[1]Hoja para mrp'!$A:$Z,25,0)</f>
        <v>#N/A</v>
      </c>
    </row>
    <row r="667" spans="2:22" x14ac:dyDescent="0.25">
      <c r="B667" s="4">
        <v>30006066</v>
      </c>
      <c r="C667" s="1" t="s">
        <v>1442</v>
      </c>
      <c r="D667" s="4" t="s">
        <v>89</v>
      </c>
      <c r="E667" s="3"/>
      <c r="F667" s="3" t="s">
        <v>69</v>
      </c>
      <c r="G667" s="4">
        <v>100</v>
      </c>
      <c r="H667" s="4">
        <v>200</v>
      </c>
      <c r="I667" s="4">
        <v>160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 t="e">
        <f>VLOOKUP(data[[#This Row],[Material]],'[1]Hoja para mrp'!$A:$Z,26,0)</f>
        <v>#N/A</v>
      </c>
      <c r="V667" s="1" t="e">
        <f>VLOOKUP(data[[#This Row],[Material]],'[1]Hoja para mrp'!$A:$Z,25,0)</f>
        <v>#N/A</v>
      </c>
    </row>
    <row r="668" spans="2:22" x14ac:dyDescent="0.25">
      <c r="B668" s="4">
        <v>30006079</v>
      </c>
      <c r="C668" s="1" t="s">
        <v>1498</v>
      </c>
      <c r="D668" s="4" t="s">
        <v>89</v>
      </c>
      <c r="E668" s="3"/>
      <c r="F668" s="3" t="s">
        <v>69</v>
      </c>
      <c r="G668" s="4">
        <v>4</v>
      </c>
      <c r="H668" s="4">
        <v>2</v>
      </c>
      <c r="I668" s="4">
        <v>6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73</v>
      </c>
      <c r="U668" s="1" t="e">
        <f>VLOOKUP(data[[#This Row],[Material]],'[1]Hoja para mrp'!$A:$Z,26,0)</f>
        <v>#N/A</v>
      </c>
      <c r="V668" s="1" t="e">
        <f>VLOOKUP(data[[#This Row],[Material]],'[1]Hoja para mrp'!$A:$Z,25,0)</f>
        <v>#N/A</v>
      </c>
    </row>
    <row r="669" spans="2:22" x14ac:dyDescent="0.25">
      <c r="B669" s="4">
        <v>30006476</v>
      </c>
      <c r="C669" s="1" t="s">
        <v>524</v>
      </c>
      <c r="D669" s="4" t="s">
        <v>89</v>
      </c>
      <c r="E669" s="3"/>
      <c r="F669" s="3" t="s">
        <v>69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73</v>
      </c>
      <c r="U669" s="1" t="e">
        <f>VLOOKUP(data[[#This Row],[Material]],'[1]Hoja para mrp'!$A:$Z,26,0)</f>
        <v>#N/A</v>
      </c>
      <c r="V669" s="1" t="e">
        <f>VLOOKUP(data[[#This Row],[Material]],'[1]Hoja para mrp'!$A:$Z,25,0)</f>
        <v>#N/A</v>
      </c>
    </row>
    <row r="670" spans="2:22" x14ac:dyDescent="0.25">
      <c r="B670" s="4">
        <v>30006477</v>
      </c>
      <c r="C670" s="1" t="s">
        <v>525</v>
      </c>
      <c r="D670" s="4" t="s">
        <v>89</v>
      </c>
      <c r="E670" s="3"/>
      <c r="F670" s="3" t="s">
        <v>69</v>
      </c>
      <c r="G670" s="4">
        <v>7</v>
      </c>
      <c r="H670" s="4">
        <v>10</v>
      </c>
      <c r="I670" s="4">
        <v>20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 t="e">
        <f>VLOOKUP(data[[#This Row],[Material]],'[1]Hoja para mrp'!$A:$Z,26,0)</f>
        <v>#N/A</v>
      </c>
      <c r="V670" s="1" t="e">
        <f>VLOOKUP(data[[#This Row],[Material]],'[1]Hoja para mrp'!$A:$Z,25,0)</f>
        <v>#N/A</v>
      </c>
    </row>
    <row r="671" spans="2:22" x14ac:dyDescent="0.25">
      <c r="B671" s="4">
        <v>30006494</v>
      </c>
      <c r="C671" s="1" t="s">
        <v>526</v>
      </c>
      <c r="D671" s="4" t="s">
        <v>89</v>
      </c>
      <c r="E671" s="3"/>
      <c r="F671" s="3" t="s">
        <v>69</v>
      </c>
      <c r="G671" s="4">
        <v>12</v>
      </c>
      <c r="H671" s="4">
        <v>10</v>
      </c>
      <c r="I671" s="4">
        <v>16</v>
      </c>
      <c r="J671" s="4" t="s">
        <v>8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s="4" t="s">
        <v>66</v>
      </c>
      <c r="U671" s="1" t="e">
        <f>VLOOKUP(data[[#This Row],[Material]],'[1]Hoja para mrp'!$A:$Z,26,0)</f>
        <v>#N/A</v>
      </c>
      <c r="V671" s="1" t="e">
        <f>VLOOKUP(data[[#This Row],[Material]],'[1]Hoja para mrp'!$A:$Z,25,0)</f>
        <v>#N/A</v>
      </c>
    </row>
    <row r="672" spans="2:22" x14ac:dyDescent="0.25">
      <c r="B672" s="4">
        <v>30006495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12</v>
      </c>
      <c r="J672" s="4" t="s">
        <v>8</v>
      </c>
      <c r="K672" s="4" t="s">
        <v>7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 t="e">
        <f>VLOOKUP(data[[#This Row],[Material]],'[1]Hoja para mrp'!$A:$Z,26,0)</f>
        <v>#N/A</v>
      </c>
      <c r="V672" s="1" t="e">
        <f>VLOOKUP(data[[#This Row],[Material]],'[1]Hoja para mrp'!$A:$Z,25,0)</f>
        <v>#N/A</v>
      </c>
    </row>
    <row r="673" spans="2:22" x14ac:dyDescent="0.25">
      <c r="B673" s="4">
        <v>30006496</v>
      </c>
      <c r="C673" s="1" t="s">
        <v>1405</v>
      </c>
      <c r="D673" s="4" t="s">
        <v>89</v>
      </c>
      <c r="E673" s="3"/>
      <c r="F673" s="3" t="s">
        <v>105</v>
      </c>
      <c r="G673" s="4">
        <v>3</v>
      </c>
      <c r="H673" s="4">
        <v>6</v>
      </c>
      <c r="I673" s="4">
        <v>0</v>
      </c>
      <c r="J673" s="4" t="s">
        <v>8</v>
      </c>
      <c r="K673" s="4" t="s">
        <v>13</v>
      </c>
      <c r="L673" s="11"/>
      <c r="M673" s="3"/>
      <c r="N673">
        <v>4700161517</v>
      </c>
      <c r="O673" s="4">
        <v>1</v>
      </c>
      <c r="P673" s="1" t="s">
        <v>1638</v>
      </c>
      <c r="Q673" s="22">
        <v>46192</v>
      </c>
      <c r="R673"/>
      <c r="S673" s="11"/>
      <c r="T673" s="4" t="s">
        <v>66</v>
      </c>
      <c r="U673" s="1" t="str">
        <f>VLOOKUP(data[[#This Row],[Material]],'[1]Hoja para mrp'!$A:$Z,26,0)</f>
        <v>1ra compra</v>
      </c>
      <c r="V673" s="1">
        <f>VLOOKUP(data[[#This Row],[Material]],'[1]Hoja para mrp'!$A:$Z,25,0)</f>
        <v>9</v>
      </c>
    </row>
    <row r="674" spans="2:22" x14ac:dyDescent="0.25">
      <c r="B674" s="4">
        <v>30006497</v>
      </c>
      <c r="C674" s="1" t="s">
        <v>528</v>
      </c>
      <c r="D674" s="4" t="s">
        <v>89</v>
      </c>
      <c r="E674" s="3"/>
      <c r="F674" s="3" t="s">
        <v>69</v>
      </c>
      <c r="G674" s="4">
        <v>12</v>
      </c>
      <c r="H674" s="4">
        <v>10</v>
      </c>
      <c r="I674" s="4">
        <v>12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66</v>
      </c>
      <c r="U674" s="1" t="e">
        <f>VLOOKUP(data[[#This Row],[Material]],'[1]Hoja para mrp'!$A:$Z,26,0)</f>
        <v>#N/A</v>
      </c>
      <c r="V674" s="1" t="e">
        <f>VLOOKUP(data[[#This Row],[Material]],'[1]Hoja para mrp'!$A:$Z,25,0)</f>
        <v>#N/A</v>
      </c>
    </row>
    <row r="675" spans="2:22" x14ac:dyDescent="0.25">
      <c r="B675" s="4">
        <v>30006537</v>
      </c>
      <c r="C675" s="1" t="s">
        <v>1308</v>
      </c>
      <c r="D675" s="4" t="s">
        <v>89</v>
      </c>
      <c r="E675" s="3"/>
      <c r="F675" s="3" t="s">
        <v>69</v>
      </c>
      <c r="G675" s="4">
        <v>4</v>
      </c>
      <c r="H675" s="4">
        <v>8</v>
      </c>
      <c r="I675" s="4">
        <v>4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73</v>
      </c>
      <c r="U675" s="1" t="e">
        <f>VLOOKUP(data[[#This Row],[Material]],'[1]Hoja para mrp'!$A:$Z,26,0)</f>
        <v>#N/A</v>
      </c>
      <c r="V675" s="1" t="e">
        <f>VLOOKUP(data[[#This Row],[Material]],'[1]Hoja para mrp'!$A:$Z,25,0)</f>
        <v>#N/A</v>
      </c>
    </row>
    <row r="676" spans="2:22" x14ac:dyDescent="0.25">
      <c r="B676" s="4">
        <v>30006538</v>
      </c>
      <c r="C676" s="1" t="s">
        <v>529</v>
      </c>
      <c r="D676" s="4" t="s">
        <v>89</v>
      </c>
      <c r="E676" s="3"/>
      <c r="F676" s="3" t="s">
        <v>69</v>
      </c>
      <c r="G676" s="4">
        <v>6</v>
      </c>
      <c r="H676" s="4">
        <v>6</v>
      </c>
      <c r="I676" s="4">
        <v>13</v>
      </c>
      <c r="J676" s="4" t="s">
        <v>8</v>
      </c>
      <c r="K676" s="4" t="s">
        <v>14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 t="e">
        <f>VLOOKUP(data[[#This Row],[Material]],'[1]Hoja para mrp'!$A:$Z,26,0)</f>
        <v>#N/A</v>
      </c>
      <c r="V676" s="1" t="e">
        <f>VLOOKUP(data[[#This Row],[Material]],'[1]Hoja para mrp'!$A:$Z,25,0)</f>
        <v>#N/A</v>
      </c>
    </row>
    <row r="677" spans="2:22" x14ac:dyDescent="0.25">
      <c r="B677" s="4">
        <v>30006583</v>
      </c>
      <c r="C677" s="1" t="s">
        <v>1264</v>
      </c>
      <c r="D677" s="4" t="s">
        <v>89</v>
      </c>
      <c r="E677" s="3"/>
      <c r="F677" s="3" t="s">
        <v>69</v>
      </c>
      <c r="G677" s="4">
        <v>21</v>
      </c>
      <c r="H677" s="4">
        <v>40</v>
      </c>
      <c r="I677" s="4">
        <v>29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66</v>
      </c>
      <c r="U677" s="1" t="e">
        <f>VLOOKUP(data[[#This Row],[Material]],'[1]Hoja para mrp'!$A:$Z,26,0)</f>
        <v>#N/A</v>
      </c>
      <c r="V677" s="1" t="e">
        <f>VLOOKUP(data[[#This Row],[Material]],'[1]Hoja para mrp'!$A:$Z,25,0)</f>
        <v>#N/A</v>
      </c>
    </row>
    <row r="678" spans="2:22" x14ac:dyDescent="0.25">
      <c r="B678" s="4">
        <v>30006604</v>
      </c>
      <c r="C678" s="1" t="s">
        <v>1117</v>
      </c>
      <c r="D678" s="4" t="s">
        <v>89</v>
      </c>
      <c r="E678" s="3" t="s">
        <v>1228</v>
      </c>
      <c r="F678" s="3" t="s">
        <v>105</v>
      </c>
      <c r="G678" s="4">
        <v>150</v>
      </c>
      <c r="H678" s="4">
        <v>150</v>
      </c>
      <c r="I678" s="4">
        <v>47</v>
      </c>
      <c r="J678" s="4" t="s">
        <v>8</v>
      </c>
      <c r="K678" s="4" t="s">
        <v>9</v>
      </c>
      <c r="L678" s="11"/>
      <c r="M678" s="3"/>
      <c r="N678">
        <v>4502681276</v>
      </c>
      <c r="O678" s="4">
        <v>200</v>
      </c>
      <c r="P678" s="1" t="s">
        <v>1567</v>
      </c>
      <c r="Q678" s="22">
        <v>46206</v>
      </c>
      <c r="R678"/>
      <c r="S678" s="11" t="s">
        <v>1630</v>
      </c>
      <c r="T678" s="4" t="s">
        <v>74</v>
      </c>
      <c r="U678" s="1" t="str">
        <f>VLOOKUP(data[[#This Row],[Material]],'[1]Hoja para mrp'!$A:$Z,26,0)</f>
        <v>2da compra</v>
      </c>
      <c r="V678" s="1">
        <f>VLOOKUP(data[[#This Row],[Material]],'[1]Hoja para mrp'!$A:$Z,25,0)</f>
        <v>150</v>
      </c>
    </row>
    <row r="679" spans="2:22" x14ac:dyDescent="0.25">
      <c r="B679" s="4">
        <v>30006605</v>
      </c>
      <c r="C679" s="1" t="s">
        <v>1118</v>
      </c>
      <c r="D679" s="4" t="s">
        <v>89</v>
      </c>
      <c r="E679" s="3"/>
      <c r="F679" s="3" t="s">
        <v>105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74</v>
      </c>
      <c r="U679" s="1" t="e">
        <f>VLOOKUP(data[[#This Row],[Material]],'[1]Hoja para mrp'!$A:$Z,26,0)</f>
        <v>#N/A</v>
      </c>
      <c r="V679" s="1" t="e">
        <f>VLOOKUP(data[[#This Row],[Material]],'[1]Hoja para mrp'!$A:$Z,25,0)</f>
        <v>#N/A</v>
      </c>
    </row>
    <row r="680" spans="2:22" x14ac:dyDescent="0.25">
      <c r="B680" s="4">
        <v>30006607</v>
      </c>
      <c r="C680" s="1" t="s">
        <v>1119</v>
      </c>
      <c r="D680" s="4" t="s">
        <v>89</v>
      </c>
      <c r="E680" s="3" t="s">
        <v>1228</v>
      </c>
      <c r="F680" s="3" t="s">
        <v>105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 t="e">
        <f>VLOOKUP(data[[#This Row],[Material]],'[1]Hoja para mrp'!$A:$Z,26,0)</f>
        <v>#N/A</v>
      </c>
      <c r="V680" s="1" t="e">
        <f>VLOOKUP(data[[#This Row],[Material]],'[1]Hoja para mrp'!$A:$Z,25,0)</f>
        <v>#N/A</v>
      </c>
    </row>
    <row r="681" spans="2:22" x14ac:dyDescent="0.25">
      <c r="B681" s="4">
        <v>30006608</v>
      </c>
      <c r="C681" s="1" t="s">
        <v>1521</v>
      </c>
      <c r="D681" s="4" t="s">
        <v>89</v>
      </c>
      <c r="E681" s="3"/>
      <c r="F681" s="3" t="s">
        <v>69</v>
      </c>
      <c r="G681" s="4">
        <v>5</v>
      </c>
      <c r="H681" s="4">
        <v>3</v>
      </c>
      <c r="I681" s="4">
        <v>13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67</v>
      </c>
      <c r="U681" s="1" t="e">
        <f>VLOOKUP(data[[#This Row],[Material]],'[1]Hoja para mrp'!$A:$Z,26,0)</f>
        <v>#N/A</v>
      </c>
      <c r="V681" s="1" t="e">
        <f>VLOOKUP(data[[#This Row],[Material]],'[1]Hoja para mrp'!$A:$Z,25,0)</f>
        <v>#N/A</v>
      </c>
    </row>
    <row r="682" spans="2:22" x14ac:dyDescent="0.25">
      <c r="B682" s="4">
        <v>30006610</v>
      </c>
      <c r="C682" s="1" t="s">
        <v>1120</v>
      </c>
      <c r="D682" s="4" t="s">
        <v>89</v>
      </c>
      <c r="E682" s="3"/>
      <c r="F682" s="3" t="s">
        <v>105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>
        <v>1002666337</v>
      </c>
      <c r="M682" s="3">
        <v>63</v>
      </c>
      <c r="N682"/>
      <c r="O682" s="4"/>
      <c r="P682" s="1"/>
      <c r="Q682" s="22"/>
      <c r="R682"/>
      <c r="S682" s="11"/>
      <c r="T682" s="4" t="s">
        <v>74</v>
      </c>
      <c r="U682" s="1" t="str">
        <f>VLOOKUP(data[[#This Row],[Material]],'[1]Hoja para mrp'!$A:$Z,26,0)</f>
        <v>1ra compra</v>
      </c>
      <c r="V682" s="1">
        <f>VLOOKUP(data[[#This Row],[Material]],'[1]Hoja para mrp'!$A:$Z,25,0)</f>
        <v>63</v>
      </c>
    </row>
    <row r="683" spans="2:22" x14ac:dyDescent="0.25">
      <c r="B683" s="4">
        <v>30006612</v>
      </c>
      <c r="C683" s="1" t="s">
        <v>1121</v>
      </c>
      <c r="D683" s="4" t="s">
        <v>89</v>
      </c>
      <c r="E683" s="3"/>
      <c r="F683" s="3" t="s">
        <v>105</v>
      </c>
      <c r="G683" s="4">
        <v>3</v>
      </c>
      <c r="H683" s="4">
        <v>2</v>
      </c>
      <c r="I683" s="4">
        <v>2</v>
      </c>
      <c r="J683" s="4" t="s">
        <v>8</v>
      </c>
      <c r="K683" s="4" t="s">
        <v>9</v>
      </c>
      <c r="L683" s="11"/>
      <c r="M683" s="3"/>
      <c r="N683">
        <v>4502681044</v>
      </c>
      <c r="O683" s="4">
        <v>2</v>
      </c>
      <c r="P683" s="1" t="s">
        <v>1567</v>
      </c>
      <c r="Q683" s="22">
        <v>46200</v>
      </c>
      <c r="R683"/>
      <c r="S683" s="11"/>
      <c r="T683" s="4" t="s">
        <v>74</v>
      </c>
      <c r="U683" s="1" t="str">
        <f>VLOOKUP(data[[#This Row],[Material]],'[1]Hoja para mrp'!$A:$Z,26,0)</f>
        <v>2da compra</v>
      </c>
      <c r="V683" s="1">
        <f>VLOOKUP(data[[#This Row],[Material]],'[1]Hoja para mrp'!$A:$Z,25,0)</f>
        <v>2</v>
      </c>
    </row>
    <row r="684" spans="2:22" x14ac:dyDescent="0.25">
      <c r="B684" s="4">
        <v>30006616</v>
      </c>
      <c r="C684" s="1" t="s">
        <v>1122</v>
      </c>
      <c r="D684" s="4" t="s">
        <v>89</v>
      </c>
      <c r="E684" s="3"/>
      <c r="F684" s="3" t="s">
        <v>105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 t="s">
        <v>1669</v>
      </c>
      <c r="M684" s="3">
        <v>8</v>
      </c>
      <c r="N684"/>
      <c r="O684" s="4"/>
      <c r="P684" s="1"/>
      <c r="Q684" s="22"/>
      <c r="R684"/>
      <c r="S684" s="11"/>
      <c r="T684" s="4" t="s">
        <v>74</v>
      </c>
      <c r="U684" s="1" t="str">
        <f>VLOOKUP(data[[#This Row],[Material]],'[1]Hoja para mrp'!$A:$Z,26,0)</f>
        <v>1ra compra</v>
      </c>
      <c r="V684" s="1">
        <f>VLOOKUP(data[[#This Row],[Material]],'[1]Hoja para mrp'!$A:$Z,25,0)</f>
        <v>8</v>
      </c>
    </row>
    <row r="685" spans="2:22" x14ac:dyDescent="0.25">
      <c r="B685" s="4">
        <v>30006617</v>
      </c>
      <c r="C685" s="1" t="s">
        <v>1123</v>
      </c>
      <c r="D685" s="4" t="s">
        <v>89</v>
      </c>
      <c r="E685" s="3" t="s">
        <v>1228</v>
      </c>
      <c r="F685" s="3" t="s">
        <v>105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 t="s">
        <v>1659</v>
      </c>
      <c r="M685" s="3"/>
      <c r="N685"/>
      <c r="O685" s="4"/>
      <c r="P685" s="1"/>
      <c r="Q685" s="22"/>
      <c r="R685"/>
      <c r="S685" s="11" t="s">
        <v>1602</v>
      </c>
      <c r="T685" s="4" t="s">
        <v>74</v>
      </c>
      <c r="U685" s="1" t="str">
        <f>VLOOKUP(data[[#This Row],[Material]],'[1]Hoja para mrp'!$A:$Z,26,0)</f>
        <v>1ra compra</v>
      </c>
      <c r="V685" s="1">
        <f>VLOOKUP(data[[#This Row],[Material]],'[1]Hoja para mrp'!$A:$Z,25,0)</f>
        <v>41</v>
      </c>
    </row>
    <row r="686" spans="2:22" x14ac:dyDescent="0.25">
      <c r="B686" s="4">
        <v>30006619</v>
      </c>
      <c r="C686" s="1" t="s">
        <v>1124</v>
      </c>
      <c r="D686" s="4" t="s">
        <v>89</v>
      </c>
      <c r="E686" s="3"/>
      <c r="F686" s="3" t="s">
        <v>105</v>
      </c>
      <c r="G686" s="4">
        <v>61</v>
      </c>
      <c r="H686" s="4">
        <v>60</v>
      </c>
      <c r="I686" s="4">
        <v>274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74</v>
      </c>
      <c r="U686" s="1" t="e">
        <f>VLOOKUP(data[[#This Row],[Material]],'[1]Hoja para mrp'!$A:$Z,26,0)</f>
        <v>#N/A</v>
      </c>
      <c r="V686" s="1" t="e">
        <f>VLOOKUP(data[[#This Row],[Material]],'[1]Hoja para mrp'!$A:$Z,25,0)</f>
        <v>#N/A</v>
      </c>
    </row>
    <row r="687" spans="2:22" x14ac:dyDescent="0.25">
      <c r="B687" s="4">
        <v>30006621</v>
      </c>
      <c r="C687" s="1" t="s">
        <v>1125</v>
      </c>
      <c r="D687" s="4" t="s">
        <v>89</v>
      </c>
      <c r="E687" s="3" t="s">
        <v>1228</v>
      </c>
      <c r="F687" s="3" t="s">
        <v>105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 t="e">
        <f>VLOOKUP(data[[#This Row],[Material]],'[1]Hoja para mrp'!$A:$Z,26,0)</f>
        <v>#N/A</v>
      </c>
      <c r="V687" s="1" t="e">
        <f>VLOOKUP(data[[#This Row],[Material]],'[1]Hoja para mrp'!$A:$Z,25,0)</f>
        <v>#N/A</v>
      </c>
    </row>
    <row r="688" spans="2:22" x14ac:dyDescent="0.25">
      <c r="B688" s="4">
        <v>30006623</v>
      </c>
      <c r="C688" s="1" t="s">
        <v>530</v>
      </c>
      <c r="D688" s="4" t="s">
        <v>89</v>
      </c>
      <c r="E688" s="3" t="s">
        <v>1228</v>
      </c>
      <c r="F688" s="3" t="s">
        <v>105</v>
      </c>
      <c r="G688" s="4">
        <v>120</v>
      </c>
      <c r="H688" s="4">
        <v>300</v>
      </c>
      <c r="I688" s="4">
        <v>348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 t="e">
        <f>VLOOKUP(data[[#This Row],[Material]],'[1]Hoja para mrp'!$A:$Z,26,0)</f>
        <v>#N/A</v>
      </c>
      <c r="V688" s="1" t="e">
        <f>VLOOKUP(data[[#This Row],[Material]],'[1]Hoja para mrp'!$A:$Z,25,0)</f>
        <v>#N/A</v>
      </c>
    </row>
    <row r="689" spans="2:22" x14ac:dyDescent="0.25">
      <c r="B689" s="4">
        <v>30006630</v>
      </c>
      <c r="C689" s="1" t="s">
        <v>1126</v>
      </c>
      <c r="D689" s="4" t="s">
        <v>89</v>
      </c>
      <c r="E689" s="3"/>
      <c r="F689" s="3" t="s">
        <v>105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>
        <v>1002666229</v>
      </c>
      <c r="M689" s="3">
        <v>10</v>
      </c>
      <c r="N689"/>
      <c r="O689" s="4"/>
      <c r="P689" s="1"/>
      <c r="Q689" s="22"/>
      <c r="R689"/>
      <c r="S689" s="11"/>
      <c r="T689" s="4" t="s">
        <v>74</v>
      </c>
      <c r="U689" s="1" t="str">
        <f>VLOOKUP(data[[#This Row],[Material]],'[1]Hoja para mrp'!$A:$Z,26,0)</f>
        <v>2da compra</v>
      </c>
      <c r="V689" s="1">
        <f>VLOOKUP(data[[#This Row],[Material]],'[1]Hoja para mrp'!$A:$Z,25,0)</f>
        <v>8</v>
      </c>
    </row>
    <row r="690" spans="2:22" x14ac:dyDescent="0.25">
      <c r="B690" s="4">
        <v>30006632</v>
      </c>
      <c r="C690" s="1" t="s">
        <v>1127</v>
      </c>
      <c r="D690" s="4" t="s">
        <v>89</v>
      </c>
      <c r="E690" s="3" t="s">
        <v>1228</v>
      </c>
      <c r="F690" s="3" t="s">
        <v>105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 t="s">
        <v>1669</v>
      </c>
      <c r="M690" s="3">
        <v>2</v>
      </c>
      <c r="N690"/>
      <c r="O690" s="4"/>
      <c r="P690" s="1"/>
      <c r="Q690" s="22"/>
      <c r="R690"/>
      <c r="S690" s="11"/>
      <c r="T690" s="4" t="s">
        <v>74</v>
      </c>
      <c r="U690" s="1" t="str">
        <f>VLOOKUP(data[[#This Row],[Material]],'[1]Hoja para mrp'!$A:$Z,26,0)</f>
        <v>1ra compra</v>
      </c>
      <c r="V690" s="1">
        <f>VLOOKUP(data[[#This Row],[Material]],'[1]Hoja para mrp'!$A:$Z,25,0)</f>
        <v>2</v>
      </c>
    </row>
    <row r="691" spans="2:22" x14ac:dyDescent="0.25">
      <c r="B691" s="4">
        <v>30006634</v>
      </c>
      <c r="C691" s="1" t="s">
        <v>1128</v>
      </c>
      <c r="D691" s="4" t="s">
        <v>89</v>
      </c>
      <c r="E691" s="72"/>
      <c r="F691" s="3" t="s">
        <v>105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 t="e">
        <f>VLOOKUP(data[[#This Row],[Material]],'[1]Hoja para mrp'!$A:$Z,26,0)</f>
        <v>#N/A</v>
      </c>
      <c r="V691" s="1" t="e">
        <f>VLOOKUP(data[[#This Row],[Material]],'[1]Hoja para mrp'!$A:$Z,25,0)</f>
        <v>#N/A</v>
      </c>
    </row>
    <row r="692" spans="2:22" x14ac:dyDescent="0.25">
      <c r="B692" s="4">
        <v>30006637</v>
      </c>
      <c r="C692" s="1" t="s">
        <v>1129</v>
      </c>
      <c r="D692" s="4" t="s">
        <v>89</v>
      </c>
      <c r="E692" s="3"/>
      <c r="F692" s="3" t="s">
        <v>105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 t="e">
        <f>VLOOKUP(data[[#This Row],[Material]],'[1]Hoja para mrp'!$A:$Z,26,0)</f>
        <v>#N/A</v>
      </c>
      <c r="V692" s="1" t="e">
        <f>VLOOKUP(data[[#This Row],[Material]],'[1]Hoja para mrp'!$A:$Z,25,0)</f>
        <v>#N/A</v>
      </c>
    </row>
    <row r="693" spans="2:22" x14ac:dyDescent="0.25">
      <c r="B693" s="4">
        <v>30006710</v>
      </c>
      <c r="C693" s="1" t="s">
        <v>1130</v>
      </c>
      <c r="D693" s="4" t="s">
        <v>89</v>
      </c>
      <c r="E693" s="3"/>
      <c r="F693" s="3" t="s">
        <v>105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66</v>
      </c>
      <c r="U693" s="1" t="e">
        <f>VLOOKUP(data[[#This Row],[Material]],'[1]Hoja para mrp'!$A:$Z,26,0)</f>
        <v>#N/A</v>
      </c>
      <c r="V693" s="1" t="e">
        <f>VLOOKUP(data[[#This Row],[Material]],'[1]Hoja para mrp'!$A:$Z,25,0)</f>
        <v>#N/A</v>
      </c>
    </row>
    <row r="694" spans="2:22" x14ac:dyDescent="0.25">
      <c r="B694" s="4">
        <v>30006711</v>
      </c>
      <c r="C694" s="1" t="s">
        <v>1131</v>
      </c>
      <c r="D694" s="4" t="s">
        <v>89</v>
      </c>
      <c r="E694" s="3"/>
      <c r="F694" s="3" t="s">
        <v>105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>
        <v>1002666229</v>
      </c>
      <c r="M694" s="3">
        <v>5</v>
      </c>
      <c r="N694"/>
      <c r="O694" s="4"/>
      <c r="P694" s="1"/>
      <c r="Q694" s="22"/>
      <c r="R694"/>
      <c r="S694" s="11"/>
      <c r="T694" s="4" t="s">
        <v>66</v>
      </c>
      <c r="U694" s="1" t="e">
        <f>VLOOKUP(data[[#This Row],[Material]],'[1]Hoja para mrp'!$A:$Z,26,0)</f>
        <v>#N/A</v>
      </c>
      <c r="V694" s="1" t="e">
        <f>VLOOKUP(data[[#This Row],[Material]],'[1]Hoja para mrp'!$A:$Z,25,0)</f>
        <v>#N/A</v>
      </c>
    </row>
    <row r="695" spans="2:22" x14ac:dyDescent="0.25">
      <c r="B695" s="4">
        <v>30006712</v>
      </c>
      <c r="C695" s="1" t="s">
        <v>1132</v>
      </c>
      <c r="D695" s="4" t="s">
        <v>89</v>
      </c>
      <c r="E695" s="3"/>
      <c r="F695" s="3" t="s">
        <v>105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 t="e">
        <f>VLOOKUP(data[[#This Row],[Material]],'[1]Hoja para mrp'!$A:$Z,26,0)</f>
        <v>#N/A</v>
      </c>
      <c r="V695" s="1" t="e">
        <f>VLOOKUP(data[[#This Row],[Material]],'[1]Hoja para mrp'!$A:$Z,25,0)</f>
        <v>#N/A</v>
      </c>
    </row>
    <row r="696" spans="2:22" x14ac:dyDescent="0.25">
      <c r="B696" s="4">
        <v>30006713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 t="s">
        <v>1667</v>
      </c>
      <c r="M696" s="3">
        <v>8</v>
      </c>
      <c r="N696"/>
      <c r="O696" s="4"/>
      <c r="P696" s="1"/>
      <c r="Q696" s="22"/>
      <c r="R696"/>
      <c r="S696" s="11"/>
      <c r="T696" s="4" t="s">
        <v>66</v>
      </c>
      <c r="U696" s="1" t="str">
        <f>VLOOKUP(data[[#This Row],[Material]],'[1]Hoja para mrp'!$A:$Z,26,0)</f>
        <v>1ra compra</v>
      </c>
      <c r="V696" s="1">
        <f>VLOOKUP(data[[#This Row],[Material]],'[1]Hoja para mrp'!$A:$Z,25,0)</f>
        <v>8</v>
      </c>
    </row>
    <row r="697" spans="2:22" x14ac:dyDescent="0.25">
      <c r="B697" s="4">
        <v>30006715</v>
      </c>
      <c r="C697" s="1" t="s">
        <v>1435</v>
      </c>
      <c r="D697" s="4" t="s">
        <v>89</v>
      </c>
      <c r="E697" s="3" t="s">
        <v>1228</v>
      </c>
      <c r="F697" s="3" t="s">
        <v>105</v>
      </c>
      <c r="G697" s="4">
        <v>21</v>
      </c>
      <c r="H697" s="4">
        <v>20</v>
      </c>
      <c r="I697" s="4">
        <v>25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 t="str">
        <f>VLOOKUP(data[[#This Row],[Material]],'[1]Hoja para mrp'!$A:$Z,26,0)</f>
        <v>2da compra</v>
      </c>
      <c r="V697" s="1">
        <f>VLOOKUP(data[[#This Row],[Material]],'[1]Hoja para mrp'!$A:$Z,25,0)</f>
        <v>20</v>
      </c>
    </row>
    <row r="698" spans="2:22" x14ac:dyDescent="0.25">
      <c r="B698" s="4">
        <v>30006716</v>
      </c>
      <c r="C698" s="1" t="s">
        <v>1135</v>
      </c>
      <c r="D698" s="4" t="s">
        <v>89</v>
      </c>
      <c r="E698" s="3"/>
      <c r="F698" s="3" t="s">
        <v>105</v>
      </c>
      <c r="G698" s="4">
        <v>17</v>
      </c>
      <c r="H698" s="4">
        <v>16</v>
      </c>
      <c r="I698" s="4">
        <v>17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 t="str">
        <f>VLOOKUP(data[[#This Row],[Material]],'[1]Hoja para mrp'!$A:$Z,26,0)</f>
        <v>2da compra</v>
      </c>
      <c r="V698" s="1">
        <f>VLOOKUP(data[[#This Row],[Material]],'[1]Hoja para mrp'!$A:$Z,25,0)</f>
        <v>16</v>
      </c>
    </row>
    <row r="699" spans="2:22" x14ac:dyDescent="0.25">
      <c r="B699" s="4">
        <v>30006717</v>
      </c>
      <c r="C699" s="1" t="s">
        <v>1136</v>
      </c>
      <c r="D699" s="4" t="s">
        <v>89</v>
      </c>
      <c r="E699" s="3" t="s">
        <v>1228</v>
      </c>
      <c r="F699" s="3" t="s">
        <v>105</v>
      </c>
      <c r="G699" s="4">
        <v>21</v>
      </c>
      <c r="H699" s="4">
        <v>20</v>
      </c>
      <c r="I699" s="4">
        <v>21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 t="str">
        <f>VLOOKUP(data[[#This Row],[Material]],'[1]Hoja para mrp'!$A:$Z,26,0)</f>
        <v>2da compra</v>
      </c>
      <c r="V699" s="1">
        <f>VLOOKUP(data[[#This Row],[Material]],'[1]Hoja para mrp'!$A:$Z,25,0)</f>
        <v>20</v>
      </c>
    </row>
    <row r="700" spans="2:22" x14ac:dyDescent="0.25">
      <c r="B700" s="4">
        <v>30006723</v>
      </c>
      <c r="C700" s="1" t="s">
        <v>1137</v>
      </c>
      <c r="D700" s="4" t="s">
        <v>89</v>
      </c>
      <c r="E700" s="3" t="s">
        <v>1228</v>
      </c>
      <c r="F700" s="3" t="s">
        <v>105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 t="e">
        <f>VLOOKUP(data[[#This Row],[Material]],'[1]Hoja para mrp'!$A:$Z,26,0)</f>
        <v>#N/A</v>
      </c>
      <c r="V700" s="1" t="e">
        <f>VLOOKUP(data[[#This Row],[Material]],'[1]Hoja para mrp'!$A:$Z,25,0)</f>
        <v>#N/A</v>
      </c>
    </row>
    <row r="701" spans="2:22" x14ac:dyDescent="0.25">
      <c r="B701" s="4">
        <v>30006724</v>
      </c>
      <c r="C701" s="1" t="s">
        <v>531</v>
      </c>
      <c r="D701" s="4" t="s">
        <v>89</v>
      </c>
      <c r="E701" s="3" t="s">
        <v>1228</v>
      </c>
      <c r="F701" s="3" t="s">
        <v>105</v>
      </c>
      <c r="G701" s="4">
        <v>21</v>
      </c>
      <c r="H701" s="4">
        <v>20</v>
      </c>
      <c r="I701" s="4">
        <v>20</v>
      </c>
      <c r="J701" s="4" t="s">
        <v>8</v>
      </c>
      <c r="K701" s="4" t="s">
        <v>9</v>
      </c>
      <c r="L701" s="11"/>
      <c r="M701" s="3"/>
      <c r="N701">
        <v>4502682122</v>
      </c>
      <c r="O701" s="4">
        <v>20</v>
      </c>
      <c r="P701" s="1" t="s">
        <v>1650</v>
      </c>
      <c r="Q701" s="22">
        <v>46195</v>
      </c>
      <c r="R701"/>
      <c r="S701" s="11"/>
      <c r="T701" s="4" t="s">
        <v>66</v>
      </c>
      <c r="U701" s="1" t="e">
        <f>VLOOKUP(data[[#This Row],[Material]],'[1]Hoja para mrp'!$A:$Z,26,0)</f>
        <v>#N/A</v>
      </c>
      <c r="V701" s="1" t="e">
        <f>VLOOKUP(data[[#This Row],[Material]],'[1]Hoja para mrp'!$A:$Z,25,0)</f>
        <v>#N/A</v>
      </c>
    </row>
    <row r="702" spans="2:22" x14ac:dyDescent="0.25">
      <c r="B702" s="4">
        <v>30006725</v>
      </c>
      <c r="C702" s="1" t="s">
        <v>1138</v>
      </c>
      <c r="D702" s="4" t="s">
        <v>89</v>
      </c>
      <c r="E702" s="3"/>
      <c r="F702" s="3" t="s">
        <v>105</v>
      </c>
      <c r="G702" s="4">
        <v>21</v>
      </c>
      <c r="H702" s="4">
        <v>20</v>
      </c>
      <c r="I702" s="4">
        <v>39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 t="e">
        <f>VLOOKUP(data[[#This Row],[Material]],'[1]Hoja para mrp'!$A:$Z,26,0)</f>
        <v>#N/A</v>
      </c>
      <c r="V702" s="1" t="e">
        <f>VLOOKUP(data[[#This Row],[Material]],'[1]Hoja para mrp'!$A:$Z,25,0)</f>
        <v>#N/A</v>
      </c>
    </row>
    <row r="703" spans="2:22" x14ac:dyDescent="0.25">
      <c r="B703" s="4">
        <v>30006726</v>
      </c>
      <c r="C703" s="1" t="s">
        <v>1139</v>
      </c>
      <c r="D703" s="4" t="s">
        <v>89</v>
      </c>
      <c r="E703" s="3"/>
      <c r="F703" s="3" t="s">
        <v>105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 t="e">
        <f>VLOOKUP(data[[#This Row],[Material]],'[1]Hoja para mrp'!$A:$Z,26,0)</f>
        <v>#N/A</v>
      </c>
      <c r="V703" s="1" t="e">
        <f>VLOOKUP(data[[#This Row],[Material]],'[1]Hoja para mrp'!$A:$Z,25,0)</f>
        <v>#N/A</v>
      </c>
    </row>
    <row r="704" spans="2:22" x14ac:dyDescent="0.25">
      <c r="B704" s="4">
        <v>30006727</v>
      </c>
      <c r="C704" s="1" t="s">
        <v>1140</v>
      </c>
      <c r="D704" s="4" t="s">
        <v>89</v>
      </c>
      <c r="E704" s="3"/>
      <c r="F704" s="3" t="s">
        <v>105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 t="e">
        <f>VLOOKUP(data[[#This Row],[Material]],'[1]Hoja para mrp'!$A:$Z,26,0)</f>
        <v>#N/A</v>
      </c>
      <c r="V704" s="1" t="e">
        <f>VLOOKUP(data[[#This Row],[Material]],'[1]Hoja para mrp'!$A:$Z,25,0)</f>
        <v>#N/A</v>
      </c>
    </row>
    <row r="705" spans="2:22" x14ac:dyDescent="0.25">
      <c r="B705" s="4">
        <v>30006735</v>
      </c>
      <c r="C705" s="1" t="s">
        <v>1141</v>
      </c>
      <c r="D705" s="4" t="s">
        <v>89</v>
      </c>
      <c r="E705" s="3"/>
      <c r="F705" s="3" t="s">
        <v>105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67</v>
      </c>
      <c r="U705" s="1" t="e">
        <f>VLOOKUP(data[[#This Row],[Material]],'[1]Hoja para mrp'!$A:$Z,26,0)</f>
        <v>#N/A</v>
      </c>
      <c r="V705" s="1" t="e">
        <f>VLOOKUP(data[[#This Row],[Material]],'[1]Hoja para mrp'!$A:$Z,25,0)</f>
        <v>#N/A</v>
      </c>
    </row>
    <row r="706" spans="2:22" x14ac:dyDescent="0.25">
      <c r="B706" s="4">
        <v>30006736</v>
      </c>
      <c r="C706" s="1" t="s">
        <v>1142</v>
      </c>
      <c r="D706" s="4" t="s">
        <v>89</v>
      </c>
      <c r="E706" s="3" t="s">
        <v>1228</v>
      </c>
      <c r="F706" s="3" t="s">
        <v>105</v>
      </c>
      <c r="G706" s="4">
        <v>7</v>
      </c>
      <c r="H706" s="4">
        <v>6</v>
      </c>
      <c r="I706" s="4">
        <v>7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66</v>
      </c>
      <c r="U706" s="1" t="e">
        <f>VLOOKUP(data[[#This Row],[Material]],'[1]Hoja para mrp'!$A:$Z,26,0)</f>
        <v>#N/A</v>
      </c>
      <c r="V706" s="1" t="e">
        <f>VLOOKUP(data[[#This Row],[Material]],'[1]Hoja para mrp'!$A:$Z,25,0)</f>
        <v>#N/A</v>
      </c>
    </row>
    <row r="707" spans="2:22" x14ac:dyDescent="0.25">
      <c r="B707" s="4">
        <v>30006739</v>
      </c>
      <c r="C707" s="1" t="s">
        <v>1069</v>
      </c>
      <c r="D707" s="4" t="s">
        <v>89</v>
      </c>
      <c r="E707" s="3" t="s">
        <v>1228</v>
      </c>
      <c r="F707" s="3" t="s">
        <v>105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 t="e">
        <f>VLOOKUP(data[[#This Row],[Material]],'[1]Hoja para mrp'!$A:$Z,26,0)</f>
        <v>#N/A</v>
      </c>
      <c r="V707" s="1" t="e">
        <f>VLOOKUP(data[[#This Row],[Material]],'[1]Hoja para mrp'!$A:$Z,25,0)</f>
        <v>#N/A</v>
      </c>
    </row>
    <row r="708" spans="2:22" x14ac:dyDescent="0.25">
      <c r="B708" s="4">
        <v>30007130</v>
      </c>
      <c r="C708" s="1" t="s">
        <v>1061</v>
      </c>
      <c r="D708" s="4" t="s">
        <v>89</v>
      </c>
      <c r="E708" s="3"/>
      <c r="F708" s="3" t="s">
        <v>69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 t="e">
        <f>VLOOKUP(data[[#This Row],[Material]],'[1]Hoja para mrp'!$A:$Z,26,0)</f>
        <v>#N/A</v>
      </c>
      <c r="V708" s="1" t="e">
        <f>VLOOKUP(data[[#This Row],[Material]],'[1]Hoja para mrp'!$A:$Z,25,0)</f>
        <v>#N/A</v>
      </c>
    </row>
    <row r="709" spans="2:22" x14ac:dyDescent="0.25">
      <c r="B709" s="4">
        <v>30007152</v>
      </c>
      <c r="C709" s="1" t="s">
        <v>1144</v>
      </c>
      <c r="D709" s="4" t="s">
        <v>89</v>
      </c>
      <c r="E709" s="3" t="s">
        <v>1228</v>
      </c>
      <c r="F709" s="3" t="s">
        <v>105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74</v>
      </c>
      <c r="U709" s="1" t="e">
        <f>VLOOKUP(data[[#This Row],[Material]],'[1]Hoja para mrp'!$A:$Z,26,0)</f>
        <v>#N/A</v>
      </c>
      <c r="V709" s="1" t="e">
        <f>VLOOKUP(data[[#This Row],[Material]],'[1]Hoja para mrp'!$A:$Z,25,0)</f>
        <v>#N/A</v>
      </c>
    </row>
    <row r="710" spans="2:22" x14ac:dyDescent="0.25">
      <c r="B710" s="4">
        <v>30007327</v>
      </c>
      <c r="C710" s="1" t="s">
        <v>797</v>
      </c>
      <c r="D710" s="4" t="s">
        <v>89</v>
      </c>
      <c r="E710" s="3" t="s">
        <v>1228</v>
      </c>
      <c r="F710" s="3" t="s">
        <v>105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67</v>
      </c>
      <c r="U710" s="1" t="e">
        <f>VLOOKUP(data[[#This Row],[Material]],'[1]Hoja para mrp'!$A:$Z,26,0)</f>
        <v>#N/A</v>
      </c>
      <c r="V710" s="1" t="e">
        <f>VLOOKUP(data[[#This Row],[Material]],'[1]Hoja para mrp'!$A:$Z,25,0)</f>
        <v>#N/A</v>
      </c>
    </row>
    <row r="711" spans="2:22" x14ac:dyDescent="0.25">
      <c r="B711" s="4">
        <v>30007328</v>
      </c>
      <c r="C711" s="1" t="s">
        <v>798</v>
      </c>
      <c r="D711" s="4" t="s">
        <v>89</v>
      </c>
      <c r="E711" s="3" t="s">
        <v>1228</v>
      </c>
      <c r="F711" s="3" t="s">
        <v>105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 t="e">
        <f>VLOOKUP(data[[#This Row],[Material]],'[1]Hoja para mrp'!$A:$Z,26,0)</f>
        <v>#N/A</v>
      </c>
      <c r="V711" s="1" t="e">
        <f>VLOOKUP(data[[#This Row],[Material]],'[1]Hoja para mrp'!$A:$Z,25,0)</f>
        <v>#N/A</v>
      </c>
    </row>
    <row r="712" spans="2:22" x14ac:dyDescent="0.25">
      <c r="B712" s="4">
        <v>30007329</v>
      </c>
      <c r="C712" s="1" t="s">
        <v>799</v>
      </c>
      <c r="D712" s="4" t="s">
        <v>89</v>
      </c>
      <c r="E712" s="3"/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 t="e">
        <f>VLOOKUP(data[[#This Row],[Material]],'[1]Hoja para mrp'!$A:$Z,26,0)</f>
        <v>#N/A</v>
      </c>
      <c r="V712" s="1" t="e">
        <f>VLOOKUP(data[[#This Row],[Material]],'[1]Hoja para mrp'!$A:$Z,25,0)</f>
        <v>#N/A</v>
      </c>
    </row>
    <row r="713" spans="2:22" x14ac:dyDescent="0.25">
      <c r="B713" s="4">
        <v>30007330</v>
      </c>
      <c r="C713" s="1" t="s">
        <v>800</v>
      </c>
      <c r="D713" s="4" t="s">
        <v>89</v>
      </c>
      <c r="E713" s="3" t="s">
        <v>1228</v>
      </c>
      <c r="F713" s="3" t="s">
        <v>105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69"/>
      <c r="M713" s="3"/>
      <c r="N713"/>
      <c r="O713" s="4"/>
      <c r="P713" s="1"/>
      <c r="Q713" s="22"/>
      <c r="R713"/>
      <c r="S713" s="11"/>
      <c r="T713" s="4" t="s">
        <v>67</v>
      </c>
      <c r="U713" s="1" t="e">
        <f>VLOOKUP(data[[#This Row],[Material]],'[1]Hoja para mrp'!$A:$Z,26,0)</f>
        <v>#N/A</v>
      </c>
      <c r="V713" s="1" t="e">
        <f>VLOOKUP(data[[#This Row],[Material]],'[1]Hoja para mrp'!$A:$Z,25,0)</f>
        <v>#N/A</v>
      </c>
    </row>
    <row r="714" spans="2:22" x14ac:dyDescent="0.25">
      <c r="B714" s="4">
        <v>30007331</v>
      </c>
      <c r="C714" s="1" t="s">
        <v>801</v>
      </c>
      <c r="D714" s="4" t="s">
        <v>89</v>
      </c>
      <c r="E714" s="3" t="s">
        <v>1228</v>
      </c>
      <c r="F714" s="3" t="s">
        <v>105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 t="str">
        <f>VLOOKUP(data[[#This Row],[Material]],'[1]Hoja para mrp'!$A:$Z,26,0)</f>
        <v>2da compra</v>
      </c>
      <c r="V714" s="1">
        <f>VLOOKUP(data[[#This Row],[Material]],'[1]Hoja para mrp'!$A:$Z,25,0)</f>
        <v>2</v>
      </c>
    </row>
    <row r="715" spans="2:22" x14ac:dyDescent="0.25">
      <c r="B715" s="4">
        <v>30007332</v>
      </c>
      <c r="C715" s="1" t="s">
        <v>802</v>
      </c>
      <c r="D715" s="4" t="s">
        <v>89</v>
      </c>
      <c r="E715" s="3" t="s">
        <v>1228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 t="str">
        <f>VLOOKUP(data[[#This Row],[Material]],'[1]Hoja para mrp'!$A:$Z,26,0)</f>
        <v>2da compra</v>
      </c>
      <c r="V715" s="1">
        <f>VLOOKUP(data[[#This Row],[Material]],'[1]Hoja para mrp'!$A:$Z,25,0)</f>
        <v>2</v>
      </c>
    </row>
    <row r="716" spans="2:22" x14ac:dyDescent="0.25">
      <c r="B716" s="4">
        <v>30007362</v>
      </c>
      <c r="C716" s="1" t="s">
        <v>803</v>
      </c>
      <c r="D716" s="4" t="s">
        <v>89</v>
      </c>
      <c r="E716" s="3"/>
      <c r="F716" s="3" t="s">
        <v>105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74</v>
      </c>
      <c r="U716" s="1" t="e">
        <f>VLOOKUP(data[[#This Row],[Material]],'[1]Hoja para mrp'!$A:$Z,26,0)</f>
        <v>#N/A</v>
      </c>
      <c r="V716" s="1" t="e">
        <f>VLOOKUP(data[[#This Row],[Material]],'[1]Hoja para mrp'!$A:$Z,25,0)</f>
        <v>#N/A</v>
      </c>
    </row>
    <row r="717" spans="2:22" x14ac:dyDescent="0.25">
      <c r="B717" s="4">
        <v>30007363</v>
      </c>
      <c r="C717" s="1" t="s">
        <v>804</v>
      </c>
      <c r="D717" s="4" t="s">
        <v>89</v>
      </c>
      <c r="E717" s="3" t="s">
        <v>1228</v>
      </c>
      <c r="F717" s="3" t="s">
        <v>105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66</v>
      </c>
      <c r="U717" s="1" t="str">
        <f>VLOOKUP(data[[#This Row],[Material]],'[1]Hoja para mrp'!$A:$Z,26,0)</f>
        <v>2da compra</v>
      </c>
      <c r="V717" s="1">
        <f>VLOOKUP(data[[#This Row],[Material]],'[1]Hoja para mrp'!$A:$Z,25,0)</f>
        <v>2</v>
      </c>
    </row>
    <row r="718" spans="2:22" x14ac:dyDescent="0.25">
      <c r="B718" s="4">
        <v>30007365</v>
      </c>
      <c r="C718" s="1" t="s">
        <v>805</v>
      </c>
      <c r="D718" s="4" t="s">
        <v>89</v>
      </c>
      <c r="E718" s="3"/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 t="str">
        <f>VLOOKUP(data[[#This Row],[Material]],'[1]Hoja para mrp'!$A:$Z,26,0)</f>
        <v>2da compra</v>
      </c>
      <c r="V718" s="1">
        <f>VLOOKUP(data[[#This Row],[Material]],'[1]Hoja para mrp'!$A:$Z,25,0)</f>
        <v>2</v>
      </c>
    </row>
    <row r="719" spans="2:22" x14ac:dyDescent="0.25">
      <c r="B719" s="4">
        <v>30007367</v>
      </c>
      <c r="C719" s="1" t="s">
        <v>806</v>
      </c>
      <c r="D719" s="4" t="s">
        <v>89</v>
      </c>
      <c r="E719" s="3" t="s">
        <v>1228</v>
      </c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67</v>
      </c>
      <c r="U719" s="1" t="e">
        <f>VLOOKUP(data[[#This Row],[Material]],'[1]Hoja para mrp'!$A:$Z,26,0)</f>
        <v>#N/A</v>
      </c>
      <c r="V719" s="1" t="e">
        <f>VLOOKUP(data[[#This Row],[Material]],'[1]Hoja para mrp'!$A:$Z,25,0)</f>
        <v>#N/A</v>
      </c>
    </row>
    <row r="720" spans="2:22" x14ac:dyDescent="0.25">
      <c r="B720" s="4">
        <v>30007368</v>
      </c>
      <c r="C720" s="1" t="s">
        <v>807</v>
      </c>
      <c r="D720" s="4" t="s">
        <v>89</v>
      </c>
      <c r="E720" s="3" t="s">
        <v>1228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 t="e">
        <f>VLOOKUP(data[[#This Row],[Material]],'[1]Hoja para mrp'!$A:$Z,26,0)</f>
        <v>#N/A</v>
      </c>
      <c r="V720" s="1" t="e">
        <f>VLOOKUP(data[[#This Row],[Material]],'[1]Hoja para mrp'!$A:$Z,25,0)</f>
        <v>#N/A</v>
      </c>
    </row>
    <row r="721" spans="2:22" x14ac:dyDescent="0.25">
      <c r="B721" s="4">
        <v>30007369</v>
      </c>
      <c r="C721" s="1" t="s">
        <v>875</v>
      </c>
      <c r="D721" s="4" t="s">
        <v>89</v>
      </c>
      <c r="E721" s="3" t="s">
        <v>1228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66</v>
      </c>
      <c r="U721" s="1" t="e">
        <f>VLOOKUP(data[[#This Row],[Material]],'[1]Hoja para mrp'!$A:$Z,26,0)</f>
        <v>#N/A</v>
      </c>
      <c r="V721" s="1" t="e">
        <f>VLOOKUP(data[[#This Row],[Material]],'[1]Hoja para mrp'!$A:$Z,25,0)</f>
        <v>#N/A</v>
      </c>
    </row>
    <row r="722" spans="2:22" x14ac:dyDescent="0.25">
      <c r="B722" s="4">
        <v>30007370</v>
      </c>
      <c r="C722" s="1" t="s">
        <v>808</v>
      </c>
      <c r="D722" s="4" t="s">
        <v>89</v>
      </c>
      <c r="E722" s="3"/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67</v>
      </c>
      <c r="U722" s="1" t="e">
        <f>VLOOKUP(data[[#This Row],[Material]],'[1]Hoja para mrp'!$A:$Z,26,0)</f>
        <v>#N/A</v>
      </c>
      <c r="V722" s="1" t="e">
        <f>VLOOKUP(data[[#This Row],[Material]],'[1]Hoja para mrp'!$A:$Z,25,0)</f>
        <v>#N/A</v>
      </c>
    </row>
    <row r="723" spans="2:22" x14ac:dyDescent="0.25">
      <c r="B723" s="4">
        <v>30007372</v>
      </c>
      <c r="C723" s="1" t="s">
        <v>809</v>
      </c>
      <c r="D723" s="4" t="s">
        <v>89</v>
      </c>
      <c r="E723" s="3" t="s">
        <v>1228</v>
      </c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 t="e">
        <f>VLOOKUP(data[[#This Row],[Material]],'[1]Hoja para mrp'!$A:$Z,26,0)</f>
        <v>#N/A</v>
      </c>
      <c r="V723" s="1" t="e">
        <f>VLOOKUP(data[[#This Row],[Material]],'[1]Hoja para mrp'!$A:$Z,25,0)</f>
        <v>#N/A</v>
      </c>
    </row>
    <row r="724" spans="2:22" x14ac:dyDescent="0.25">
      <c r="B724" s="4">
        <v>30007374</v>
      </c>
      <c r="C724" s="1" t="s">
        <v>810</v>
      </c>
      <c r="D724" s="4" t="s">
        <v>89</v>
      </c>
      <c r="E724" s="3" t="s">
        <v>1228</v>
      </c>
      <c r="F724" s="3" t="s">
        <v>105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 t="s">
        <v>1669</v>
      </c>
      <c r="M724" s="3">
        <v>2</v>
      </c>
      <c r="N724"/>
      <c r="O724" s="4"/>
      <c r="P724" s="1"/>
      <c r="Q724" s="22"/>
      <c r="R724"/>
      <c r="S724" s="11" t="s">
        <v>1603</v>
      </c>
      <c r="T724" s="4" t="s">
        <v>74</v>
      </c>
      <c r="U724" s="1" t="str">
        <f>VLOOKUP(data[[#This Row],[Material]],'[1]Hoja para mrp'!$A:$Z,26,0)</f>
        <v>1ra compra</v>
      </c>
      <c r="V724" s="1">
        <f>VLOOKUP(data[[#This Row],[Material]],'[1]Hoja para mrp'!$A:$Z,25,0)</f>
        <v>2</v>
      </c>
    </row>
    <row r="725" spans="2:22" x14ac:dyDescent="0.25">
      <c r="B725" s="4">
        <v>30007375</v>
      </c>
      <c r="C725" s="1" t="s">
        <v>811</v>
      </c>
      <c r="D725" s="4" t="s">
        <v>89</v>
      </c>
      <c r="E725" s="3" t="s">
        <v>1228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 t="s">
        <v>1669</v>
      </c>
      <c r="M725" s="3">
        <v>2</v>
      </c>
      <c r="N725"/>
      <c r="O725" s="4"/>
      <c r="P725" s="1"/>
      <c r="Q725" s="22"/>
      <c r="R725"/>
      <c r="S725" s="11" t="s">
        <v>1603</v>
      </c>
      <c r="T725" s="4" t="s">
        <v>74</v>
      </c>
      <c r="U725" s="1" t="str">
        <f>VLOOKUP(data[[#This Row],[Material]],'[1]Hoja para mrp'!$A:$Z,26,0)</f>
        <v>1ra compra</v>
      </c>
      <c r="V725" s="1">
        <f>VLOOKUP(data[[#This Row],[Material]],'[1]Hoja para mrp'!$A:$Z,25,0)</f>
        <v>2</v>
      </c>
    </row>
    <row r="726" spans="2:22" x14ac:dyDescent="0.25">
      <c r="B726" s="4">
        <v>30007378</v>
      </c>
      <c r="C726" s="1" t="s">
        <v>812</v>
      </c>
      <c r="D726" s="4" t="s">
        <v>89</v>
      </c>
      <c r="E726" s="3" t="s">
        <v>1228</v>
      </c>
      <c r="F726" s="3" t="s">
        <v>105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67</v>
      </c>
      <c r="U726" s="1" t="e">
        <f>VLOOKUP(data[[#This Row],[Material]],'[1]Hoja para mrp'!$A:$Z,26,0)</f>
        <v>#N/A</v>
      </c>
      <c r="V726" s="1" t="e">
        <f>VLOOKUP(data[[#This Row],[Material]],'[1]Hoja para mrp'!$A:$Z,25,0)</f>
        <v>#N/A</v>
      </c>
    </row>
    <row r="727" spans="2:22" x14ac:dyDescent="0.25">
      <c r="B727" s="4">
        <v>30007381</v>
      </c>
      <c r="C727" s="1" t="s">
        <v>814</v>
      </c>
      <c r="D727" s="4" t="s">
        <v>89</v>
      </c>
      <c r="E727" s="3"/>
      <c r="F727" s="3" t="s">
        <v>105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74</v>
      </c>
      <c r="U727" s="1" t="e">
        <f>VLOOKUP(data[[#This Row],[Material]],'[1]Hoja para mrp'!$A:$Z,26,0)</f>
        <v>#N/A</v>
      </c>
      <c r="V727" s="1" t="e">
        <f>VLOOKUP(data[[#This Row],[Material]],'[1]Hoja para mrp'!$A:$Z,25,0)</f>
        <v>#N/A</v>
      </c>
    </row>
    <row r="728" spans="2:22" x14ac:dyDescent="0.25">
      <c r="B728" s="4">
        <v>30007382</v>
      </c>
      <c r="C728" s="1" t="s">
        <v>1070</v>
      </c>
      <c r="D728" s="4" t="s">
        <v>89</v>
      </c>
      <c r="E728" s="3"/>
      <c r="F728" s="3" t="s">
        <v>105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 t="s">
        <v>1667</v>
      </c>
      <c r="M728" s="3">
        <v>4</v>
      </c>
      <c r="N728"/>
      <c r="O728" s="4"/>
      <c r="P728" s="1"/>
      <c r="Q728" s="22"/>
      <c r="R728"/>
      <c r="S728" s="11"/>
      <c r="T728" s="4" t="s">
        <v>66</v>
      </c>
      <c r="U728" s="1" t="str">
        <f>VLOOKUP(data[[#This Row],[Material]],'[1]Hoja para mrp'!$A:$Z,26,0)</f>
        <v>1ra compra</v>
      </c>
      <c r="V728" s="1">
        <f>VLOOKUP(data[[#This Row],[Material]],'[1]Hoja para mrp'!$A:$Z,25,0)</f>
        <v>4</v>
      </c>
    </row>
    <row r="729" spans="2:22" x14ac:dyDescent="0.25">
      <c r="B729" s="4">
        <v>30007383</v>
      </c>
      <c r="C729" s="1" t="s">
        <v>815</v>
      </c>
      <c r="D729" s="4" t="s">
        <v>89</v>
      </c>
      <c r="E729" s="3" t="s">
        <v>1228</v>
      </c>
      <c r="F729" s="3" t="s">
        <v>105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 t="e">
        <f>VLOOKUP(data[[#This Row],[Material]],'[1]Hoja para mrp'!$A:$Z,26,0)</f>
        <v>#N/A</v>
      </c>
      <c r="V729" s="1" t="e">
        <f>VLOOKUP(data[[#This Row],[Material]],'[1]Hoja para mrp'!$A:$Z,25,0)</f>
        <v>#N/A</v>
      </c>
    </row>
    <row r="730" spans="2:22" x14ac:dyDescent="0.25">
      <c r="B730" s="4">
        <v>30007385</v>
      </c>
      <c r="C730" s="1" t="s">
        <v>816</v>
      </c>
      <c r="D730" s="4" t="s">
        <v>89</v>
      </c>
      <c r="E730" s="3"/>
      <c r="F730" s="3" t="s">
        <v>105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 t="e">
        <f>VLOOKUP(data[[#This Row],[Material]],'[1]Hoja para mrp'!$A:$Z,26,0)</f>
        <v>#N/A</v>
      </c>
      <c r="V730" s="1" t="e">
        <f>VLOOKUP(data[[#This Row],[Material]],'[1]Hoja para mrp'!$A:$Z,25,0)</f>
        <v>#N/A</v>
      </c>
    </row>
    <row r="731" spans="2:22" x14ac:dyDescent="0.25">
      <c r="B731" s="4">
        <v>30007387</v>
      </c>
      <c r="C731" s="1" t="s">
        <v>818</v>
      </c>
      <c r="D731" s="4" t="s">
        <v>89</v>
      </c>
      <c r="E731" s="3"/>
      <c r="F731" s="3" t="s">
        <v>105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 t="s">
        <v>1659</v>
      </c>
      <c r="M731" s="3"/>
      <c r="N731"/>
      <c r="O731" s="4"/>
      <c r="P731" s="1"/>
      <c r="Q731" s="22"/>
      <c r="R731"/>
      <c r="S731" s="11" t="s">
        <v>1629</v>
      </c>
      <c r="T731" s="4" t="s">
        <v>66</v>
      </c>
      <c r="U731" s="1" t="str">
        <f>VLOOKUP(data[[#This Row],[Material]],'[1]Hoja para mrp'!$A:$Z,26,0)</f>
        <v>1ra compra</v>
      </c>
      <c r="V731" s="1">
        <f>VLOOKUP(data[[#This Row],[Material]],'[1]Hoja para mrp'!$A:$Z,25,0)</f>
        <v>7</v>
      </c>
    </row>
    <row r="732" spans="2:22" x14ac:dyDescent="0.25">
      <c r="B732" s="4">
        <v>30007388</v>
      </c>
      <c r="C732" s="1" t="s">
        <v>819</v>
      </c>
      <c r="D732" s="4" t="s">
        <v>89</v>
      </c>
      <c r="E732" s="3" t="s">
        <v>1228</v>
      </c>
      <c r="F732" s="3" t="s">
        <v>105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66</v>
      </c>
      <c r="U732" s="1" t="str">
        <f>VLOOKUP(data[[#This Row],[Material]],'[1]Hoja para mrp'!$A:$Z,26,0)</f>
        <v>2da compra</v>
      </c>
      <c r="V732" s="1">
        <f>VLOOKUP(data[[#This Row],[Material]],'[1]Hoja para mrp'!$A:$Z,25,0)</f>
        <v>2</v>
      </c>
    </row>
    <row r="733" spans="2:22" x14ac:dyDescent="0.25">
      <c r="B733" s="4">
        <v>30007389</v>
      </c>
      <c r="C733" s="1" t="s">
        <v>820</v>
      </c>
      <c r="D733" s="4" t="s">
        <v>89</v>
      </c>
      <c r="E733" s="3" t="s">
        <v>1228</v>
      </c>
      <c r="F733" s="3" t="s">
        <v>105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 t="s">
        <v>1669</v>
      </c>
      <c r="M733" s="3">
        <v>7</v>
      </c>
      <c r="N733"/>
      <c r="O733" s="4"/>
      <c r="P733" s="1"/>
      <c r="Q733" s="22"/>
      <c r="R733"/>
      <c r="S733" s="11"/>
      <c r="T733" s="4" t="s">
        <v>74</v>
      </c>
      <c r="U733" s="1" t="str">
        <f>VLOOKUP(data[[#This Row],[Material]],'[1]Hoja para mrp'!$A:$Z,26,0)</f>
        <v>1ra compra</v>
      </c>
      <c r="V733" s="1">
        <f>VLOOKUP(data[[#This Row],[Material]],'[1]Hoja para mrp'!$A:$Z,25,0)</f>
        <v>7</v>
      </c>
    </row>
    <row r="734" spans="2:22" x14ac:dyDescent="0.25">
      <c r="B734" s="4">
        <v>30007390</v>
      </c>
      <c r="C734" s="1" t="s">
        <v>821</v>
      </c>
      <c r="D734" s="4" t="s">
        <v>89</v>
      </c>
      <c r="E734" s="3" t="s">
        <v>1228</v>
      </c>
      <c r="F734" s="3" t="s">
        <v>105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1659</v>
      </c>
      <c r="M734" s="3"/>
      <c r="N734"/>
      <c r="O734" s="4"/>
      <c r="P734" s="1"/>
      <c r="Q734" s="22"/>
      <c r="R734"/>
      <c r="S734" s="11" t="s">
        <v>1603</v>
      </c>
      <c r="T734" s="4" t="s">
        <v>67</v>
      </c>
      <c r="U734" s="1" t="e">
        <f>VLOOKUP(data[[#This Row],[Material]],'[1]Hoja para mrp'!$A:$Z,26,0)</f>
        <v>#N/A</v>
      </c>
      <c r="V734" s="1" t="e">
        <f>VLOOKUP(data[[#This Row],[Material]],'[1]Hoja para mrp'!$A:$Z,25,0)</f>
        <v>#N/A</v>
      </c>
    </row>
    <row r="735" spans="2:22" x14ac:dyDescent="0.25">
      <c r="B735" s="4">
        <v>30007391</v>
      </c>
      <c r="C735" s="1" t="s">
        <v>822</v>
      </c>
      <c r="D735" s="4" t="s">
        <v>89</v>
      </c>
      <c r="E735" s="3" t="s">
        <v>1228</v>
      </c>
      <c r="F735" s="3" t="s">
        <v>105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1659</v>
      </c>
      <c r="M735" s="3"/>
      <c r="N735"/>
      <c r="O735" s="4"/>
      <c r="P735" s="1"/>
      <c r="Q735" s="22"/>
      <c r="R735"/>
      <c r="S735" s="11" t="s">
        <v>1603</v>
      </c>
      <c r="T735" s="4" t="s">
        <v>67</v>
      </c>
      <c r="U735" s="1" t="e">
        <f>VLOOKUP(data[[#This Row],[Material]],'[1]Hoja para mrp'!$A:$Z,26,0)</f>
        <v>#N/A</v>
      </c>
      <c r="V735" s="1" t="e">
        <f>VLOOKUP(data[[#This Row],[Material]],'[1]Hoja para mrp'!$A:$Z,25,0)</f>
        <v>#N/A</v>
      </c>
    </row>
    <row r="736" spans="2:22" x14ac:dyDescent="0.25">
      <c r="B736" s="4">
        <v>30007394</v>
      </c>
      <c r="C736" s="1" t="s">
        <v>823</v>
      </c>
      <c r="D736" s="4" t="s">
        <v>89</v>
      </c>
      <c r="E736" s="3"/>
      <c r="F736" s="3" t="s">
        <v>105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67</v>
      </c>
      <c r="U736" s="1" t="e">
        <f>VLOOKUP(data[[#This Row],[Material]],'[1]Hoja para mrp'!$A:$Z,26,0)</f>
        <v>#N/A</v>
      </c>
      <c r="V736" s="1" t="e">
        <f>VLOOKUP(data[[#This Row],[Material]],'[1]Hoja para mrp'!$A:$Z,25,0)</f>
        <v>#N/A</v>
      </c>
    </row>
    <row r="737" spans="2:22" x14ac:dyDescent="0.25">
      <c r="B737" s="4">
        <v>30007396</v>
      </c>
      <c r="C737" s="1" t="s">
        <v>876</v>
      </c>
      <c r="D737" s="4" t="s">
        <v>89</v>
      </c>
      <c r="E737" s="3" t="s">
        <v>1228</v>
      </c>
      <c r="F737" s="3" t="s">
        <v>105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1659</v>
      </c>
      <c r="M737" s="3"/>
      <c r="N737"/>
      <c r="O737" s="4"/>
      <c r="P737" s="1"/>
      <c r="Q737" s="22"/>
      <c r="R737"/>
      <c r="S737" s="11" t="s">
        <v>1604</v>
      </c>
      <c r="T737" s="4" t="s">
        <v>74</v>
      </c>
      <c r="U737" s="1" t="e">
        <f>VLOOKUP(data[[#This Row],[Material]],'[1]Hoja para mrp'!$A:$Z,26,0)</f>
        <v>#N/A</v>
      </c>
      <c r="V737" s="1" t="e">
        <f>VLOOKUP(data[[#This Row],[Material]],'[1]Hoja para mrp'!$A:$Z,25,0)</f>
        <v>#N/A</v>
      </c>
    </row>
    <row r="738" spans="2:22" x14ac:dyDescent="0.25">
      <c r="B738" s="4">
        <v>30007398</v>
      </c>
      <c r="C738" s="1" t="s">
        <v>1071</v>
      </c>
      <c r="D738" s="4" t="s">
        <v>89</v>
      </c>
      <c r="E738" s="3"/>
      <c r="F738" s="3" t="s">
        <v>105</v>
      </c>
      <c r="G738" s="4">
        <v>5</v>
      </c>
      <c r="H738" s="4">
        <v>4</v>
      </c>
      <c r="I738" s="4">
        <v>18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66</v>
      </c>
      <c r="U738" s="1" t="str">
        <f>VLOOKUP(data[[#This Row],[Material]],'[1]Hoja para mrp'!$A:$Z,26,0)</f>
        <v>2da compra</v>
      </c>
      <c r="V738" s="1">
        <f>VLOOKUP(data[[#This Row],[Material]],'[1]Hoja para mrp'!$A:$Z,25,0)</f>
        <v>4</v>
      </c>
    </row>
    <row r="739" spans="2:22" x14ac:dyDescent="0.25">
      <c r="B739" s="4">
        <v>30007401</v>
      </c>
      <c r="C739" s="1" t="s">
        <v>1073</v>
      </c>
      <c r="D739" s="4" t="s">
        <v>89</v>
      </c>
      <c r="E739" s="3"/>
      <c r="F739" s="3" t="s">
        <v>105</v>
      </c>
      <c r="G739" s="4">
        <v>25</v>
      </c>
      <c r="H739" s="4">
        <v>24</v>
      </c>
      <c r="I739" s="4">
        <v>58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 t="e">
        <f>VLOOKUP(data[[#This Row],[Material]],'[1]Hoja para mrp'!$A:$Z,26,0)</f>
        <v>#N/A</v>
      </c>
      <c r="V739" s="1" t="e">
        <f>VLOOKUP(data[[#This Row],[Material]],'[1]Hoja para mrp'!$A:$Z,25,0)</f>
        <v>#N/A</v>
      </c>
    </row>
    <row r="740" spans="2:22" x14ac:dyDescent="0.25">
      <c r="B740" s="4">
        <v>30007402</v>
      </c>
      <c r="C740" s="1" t="s">
        <v>877</v>
      </c>
      <c r="D740" s="4" t="s">
        <v>89</v>
      </c>
      <c r="E740" s="3"/>
      <c r="F740" s="3" t="s">
        <v>105</v>
      </c>
      <c r="G740" s="4">
        <v>7</v>
      </c>
      <c r="H740" s="4">
        <v>6</v>
      </c>
      <c r="I740" s="4">
        <v>7</v>
      </c>
      <c r="J740" s="4" t="s">
        <v>8</v>
      </c>
      <c r="K740" s="4" t="s">
        <v>7</v>
      </c>
      <c r="L740" s="11" t="s">
        <v>1667</v>
      </c>
      <c r="M740" s="3">
        <v>6</v>
      </c>
      <c r="N740"/>
      <c r="O740" s="4"/>
      <c r="P740" s="1"/>
      <c r="Q740" s="22"/>
      <c r="R740"/>
      <c r="S740" s="11"/>
      <c r="T740" s="4" t="s">
        <v>66</v>
      </c>
      <c r="U740" s="1" t="str">
        <f>VLOOKUP(data[[#This Row],[Material]],'[1]Hoja para mrp'!$A:$Z,26,0)</f>
        <v>1ra compra</v>
      </c>
      <c r="V740" s="1">
        <f>VLOOKUP(data[[#This Row],[Material]],'[1]Hoja para mrp'!$A:$Z,25,0)</f>
        <v>6</v>
      </c>
    </row>
    <row r="741" spans="2:22" x14ac:dyDescent="0.25">
      <c r="B741" s="4">
        <v>30007403</v>
      </c>
      <c r="C741" s="1" t="s">
        <v>1420</v>
      </c>
      <c r="D741" s="4" t="s">
        <v>89</v>
      </c>
      <c r="E741" s="3" t="s">
        <v>1228</v>
      </c>
      <c r="F741" s="3" t="s">
        <v>105</v>
      </c>
      <c r="G741" s="4">
        <v>5</v>
      </c>
      <c r="H741" s="4">
        <v>4</v>
      </c>
      <c r="I741" s="4">
        <v>20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 t="e">
        <f>VLOOKUP(data[[#This Row],[Material]],'[1]Hoja para mrp'!$A:$Z,26,0)</f>
        <v>#N/A</v>
      </c>
      <c r="V741" s="1" t="e">
        <f>VLOOKUP(data[[#This Row],[Material]],'[1]Hoja para mrp'!$A:$Z,25,0)</f>
        <v>#N/A</v>
      </c>
    </row>
    <row r="742" spans="2:22" x14ac:dyDescent="0.25">
      <c r="B742" s="4">
        <v>30007404</v>
      </c>
      <c r="C742" s="1" t="s">
        <v>824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21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67</v>
      </c>
      <c r="U742" s="1" t="e">
        <f>VLOOKUP(data[[#This Row],[Material]],'[1]Hoja para mrp'!$A:$Z,26,0)</f>
        <v>#N/A</v>
      </c>
      <c r="V742" s="1" t="e">
        <f>VLOOKUP(data[[#This Row],[Material]],'[1]Hoja para mrp'!$A:$Z,25,0)</f>
        <v>#N/A</v>
      </c>
    </row>
    <row r="743" spans="2:22" x14ac:dyDescent="0.25">
      <c r="B743" s="4">
        <v>30007405</v>
      </c>
      <c r="C743" s="1" t="s">
        <v>1473</v>
      </c>
      <c r="D743" s="4" t="s">
        <v>89</v>
      </c>
      <c r="E743" s="3" t="s">
        <v>1228</v>
      </c>
      <c r="F743" s="3" t="s">
        <v>105</v>
      </c>
      <c r="G743" s="4">
        <v>7</v>
      </c>
      <c r="H743" s="4">
        <v>6</v>
      </c>
      <c r="I743" s="4">
        <v>14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 t="e">
        <f>VLOOKUP(data[[#This Row],[Material]],'[1]Hoja para mrp'!$A:$Z,26,0)</f>
        <v>#N/A</v>
      </c>
      <c r="V743" s="1" t="e">
        <f>VLOOKUP(data[[#This Row],[Material]],'[1]Hoja para mrp'!$A:$Z,25,0)</f>
        <v>#N/A</v>
      </c>
    </row>
    <row r="744" spans="2:22" x14ac:dyDescent="0.25">
      <c r="B744" s="4">
        <v>30007406</v>
      </c>
      <c r="C744" s="1" t="s">
        <v>826</v>
      </c>
      <c r="D744" s="4" t="s">
        <v>89</v>
      </c>
      <c r="E744" s="3" t="s">
        <v>1228</v>
      </c>
      <c r="F744" s="3" t="s">
        <v>105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1659</v>
      </c>
      <c r="M744" s="3"/>
      <c r="N744"/>
      <c r="O744" s="4"/>
      <c r="P744" s="1"/>
      <c r="Q744" s="22"/>
      <c r="R744"/>
      <c r="S744" s="11" t="s">
        <v>1603</v>
      </c>
      <c r="T744" s="4" t="s">
        <v>67</v>
      </c>
      <c r="U744" s="1" t="e">
        <f>VLOOKUP(data[[#This Row],[Material]],'[1]Hoja para mrp'!$A:$Z,26,0)</f>
        <v>#N/A</v>
      </c>
      <c r="V744" s="1" t="e">
        <f>VLOOKUP(data[[#This Row],[Material]],'[1]Hoja para mrp'!$A:$Z,25,0)</f>
        <v>#N/A</v>
      </c>
    </row>
    <row r="745" spans="2:22" x14ac:dyDescent="0.25">
      <c r="B745" s="4">
        <v>30007407</v>
      </c>
      <c r="C745" s="1" t="s">
        <v>827</v>
      </c>
      <c r="D745" s="4" t="s">
        <v>89</v>
      </c>
      <c r="E745" s="3" t="s">
        <v>1228</v>
      </c>
      <c r="F745" s="3" t="s">
        <v>105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1659</v>
      </c>
      <c r="M745" s="3"/>
      <c r="N745"/>
      <c r="O745" s="4"/>
      <c r="P745" s="1"/>
      <c r="Q745" s="22"/>
      <c r="R745"/>
      <c r="S745" s="11" t="s">
        <v>1603</v>
      </c>
      <c r="T745" s="4" t="s">
        <v>67</v>
      </c>
      <c r="U745" s="1" t="e">
        <f>VLOOKUP(data[[#This Row],[Material]],'[1]Hoja para mrp'!$A:$Z,26,0)</f>
        <v>#N/A</v>
      </c>
      <c r="V745" s="1" t="e">
        <f>VLOOKUP(data[[#This Row],[Material]],'[1]Hoja para mrp'!$A:$Z,25,0)</f>
        <v>#N/A</v>
      </c>
    </row>
    <row r="746" spans="2:22" x14ac:dyDescent="0.25">
      <c r="B746" s="4">
        <v>30007411</v>
      </c>
      <c r="C746" s="1" t="s">
        <v>1107</v>
      </c>
      <c r="D746" s="4" t="s">
        <v>89</v>
      </c>
      <c r="E746" s="3"/>
      <c r="F746" s="3" t="s">
        <v>105</v>
      </c>
      <c r="G746" s="4">
        <v>49</v>
      </c>
      <c r="H746" s="4">
        <v>24</v>
      </c>
      <c r="I746" s="4">
        <v>62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  <c r="T746" s="4" t="s">
        <v>74</v>
      </c>
      <c r="U746" s="1" t="str">
        <f>VLOOKUP(data[[#This Row],[Material]],'[1]Hoja para mrp'!$A:$Z,26,0)</f>
        <v>2da compra</v>
      </c>
      <c r="V746" s="1">
        <f>VLOOKUP(data[[#This Row],[Material]],'[1]Hoja para mrp'!$A:$Z,25,0)</f>
        <v>24</v>
      </c>
    </row>
    <row r="747" spans="2:22" x14ac:dyDescent="0.25">
      <c r="B747" s="4">
        <v>30007413</v>
      </c>
      <c r="C747" s="1" t="s">
        <v>1145</v>
      </c>
      <c r="D747" s="4" t="s">
        <v>89</v>
      </c>
      <c r="E747" s="3" t="s">
        <v>1228</v>
      </c>
      <c r="F747" s="3" t="s">
        <v>105</v>
      </c>
      <c r="G747" s="4">
        <v>24</v>
      </c>
      <c r="H747" s="4">
        <v>24</v>
      </c>
      <c r="I747" s="4">
        <v>25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66</v>
      </c>
      <c r="U747" s="1" t="e">
        <f>VLOOKUP(data[[#This Row],[Material]],'[1]Hoja para mrp'!$A:$Z,26,0)</f>
        <v>#N/A</v>
      </c>
      <c r="V747" s="1" t="e">
        <f>VLOOKUP(data[[#This Row],[Material]],'[1]Hoja para mrp'!$A:$Z,25,0)</f>
        <v>#N/A</v>
      </c>
    </row>
    <row r="748" spans="2:22" x14ac:dyDescent="0.25">
      <c r="B748" s="4">
        <v>30007415</v>
      </c>
      <c r="C748" s="1" t="s">
        <v>1486</v>
      </c>
      <c r="D748" s="4" t="s">
        <v>89</v>
      </c>
      <c r="E748" s="3"/>
      <c r="F748" s="3" t="s">
        <v>105</v>
      </c>
      <c r="G748" s="4">
        <v>3</v>
      </c>
      <c r="H748" s="4">
        <v>2</v>
      </c>
      <c r="I748" s="4">
        <v>12</v>
      </c>
      <c r="J748" s="4" t="s">
        <v>8</v>
      </c>
      <c r="K748" s="4" t="s">
        <v>14</v>
      </c>
      <c r="L748" s="11" t="s">
        <v>1667</v>
      </c>
      <c r="M748" s="3">
        <v>5</v>
      </c>
      <c r="N748"/>
      <c r="O748" s="4"/>
      <c r="P748" s="1"/>
      <c r="Q748" s="22"/>
      <c r="R748"/>
      <c r="S748" s="11"/>
      <c r="T748" s="4" t="s">
        <v>66</v>
      </c>
      <c r="U748" s="1" t="str">
        <f>VLOOKUP(data[[#This Row],[Material]],'[1]Hoja para mrp'!$A:$Z,26,0)</f>
        <v>1ra compra</v>
      </c>
      <c r="V748" s="1">
        <f>VLOOKUP(data[[#This Row],[Material]],'[1]Hoja para mrp'!$A:$Z,25,0)</f>
        <v>5</v>
      </c>
    </row>
    <row r="749" spans="2:22" x14ac:dyDescent="0.25">
      <c r="B749" s="4">
        <v>30007419</v>
      </c>
      <c r="C749" s="1" t="s">
        <v>829</v>
      </c>
      <c r="D749" s="4" t="s">
        <v>89</v>
      </c>
      <c r="E749" s="3"/>
      <c r="F749" s="3" t="s">
        <v>105</v>
      </c>
      <c r="G749" s="4">
        <v>4</v>
      </c>
      <c r="H749" s="4">
        <v>3</v>
      </c>
      <c r="I749" s="4">
        <v>11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74</v>
      </c>
      <c r="U749" s="1" t="e">
        <f>VLOOKUP(data[[#This Row],[Material]],'[1]Hoja para mrp'!$A:$Z,26,0)</f>
        <v>#N/A</v>
      </c>
      <c r="V749" s="1" t="e">
        <f>VLOOKUP(data[[#This Row],[Material]],'[1]Hoja para mrp'!$A:$Z,25,0)</f>
        <v>#N/A</v>
      </c>
    </row>
    <row r="750" spans="2:22" x14ac:dyDescent="0.25">
      <c r="B750" s="4">
        <v>30007421</v>
      </c>
      <c r="C750" s="1" t="s">
        <v>830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4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s="4" t="s">
        <v>74</v>
      </c>
      <c r="U750" s="1" t="str">
        <f>VLOOKUP(data[[#This Row],[Material]],'[1]Hoja para mrp'!$A:$Z,26,0)</f>
        <v>2da compra</v>
      </c>
      <c r="V750" s="1">
        <f>VLOOKUP(data[[#This Row],[Material]],'[1]Hoja para mrp'!$A:$Z,25,0)</f>
        <v>2</v>
      </c>
    </row>
    <row r="751" spans="2:22" x14ac:dyDescent="0.25">
      <c r="B751" s="4">
        <v>30007424</v>
      </c>
      <c r="C751" s="1" t="s">
        <v>831</v>
      </c>
      <c r="D751" s="4" t="s">
        <v>89</v>
      </c>
      <c r="E751" s="3" t="s">
        <v>1228</v>
      </c>
      <c r="F751" s="3" t="s">
        <v>105</v>
      </c>
      <c r="G751" s="4">
        <v>4</v>
      </c>
      <c r="H751" s="4">
        <v>3</v>
      </c>
      <c r="I751" s="4">
        <v>1</v>
      </c>
      <c r="J751" s="4" t="s">
        <v>8</v>
      </c>
      <c r="K751" s="4" t="s">
        <v>9</v>
      </c>
      <c r="L751" s="11" t="s">
        <v>1659</v>
      </c>
      <c r="M751" s="3"/>
      <c r="N751"/>
      <c r="O751" s="4"/>
      <c r="P751" s="1"/>
      <c r="Q751" s="22"/>
      <c r="R751"/>
      <c r="S751" s="11" t="s">
        <v>1603</v>
      </c>
      <c r="T751" s="4" t="s">
        <v>67</v>
      </c>
      <c r="U751" s="1" t="e">
        <f>VLOOKUP(data[[#This Row],[Material]],'[1]Hoja para mrp'!$A:$Z,26,0)</f>
        <v>#N/A</v>
      </c>
      <c r="V751" s="1" t="e">
        <f>VLOOKUP(data[[#This Row],[Material]],'[1]Hoja para mrp'!$A:$Z,25,0)</f>
        <v>#N/A</v>
      </c>
    </row>
    <row r="752" spans="2:22" x14ac:dyDescent="0.25">
      <c r="B752" s="4">
        <v>30007426</v>
      </c>
      <c r="C752" s="1" t="s">
        <v>1108</v>
      </c>
      <c r="D752" s="4" t="s">
        <v>89</v>
      </c>
      <c r="E752" s="3"/>
      <c r="F752" s="3" t="s">
        <v>105</v>
      </c>
      <c r="G752" s="4">
        <v>37</v>
      </c>
      <c r="H752" s="4">
        <v>18</v>
      </c>
      <c r="I752" s="4">
        <v>54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 t="e">
        <f>VLOOKUP(data[[#This Row],[Material]],'[1]Hoja para mrp'!$A:$Z,26,0)</f>
        <v>#N/A</v>
      </c>
      <c r="V752" s="1" t="e">
        <f>VLOOKUP(data[[#This Row],[Material]],'[1]Hoja para mrp'!$A:$Z,25,0)</f>
        <v>#N/A</v>
      </c>
    </row>
    <row r="753" spans="2:22" x14ac:dyDescent="0.25">
      <c r="B753" s="4">
        <v>30007431</v>
      </c>
      <c r="C753" s="1" t="s">
        <v>834</v>
      </c>
      <c r="D753" s="4" t="s">
        <v>89</v>
      </c>
      <c r="E753" s="3" t="s">
        <v>1228</v>
      </c>
      <c r="F753" s="3" t="s">
        <v>105</v>
      </c>
      <c r="G753" s="4">
        <v>3</v>
      </c>
      <c r="H753" s="4">
        <v>2</v>
      </c>
      <c r="I753" s="4">
        <v>5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66</v>
      </c>
      <c r="U753" s="1" t="e">
        <f>VLOOKUP(data[[#This Row],[Material]],'[1]Hoja para mrp'!$A:$Z,26,0)</f>
        <v>#N/A</v>
      </c>
      <c r="V753" s="1" t="e">
        <f>VLOOKUP(data[[#This Row],[Material]],'[1]Hoja para mrp'!$A:$Z,25,0)</f>
        <v>#N/A</v>
      </c>
    </row>
    <row r="754" spans="2:22" x14ac:dyDescent="0.25">
      <c r="B754" s="4">
        <v>30007432</v>
      </c>
      <c r="C754" s="1" t="s">
        <v>835</v>
      </c>
      <c r="D754" s="4" t="s">
        <v>89</v>
      </c>
      <c r="E754" s="3" t="s">
        <v>1228</v>
      </c>
      <c r="F754" s="3" t="s">
        <v>105</v>
      </c>
      <c r="G754" s="4">
        <v>3</v>
      </c>
      <c r="H754" s="4">
        <v>2</v>
      </c>
      <c r="I754" s="4">
        <v>15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s="4" t="s">
        <v>67</v>
      </c>
      <c r="U754" s="1" t="e">
        <f>VLOOKUP(data[[#This Row],[Material]],'[1]Hoja para mrp'!$A:$Z,26,0)</f>
        <v>#N/A</v>
      </c>
      <c r="V754" s="1" t="e">
        <f>VLOOKUP(data[[#This Row],[Material]],'[1]Hoja para mrp'!$A:$Z,25,0)</f>
        <v>#N/A</v>
      </c>
    </row>
    <row r="755" spans="2:22" x14ac:dyDescent="0.25">
      <c r="B755" s="4">
        <v>30007433</v>
      </c>
      <c r="C755" s="1" t="s">
        <v>836</v>
      </c>
      <c r="D755" s="4" t="s">
        <v>89</v>
      </c>
      <c r="E755" s="3"/>
      <c r="F755" s="3" t="s">
        <v>105</v>
      </c>
      <c r="G755" s="4">
        <v>4</v>
      </c>
      <c r="H755" s="4">
        <v>4</v>
      </c>
      <c r="I755" s="4">
        <v>7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 t="e">
        <f>VLOOKUP(data[[#This Row],[Material]],'[1]Hoja para mrp'!$A:$Z,26,0)</f>
        <v>#N/A</v>
      </c>
      <c r="V755" s="1" t="e">
        <f>VLOOKUP(data[[#This Row],[Material]],'[1]Hoja para mrp'!$A:$Z,25,0)</f>
        <v>#N/A</v>
      </c>
    </row>
    <row r="756" spans="2:22" x14ac:dyDescent="0.25">
      <c r="B756" s="4">
        <v>30007434</v>
      </c>
      <c r="C756" s="1" t="s">
        <v>837</v>
      </c>
      <c r="D756" s="4" t="s">
        <v>89</v>
      </c>
      <c r="E756" s="72"/>
      <c r="F756" s="3" t="s">
        <v>105</v>
      </c>
      <c r="G756" s="4">
        <v>3</v>
      </c>
      <c r="H756" s="4">
        <v>2</v>
      </c>
      <c r="I756" s="4">
        <v>7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66</v>
      </c>
      <c r="U756" s="1" t="e">
        <f>VLOOKUP(data[[#This Row],[Material]],'[1]Hoja para mrp'!$A:$Z,26,0)</f>
        <v>#N/A</v>
      </c>
      <c r="V756" s="1" t="e">
        <f>VLOOKUP(data[[#This Row],[Material]],'[1]Hoja para mrp'!$A:$Z,25,0)</f>
        <v>#N/A</v>
      </c>
    </row>
    <row r="757" spans="2:22" x14ac:dyDescent="0.25">
      <c r="B757" s="4">
        <v>30007435</v>
      </c>
      <c r="C757" s="1" t="s">
        <v>838</v>
      </c>
      <c r="D757" s="4" t="s">
        <v>89</v>
      </c>
      <c r="E757" s="72" t="s">
        <v>1228</v>
      </c>
      <c r="F757" s="3" t="s">
        <v>105</v>
      </c>
      <c r="G757" s="4">
        <v>4</v>
      </c>
      <c r="H757" s="4">
        <v>4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 t="e">
        <f>VLOOKUP(data[[#This Row],[Material]],'[1]Hoja para mrp'!$A:$Z,26,0)</f>
        <v>#N/A</v>
      </c>
      <c r="V757" s="1" t="e">
        <f>VLOOKUP(data[[#This Row],[Material]],'[1]Hoja para mrp'!$A:$Z,25,0)</f>
        <v>#N/A</v>
      </c>
    </row>
    <row r="758" spans="2:22" x14ac:dyDescent="0.25">
      <c r="B758" s="4">
        <v>30007436</v>
      </c>
      <c r="C758" s="1" t="s">
        <v>839</v>
      </c>
      <c r="D758" s="4" t="s">
        <v>89</v>
      </c>
      <c r="E758" s="3" t="s">
        <v>1228</v>
      </c>
      <c r="F758" s="3" t="s">
        <v>105</v>
      </c>
      <c r="G758" s="4">
        <v>3</v>
      </c>
      <c r="H758" s="4">
        <v>2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 t="e">
        <f>VLOOKUP(data[[#This Row],[Material]],'[1]Hoja para mrp'!$A:$Z,26,0)</f>
        <v>#N/A</v>
      </c>
      <c r="V758" s="1" t="e">
        <f>VLOOKUP(data[[#This Row],[Material]],'[1]Hoja para mrp'!$A:$Z,25,0)</f>
        <v>#N/A</v>
      </c>
    </row>
    <row r="759" spans="2:22" x14ac:dyDescent="0.25">
      <c r="B759" s="4">
        <v>30007438</v>
      </c>
      <c r="C759" s="1" t="s">
        <v>840</v>
      </c>
      <c r="D759" s="4" t="s">
        <v>89</v>
      </c>
      <c r="E759" s="3"/>
      <c r="F759" s="3" t="s">
        <v>105</v>
      </c>
      <c r="G759" s="4">
        <v>7</v>
      </c>
      <c r="H759" s="4">
        <v>6</v>
      </c>
      <c r="I759" s="4">
        <v>8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67</v>
      </c>
      <c r="U759" s="1" t="str">
        <f>VLOOKUP(data[[#This Row],[Material]],'[1]Hoja para mrp'!$A:$Z,26,0)</f>
        <v>2da compra</v>
      </c>
      <c r="V759" s="1">
        <f>VLOOKUP(data[[#This Row],[Material]],'[1]Hoja para mrp'!$A:$Z,25,0)</f>
        <v>6</v>
      </c>
    </row>
    <row r="760" spans="2:22" x14ac:dyDescent="0.25">
      <c r="B760" s="4">
        <v>30007440</v>
      </c>
      <c r="C760" s="1" t="s">
        <v>841</v>
      </c>
      <c r="D760" s="4" t="s">
        <v>89</v>
      </c>
      <c r="E760" s="3" t="s">
        <v>1228</v>
      </c>
      <c r="F760" s="3" t="s">
        <v>105</v>
      </c>
      <c r="G760" s="4">
        <v>2</v>
      </c>
      <c r="H760" s="4">
        <v>2</v>
      </c>
      <c r="I760" s="4">
        <v>0</v>
      </c>
      <c r="J760" s="4" t="s">
        <v>8</v>
      </c>
      <c r="K760" s="4" t="s">
        <v>13</v>
      </c>
      <c r="L760" s="11" t="s">
        <v>1659</v>
      </c>
      <c r="M760" s="3"/>
      <c r="N760"/>
      <c r="O760" s="4"/>
      <c r="P760" s="1"/>
      <c r="Q760" s="22"/>
      <c r="R760"/>
      <c r="S760" s="11" t="s">
        <v>1603</v>
      </c>
      <c r="T760" s="4" t="s">
        <v>67</v>
      </c>
      <c r="U760" s="1" t="e">
        <f>VLOOKUP(data[[#This Row],[Material]],'[1]Hoja para mrp'!$A:$Z,26,0)</f>
        <v>#N/A</v>
      </c>
      <c r="V760" s="1" t="e">
        <f>VLOOKUP(data[[#This Row],[Material]],'[1]Hoja para mrp'!$A:$Z,25,0)</f>
        <v>#N/A</v>
      </c>
    </row>
    <row r="761" spans="2:22" x14ac:dyDescent="0.25">
      <c r="B761" s="4">
        <v>30007441</v>
      </c>
      <c r="C761" s="1" t="s">
        <v>842</v>
      </c>
      <c r="D761" s="4" t="s">
        <v>89</v>
      </c>
      <c r="E761" s="3" t="s">
        <v>1228</v>
      </c>
      <c r="F761" s="3" t="s">
        <v>105</v>
      </c>
      <c r="G761" s="4">
        <v>2</v>
      </c>
      <c r="H761" s="4">
        <v>2</v>
      </c>
      <c r="I761" s="4">
        <v>1</v>
      </c>
      <c r="J761" s="4" t="s">
        <v>8</v>
      </c>
      <c r="K761" s="4" t="s">
        <v>9</v>
      </c>
      <c r="L761" s="11" t="s">
        <v>1659</v>
      </c>
      <c r="M761" s="3"/>
      <c r="N761"/>
      <c r="O761" s="4"/>
      <c r="P761" s="1"/>
      <c r="Q761" s="22"/>
      <c r="R761"/>
      <c r="S761" s="11" t="s">
        <v>1603</v>
      </c>
      <c r="T761" s="4" t="s">
        <v>67</v>
      </c>
      <c r="U761" s="1" t="e">
        <f>VLOOKUP(data[[#This Row],[Material]],'[1]Hoja para mrp'!$A:$Z,26,0)</f>
        <v>#N/A</v>
      </c>
      <c r="V761" s="1" t="e">
        <f>VLOOKUP(data[[#This Row],[Material]],'[1]Hoja para mrp'!$A:$Z,25,0)</f>
        <v>#N/A</v>
      </c>
    </row>
    <row r="762" spans="2:22" x14ac:dyDescent="0.25">
      <c r="B762" s="4">
        <v>30007443</v>
      </c>
      <c r="C762" s="1" t="s">
        <v>843</v>
      </c>
      <c r="D762" s="4" t="s">
        <v>89</v>
      </c>
      <c r="E762" s="3"/>
      <c r="F762" s="3" t="s">
        <v>105</v>
      </c>
      <c r="G762" s="4">
        <v>3</v>
      </c>
      <c r="H762" s="4">
        <v>2</v>
      </c>
      <c r="I762" s="4">
        <v>3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s="4" t="s">
        <v>67</v>
      </c>
      <c r="U762" s="1" t="e">
        <f>VLOOKUP(data[[#This Row],[Material]],'[1]Hoja para mrp'!$A:$Z,26,0)</f>
        <v>#N/A</v>
      </c>
      <c r="V762" s="1" t="e">
        <f>VLOOKUP(data[[#This Row],[Material]],'[1]Hoja para mrp'!$A:$Z,25,0)</f>
        <v>#N/A</v>
      </c>
    </row>
    <row r="763" spans="2:22" x14ac:dyDescent="0.25">
      <c r="B763" s="4">
        <v>30007444</v>
      </c>
      <c r="C763" s="1" t="s">
        <v>844</v>
      </c>
      <c r="D763" s="4" t="s">
        <v>89</v>
      </c>
      <c r="E763" s="3" t="s">
        <v>1228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1659</v>
      </c>
      <c r="M763" s="3"/>
      <c r="N763"/>
      <c r="O763" s="4"/>
      <c r="P763" s="1"/>
      <c r="Q763" s="22"/>
      <c r="R763"/>
      <c r="S763" s="11" t="s">
        <v>1603</v>
      </c>
      <c r="T763" s="4" t="s">
        <v>67</v>
      </c>
      <c r="U763" s="1" t="e">
        <f>VLOOKUP(data[[#This Row],[Material]],'[1]Hoja para mrp'!$A:$Z,26,0)</f>
        <v>#N/A</v>
      </c>
      <c r="V763" s="1" t="e">
        <f>VLOOKUP(data[[#This Row],[Material]],'[1]Hoja para mrp'!$A:$Z,25,0)</f>
        <v>#N/A</v>
      </c>
    </row>
    <row r="764" spans="2:22" x14ac:dyDescent="0.25">
      <c r="B764" s="4">
        <v>30008076</v>
      </c>
      <c r="C764" s="1" t="s">
        <v>1290</v>
      </c>
      <c r="D764" s="4" t="s">
        <v>89</v>
      </c>
      <c r="E764" s="3"/>
      <c r="F764" s="3" t="s">
        <v>69</v>
      </c>
      <c r="G764" s="4">
        <v>2</v>
      </c>
      <c r="H764" s="4">
        <v>4</v>
      </c>
      <c r="I764" s="4">
        <v>9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s="4" t="s">
        <v>74</v>
      </c>
      <c r="U764" s="1" t="e">
        <f>VLOOKUP(data[[#This Row],[Material]],'[1]Hoja para mrp'!$A:$Z,26,0)</f>
        <v>#N/A</v>
      </c>
      <c r="V764" s="1" t="e">
        <f>VLOOKUP(data[[#This Row],[Material]],'[1]Hoja para mrp'!$A:$Z,25,0)</f>
        <v>#N/A</v>
      </c>
    </row>
    <row r="765" spans="2:22" x14ac:dyDescent="0.25">
      <c r="B765" s="4">
        <v>30008142</v>
      </c>
      <c r="C765" s="1" t="s">
        <v>532</v>
      </c>
      <c r="D765" s="4" t="s">
        <v>89</v>
      </c>
      <c r="E765" s="3"/>
      <c r="F765" s="3" t="s">
        <v>69</v>
      </c>
      <c r="G765" s="4">
        <v>1</v>
      </c>
      <c r="H765" s="4">
        <v>1</v>
      </c>
      <c r="I765" s="4">
        <v>1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  <c r="T765" s="4" t="s">
        <v>74</v>
      </c>
      <c r="U765" s="1" t="e">
        <f>VLOOKUP(data[[#This Row],[Material]],'[1]Hoja para mrp'!$A:$Z,26,0)</f>
        <v>#N/A</v>
      </c>
      <c r="V765" s="1" t="e">
        <f>VLOOKUP(data[[#This Row],[Material]],'[1]Hoja para mrp'!$A:$Z,25,0)</f>
        <v>#N/A</v>
      </c>
    </row>
    <row r="766" spans="2:22" x14ac:dyDescent="0.25">
      <c r="B766" s="4">
        <v>30008160</v>
      </c>
      <c r="C766" s="1" t="s">
        <v>1309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5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73</v>
      </c>
      <c r="U766" s="1" t="e">
        <f>VLOOKUP(data[[#This Row],[Material]],'[1]Hoja para mrp'!$A:$Z,26,0)</f>
        <v>#N/A</v>
      </c>
      <c r="V766" s="1" t="e">
        <f>VLOOKUP(data[[#This Row],[Material]],'[1]Hoja para mrp'!$A:$Z,25,0)</f>
        <v>#N/A</v>
      </c>
    </row>
    <row r="767" spans="2:22" x14ac:dyDescent="0.25">
      <c r="B767" s="4">
        <v>30008313</v>
      </c>
      <c r="C767" s="1" t="s">
        <v>1024</v>
      </c>
      <c r="D767" s="4" t="s">
        <v>89</v>
      </c>
      <c r="E767" s="3"/>
      <c r="F767" s="3" t="s">
        <v>69</v>
      </c>
      <c r="G767" s="4">
        <v>200</v>
      </c>
      <c r="H767" s="4">
        <v>100</v>
      </c>
      <c r="I767" s="4">
        <v>202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73</v>
      </c>
      <c r="U767" s="1" t="e">
        <f>VLOOKUP(data[[#This Row],[Material]],'[1]Hoja para mrp'!$A:$Z,26,0)</f>
        <v>#N/A</v>
      </c>
      <c r="V767" s="1" t="e">
        <f>VLOOKUP(data[[#This Row],[Material]],'[1]Hoja para mrp'!$A:$Z,25,0)</f>
        <v>#N/A</v>
      </c>
    </row>
    <row r="768" spans="2:22" x14ac:dyDescent="0.25">
      <c r="B768" s="4">
        <v>30008329</v>
      </c>
      <c r="C768" s="1" t="s">
        <v>533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1</v>
      </c>
      <c r="J768" s="4" t="s">
        <v>8</v>
      </c>
      <c r="K768" s="4" t="s">
        <v>9</v>
      </c>
      <c r="L768" s="11">
        <v>1002648063</v>
      </c>
      <c r="M768" s="3">
        <v>4</v>
      </c>
      <c r="N768"/>
      <c r="O768" s="4"/>
      <c r="P768" s="1"/>
      <c r="Q768" s="22"/>
      <c r="R768"/>
      <c r="S768" s="11"/>
      <c r="T768" s="4" t="s">
        <v>73</v>
      </c>
      <c r="U768" s="1" t="e">
        <f>VLOOKUP(data[[#This Row],[Material]],'[1]Hoja para mrp'!$A:$Z,26,0)</f>
        <v>#N/A</v>
      </c>
      <c r="V768" s="1" t="e">
        <f>VLOOKUP(data[[#This Row],[Material]],'[1]Hoja para mrp'!$A:$Z,25,0)</f>
        <v>#N/A</v>
      </c>
    </row>
    <row r="769" spans="2:23" x14ac:dyDescent="0.25">
      <c r="B769" s="4">
        <v>30008485</v>
      </c>
      <c r="C769" s="1" t="s">
        <v>534</v>
      </c>
      <c r="D769" s="4" t="s">
        <v>89</v>
      </c>
      <c r="E769" s="3"/>
      <c r="F769" s="3" t="s">
        <v>69</v>
      </c>
      <c r="G769" s="4">
        <v>6</v>
      </c>
      <c r="H769" s="4">
        <v>4</v>
      </c>
      <c r="I769" s="4">
        <v>4</v>
      </c>
      <c r="J769" s="4" t="s">
        <v>8</v>
      </c>
      <c r="K769" s="4" t="s">
        <v>9</v>
      </c>
      <c r="L769" s="11">
        <v>1002653864</v>
      </c>
      <c r="M769" s="3">
        <v>4</v>
      </c>
      <c r="N769"/>
      <c r="O769" s="4"/>
      <c r="P769" s="1"/>
      <c r="Q769" s="22"/>
      <c r="R769"/>
      <c r="S769" s="11"/>
      <c r="T769" s="4" t="s">
        <v>73</v>
      </c>
      <c r="U769" s="1" t="e">
        <f>VLOOKUP(data[[#This Row],[Material]],'[1]Hoja para mrp'!$A:$Z,26,0)</f>
        <v>#N/A</v>
      </c>
      <c r="V769" s="1" t="e">
        <f>VLOOKUP(data[[#This Row],[Material]],'[1]Hoja para mrp'!$A:$Z,25,0)</f>
        <v>#N/A</v>
      </c>
    </row>
    <row r="770" spans="2:23" x14ac:dyDescent="0.25">
      <c r="B770" s="4">
        <v>30008505</v>
      </c>
      <c r="C770" s="1" t="s">
        <v>878</v>
      </c>
      <c r="D770" s="4" t="s">
        <v>89</v>
      </c>
      <c r="E770" s="3"/>
      <c r="F770" s="3" t="s">
        <v>105</v>
      </c>
      <c r="G770" s="4">
        <v>2</v>
      </c>
      <c r="H770" s="4">
        <v>2</v>
      </c>
      <c r="I770" s="4">
        <v>3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 t="s">
        <v>1605</v>
      </c>
      <c r="T770" s="4" t="s">
        <v>67</v>
      </c>
      <c r="U770" s="1" t="e">
        <f>VLOOKUP(data[[#This Row],[Material]],'[1]Hoja para mrp'!$A:$Z,26,0)</f>
        <v>#N/A</v>
      </c>
      <c r="V770" s="1" t="e">
        <f>VLOOKUP(data[[#This Row],[Material]],'[1]Hoja para mrp'!$A:$Z,25,0)</f>
        <v>#N/A</v>
      </c>
    </row>
    <row r="771" spans="2:23" x14ac:dyDescent="0.25">
      <c r="B771" s="4">
        <v>30008549</v>
      </c>
      <c r="C771" s="1" t="s">
        <v>1459</v>
      </c>
      <c r="D771" s="4" t="s">
        <v>89</v>
      </c>
      <c r="E771" s="3"/>
      <c r="F771" s="3" t="s">
        <v>69</v>
      </c>
      <c r="G771" s="4">
        <v>4</v>
      </c>
      <c r="H771" s="4">
        <v>2</v>
      </c>
      <c r="I771" s="4">
        <v>7</v>
      </c>
      <c r="J771" s="4" t="s">
        <v>8</v>
      </c>
      <c r="K771" s="4" t="s">
        <v>14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 t="e">
        <f>VLOOKUP(data[[#This Row],[Material]],'[1]Hoja para mrp'!$A:$Z,26,0)</f>
        <v>#N/A</v>
      </c>
      <c r="V771" s="1" t="e">
        <f>VLOOKUP(data[[#This Row],[Material]],'[1]Hoja para mrp'!$A:$Z,25,0)</f>
        <v>#N/A</v>
      </c>
    </row>
    <row r="772" spans="2:23" x14ac:dyDescent="0.25">
      <c r="B772" s="4">
        <v>30008604</v>
      </c>
      <c r="C772" s="1" t="s">
        <v>1366</v>
      </c>
      <c r="D772" s="4" t="s">
        <v>89</v>
      </c>
      <c r="E772" s="3"/>
      <c r="F772" s="3" t="s">
        <v>69</v>
      </c>
      <c r="G772" s="4">
        <v>16</v>
      </c>
      <c r="H772" s="4">
        <v>20</v>
      </c>
      <c r="I772" s="4">
        <v>2</v>
      </c>
      <c r="J772" s="4" t="s">
        <v>8</v>
      </c>
      <c r="K772" s="4" t="s">
        <v>9</v>
      </c>
      <c r="L772" s="11"/>
      <c r="M772" s="3"/>
      <c r="N772">
        <v>4700160027</v>
      </c>
      <c r="O772" s="4">
        <v>20</v>
      </c>
      <c r="P772" s="1" t="s">
        <v>1509</v>
      </c>
      <c r="Q772" s="22">
        <v>46149</v>
      </c>
      <c r="R772"/>
      <c r="S772" s="11"/>
      <c r="T772" s="4" t="s">
        <v>73</v>
      </c>
      <c r="U772" s="1" t="str">
        <f>VLOOKUP(data[[#This Row],[Material]],'[1]Hoja para mrp'!$A:$Z,26,0)</f>
        <v>2da compra</v>
      </c>
      <c r="V772" s="1">
        <f>VLOOKUP(data[[#This Row],[Material]],'[1]Hoja para mrp'!$A:$Z,25,0)</f>
        <v>20</v>
      </c>
      <c r="W772" s="1" t="s">
        <v>1683</v>
      </c>
    </row>
    <row r="773" spans="2:23" x14ac:dyDescent="0.25">
      <c r="B773" s="4">
        <v>30008605</v>
      </c>
      <c r="C773" s="1" t="s">
        <v>1310</v>
      </c>
      <c r="D773" s="4" t="s">
        <v>89</v>
      </c>
      <c r="E773" s="3"/>
      <c r="F773" s="3" t="s">
        <v>69</v>
      </c>
      <c r="G773" s="4">
        <v>24</v>
      </c>
      <c r="H773" s="4">
        <v>8</v>
      </c>
      <c r="I773" s="4">
        <v>24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s="4" t="s">
        <v>73</v>
      </c>
      <c r="U773" s="1" t="str">
        <f>VLOOKUP(data[[#This Row],[Material]],'[1]Hoja para mrp'!$A:$Z,26,0)</f>
        <v>2da compra</v>
      </c>
      <c r="V773" s="1">
        <f>VLOOKUP(data[[#This Row],[Material]],'[1]Hoja para mrp'!$A:$Z,25,0)</f>
        <v>8</v>
      </c>
    </row>
    <row r="774" spans="2:23" x14ac:dyDescent="0.25">
      <c r="B774" s="4">
        <v>30008607</v>
      </c>
      <c r="C774" s="1" t="s">
        <v>1311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74</v>
      </c>
      <c r="U774" s="1" t="e">
        <f>VLOOKUP(data[[#This Row],[Material]],'[1]Hoja para mrp'!$A:$Z,26,0)</f>
        <v>#N/A</v>
      </c>
      <c r="V774" s="1" t="e">
        <f>VLOOKUP(data[[#This Row],[Material]],'[1]Hoja para mrp'!$A:$Z,25,0)</f>
        <v>#N/A</v>
      </c>
    </row>
    <row r="775" spans="2:23" x14ac:dyDescent="0.25">
      <c r="B775" s="4">
        <v>30008657</v>
      </c>
      <c r="C775" s="1" t="s">
        <v>535</v>
      </c>
      <c r="D775" s="4" t="s">
        <v>89</v>
      </c>
      <c r="E775" s="3"/>
      <c r="F775" s="3" t="s">
        <v>69</v>
      </c>
      <c r="G775" s="4">
        <v>10</v>
      </c>
      <c r="H775" s="4">
        <v>10</v>
      </c>
      <c r="I775" s="4">
        <v>11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 t="s">
        <v>1606</v>
      </c>
      <c r="T775" s="4" t="s">
        <v>66</v>
      </c>
      <c r="U775" s="1" t="e">
        <f>VLOOKUP(data[[#This Row],[Material]],'[1]Hoja para mrp'!$A:$Z,26,0)</f>
        <v>#N/A</v>
      </c>
      <c r="V775" s="1" t="e">
        <f>VLOOKUP(data[[#This Row],[Material]],'[1]Hoja para mrp'!$A:$Z,25,0)</f>
        <v>#N/A</v>
      </c>
    </row>
    <row r="776" spans="2:23" x14ac:dyDescent="0.25">
      <c r="B776" s="4">
        <v>30008658</v>
      </c>
      <c r="C776" s="1" t="s">
        <v>536</v>
      </c>
      <c r="D776" s="4" t="s">
        <v>89</v>
      </c>
      <c r="E776" s="3"/>
      <c r="F776" s="3" t="s">
        <v>69</v>
      </c>
      <c r="G776" s="4">
        <v>4</v>
      </c>
      <c r="H776" s="4">
        <v>4</v>
      </c>
      <c r="I776" s="4">
        <v>6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 t="e">
        <f>VLOOKUP(data[[#This Row],[Material]],'[1]Hoja para mrp'!$A:$Z,26,0)</f>
        <v>#N/A</v>
      </c>
      <c r="V776" s="1" t="e">
        <f>VLOOKUP(data[[#This Row],[Material]],'[1]Hoja para mrp'!$A:$Z,25,0)</f>
        <v>#N/A</v>
      </c>
    </row>
    <row r="777" spans="2:23" x14ac:dyDescent="0.25">
      <c r="B777" s="4">
        <v>30008661</v>
      </c>
      <c r="C777" s="1" t="s">
        <v>537</v>
      </c>
      <c r="D777" s="4" t="s">
        <v>89</v>
      </c>
      <c r="E777" s="3"/>
      <c r="F777" s="3" t="s">
        <v>69</v>
      </c>
      <c r="G777" s="4">
        <v>16</v>
      </c>
      <c r="H777" s="4">
        <v>16</v>
      </c>
      <c r="I777" s="4">
        <v>26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74</v>
      </c>
      <c r="U777" s="1" t="e">
        <f>VLOOKUP(data[[#This Row],[Material]],'[1]Hoja para mrp'!$A:$Z,26,0)</f>
        <v>#N/A</v>
      </c>
      <c r="V777" s="1" t="e">
        <f>VLOOKUP(data[[#This Row],[Material]],'[1]Hoja para mrp'!$A:$Z,25,0)</f>
        <v>#N/A</v>
      </c>
    </row>
    <row r="778" spans="2:23" x14ac:dyDescent="0.25">
      <c r="B778" s="4">
        <v>30008664</v>
      </c>
      <c r="C778" s="1" t="s">
        <v>1075</v>
      </c>
      <c r="D778" s="4" t="s">
        <v>89</v>
      </c>
      <c r="E778" s="3" t="s">
        <v>1228</v>
      </c>
      <c r="F778" s="3" t="s">
        <v>105</v>
      </c>
      <c r="G778" s="4">
        <v>113</v>
      </c>
      <c r="H778" s="4">
        <v>112</v>
      </c>
      <c r="I778" s="4">
        <v>172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 t="e">
        <f>VLOOKUP(data[[#This Row],[Material]],'[1]Hoja para mrp'!$A:$Z,26,0)</f>
        <v>#N/A</v>
      </c>
      <c r="V778" s="1" t="e">
        <f>VLOOKUP(data[[#This Row],[Material]],'[1]Hoja para mrp'!$A:$Z,25,0)</f>
        <v>#N/A</v>
      </c>
    </row>
    <row r="779" spans="2:23" x14ac:dyDescent="0.25">
      <c r="B779" s="4">
        <v>30008665</v>
      </c>
      <c r="C779" s="1" t="s">
        <v>845</v>
      </c>
      <c r="D779" s="4" t="s">
        <v>89</v>
      </c>
      <c r="E779" s="3"/>
      <c r="F779" s="3" t="s">
        <v>105</v>
      </c>
      <c r="G779" s="4">
        <v>100</v>
      </c>
      <c r="H779" s="4">
        <v>200</v>
      </c>
      <c r="I779" s="4">
        <v>229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 t="e">
        <f>VLOOKUP(data[[#This Row],[Material]],'[1]Hoja para mrp'!$A:$Z,26,0)</f>
        <v>#N/A</v>
      </c>
      <c r="V779" s="1" t="e">
        <f>VLOOKUP(data[[#This Row],[Material]],'[1]Hoja para mrp'!$A:$Z,25,0)</f>
        <v>#N/A</v>
      </c>
    </row>
    <row r="780" spans="2:23" x14ac:dyDescent="0.25">
      <c r="B780" s="4">
        <v>30008666</v>
      </c>
      <c r="C780" s="1" t="s">
        <v>846</v>
      </c>
      <c r="D780" s="4" t="s">
        <v>89</v>
      </c>
      <c r="E780" s="3"/>
      <c r="F780" s="3" t="s">
        <v>105</v>
      </c>
      <c r="G780" s="4">
        <v>150</v>
      </c>
      <c r="H780" s="4">
        <v>300</v>
      </c>
      <c r="I780" s="4">
        <v>0</v>
      </c>
      <c r="J780" s="4" t="s">
        <v>8</v>
      </c>
      <c r="K780" s="4" t="s">
        <v>13</v>
      </c>
      <c r="L780" s="11"/>
      <c r="M780" s="3"/>
      <c r="N780">
        <v>4700160896</v>
      </c>
      <c r="O780" s="4">
        <v>1200</v>
      </c>
      <c r="P780" s="1" t="s">
        <v>1576</v>
      </c>
      <c r="Q780" s="22">
        <v>46157</v>
      </c>
      <c r="R780"/>
      <c r="S780" s="11"/>
      <c r="T780" s="4" t="s">
        <v>74</v>
      </c>
      <c r="U780" s="1" t="e">
        <f>VLOOKUP(data[[#This Row],[Material]],'[1]Hoja para mrp'!$A:$Z,26,0)</f>
        <v>#N/A</v>
      </c>
      <c r="V780" s="1" t="e">
        <f>VLOOKUP(data[[#This Row],[Material]],'[1]Hoja para mrp'!$A:$Z,25,0)</f>
        <v>#N/A</v>
      </c>
      <c r="W780" s="1" t="s">
        <v>1684</v>
      </c>
    </row>
    <row r="781" spans="2:23" x14ac:dyDescent="0.25">
      <c r="B781" s="4">
        <v>30008667</v>
      </c>
      <c r="C781" s="1" t="s">
        <v>879</v>
      </c>
      <c r="D781" s="4" t="s">
        <v>89</v>
      </c>
      <c r="E781" s="3" t="s">
        <v>1228</v>
      </c>
      <c r="F781" s="3" t="s">
        <v>105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1659</v>
      </c>
      <c r="M781" s="3"/>
      <c r="N781"/>
      <c r="O781" s="4"/>
      <c r="P781" s="1"/>
      <c r="Q781" s="22"/>
      <c r="R781"/>
      <c r="S781" s="11" t="s">
        <v>1604</v>
      </c>
      <c r="T781" s="4" t="s">
        <v>74</v>
      </c>
      <c r="U781" s="1" t="e">
        <f>VLOOKUP(data[[#This Row],[Material]],'[1]Hoja para mrp'!$A:$Z,26,0)</f>
        <v>#N/A</v>
      </c>
      <c r="V781" s="1" t="e">
        <f>VLOOKUP(data[[#This Row],[Material]],'[1]Hoja para mrp'!$A:$Z,25,0)</f>
        <v>#N/A</v>
      </c>
    </row>
    <row r="782" spans="2:23" x14ac:dyDescent="0.25">
      <c r="B782" s="4">
        <v>30008668</v>
      </c>
      <c r="C782" s="1" t="s">
        <v>880</v>
      </c>
      <c r="D782" s="4" t="s">
        <v>89</v>
      </c>
      <c r="E782" s="3" t="s">
        <v>1228</v>
      </c>
      <c r="F782" s="3" t="s">
        <v>105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1659</v>
      </c>
      <c r="M782" s="3"/>
      <c r="N782"/>
      <c r="O782" s="4"/>
      <c r="P782" s="1"/>
      <c r="Q782" s="22"/>
      <c r="R782"/>
      <c r="S782" s="11" t="s">
        <v>1604</v>
      </c>
      <c r="T782" s="4" t="s">
        <v>74</v>
      </c>
      <c r="U782" s="1" t="e">
        <f>VLOOKUP(data[[#This Row],[Material]],'[1]Hoja para mrp'!$A:$Z,26,0)</f>
        <v>#N/A</v>
      </c>
      <c r="V782" s="1" t="e">
        <f>VLOOKUP(data[[#This Row],[Material]],'[1]Hoja para mrp'!$A:$Z,25,0)</f>
        <v>#N/A</v>
      </c>
    </row>
    <row r="783" spans="2:23" x14ac:dyDescent="0.25">
      <c r="B783" s="4">
        <v>30008670</v>
      </c>
      <c r="C783" s="1" t="s">
        <v>847</v>
      </c>
      <c r="D783" s="4" t="s">
        <v>89</v>
      </c>
      <c r="E783" s="3"/>
      <c r="F783" s="3" t="s">
        <v>105</v>
      </c>
      <c r="G783" s="4">
        <v>16</v>
      </c>
      <c r="H783" s="4">
        <v>32</v>
      </c>
      <c r="I783" s="4">
        <v>13</v>
      </c>
      <c r="J783" s="4" t="s">
        <v>8</v>
      </c>
      <c r="K783" s="4" t="s">
        <v>9</v>
      </c>
      <c r="L783" s="11"/>
      <c r="M783" s="3"/>
      <c r="N783">
        <v>4700160896</v>
      </c>
      <c r="O783" s="4">
        <v>17</v>
      </c>
      <c r="P783" s="1" t="s">
        <v>1576</v>
      </c>
      <c r="Q783" s="22">
        <v>46157</v>
      </c>
      <c r="R783"/>
      <c r="S783" s="11"/>
      <c r="T783" s="4" t="s">
        <v>74</v>
      </c>
      <c r="U783" s="1" t="e">
        <f>VLOOKUP(data[[#This Row],[Material]],'[1]Hoja para mrp'!$A:$Z,26,0)</f>
        <v>#N/A</v>
      </c>
      <c r="V783" s="1" t="e">
        <f>VLOOKUP(data[[#This Row],[Material]],'[1]Hoja para mrp'!$A:$Z,25,0)</f>
        <v>#N/A</v>
      </c>
      <c r="W783" s="1" t="s">
        <v>1684</v>
      </c>
    </row>
    <row r="784" spans="2:23" x14ac:dyDescent="0.25">
      <c r="B784" s="4">
        <v>30008676</v>
      </c>
      <c r="C784" s="1" t="s">
        <v>848</v>
      </c>
      <c r="D784" s="4" t="s">
        <v>89</v>
      </c>
      <c r="E784" s="3"/>
      <c r="F784" s="3" t="s">
        <v>105</v>
      </c>
      <c r="G784" s="4">
        <v>3</v>
      </c>
      <c r="H784" s="4">
        <v>6</v>
      </c>
      <c r="I784" s="4">
        <v>6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s="4" t="s">
        <v>74</v>
      </c>
      <c r="U784" s="1" t="e">
        <f>VLOOKUP(data[[#This Row],[Material]],'[1]Hoja para mrp'!$A:$Z,26,0)</f>
        <v>#N/A</v>
      </c>
      <c r="V784" s="1" t="e">
        <f>VLOOKUP(data[[#This Row],[Material]],'[1]Hoja para mrp'!$A:$Z,25,0)</f>
        <v>#N/A</v>
      </c>
    </row>
    <row r="785" spans="2:22" x14ac:dyDescent="0.25">
      <c r="B785" s="4">
        <v>30008678</v>
      </c>
      <c r="C785" s="1" t="s">
        <v>881</v>
      </c>
      <c r="D785" s="4" t="s">
        <v>89</v>
      </c>
      <c r="E785" s="3" t="s">
        <v>1228</v>
      </c>
      <c r="F785" s="3" t="s">
        <v>105</v>
      </c>
      <c r="G785" s="4">
        <v>2</v>
      </c>
      <c r="H785" s="4">
        <v>2</v>
      </c>
      <c r="I785" s="4">
        <v>0</v>
      </c>
      <c r="J785" s="4" t="s">
        <v>8</v>
      </c>
      <c r="K785" s="4" t="s">
        <v>13</v>
      </c>
      <c r="L785" s="11" t="s">
        <v>1659</v>
      </c>
      <c r="M785" s="3"/>
      <c r="N785"/>
      <c r="O785" s="4"/>
      <c r="P785" s="1"/>
      <c r="Q785" s="22"/>
      <c r="R785"/>
      <c r="S785" s="11" t="s">
        <v>1607</v>
      </c>
      <c r="T785" s="4" t="s">
        <v>74</v>
      </c>
      <c r="U785" s="1" t="e">
        <f>VLOOKUP(data[[#This Row],[Material]],'[1]Hoja para mrp'!$A:$Z,26,0)</f>
        <v>#N/A</v>
      </c>
      <c r="V785" s="1" t="e">
        <f>VLOOKUP(data[[#This Row],[Material]],'[1]Hoja para mrp'!$A:$Z,25,0)</f>
        <v>#N/A</v>
      </c>
    </row>
    <row r="786" spans="2:22" x14ac:dyDescent="0.25">
      <c r="B786" s="4">
        <v>30008682</v>
      </c>
      <c r="C786" s="1" t="s">
        <v>1146</v>
      </c>
      <c r="D786" s="4" t="s">
        <v>89</v>
      </c>
      <c r="E786" s="3"/>
      <c r="F786" s="3" t="s">
        <v>105</v>
      </c>
      <c r="G786" s="4">
        <v>4</v>
      </c>
      <c r="H786" s="4">
        <v>6</v>
      </c>
      <c r="I786" s="4">
        <v>7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 t="e">
        <f>VLOOKUP(data[[#This Row],[Material]],'[1]Hoja para mrp'!$A:$Z,26,0)</f>
        <v>#N/A</v>
      </c>
      <c r="V786" s="1" t="e">
        <f>VLOOKUP(data[[#This Row],[Material]],'[1]Hoja para mrp'!$A:$Z,25,0)</f>
        <v>#N/A</v>
      </c>
    </row>
    <row r="787" spans="2:22" x14ac:dyDescent="0.25">
      <c r="B787" s="4">
        <v>30008684</v>
      </c>
      <c r="C787" s="1" t="s">
        <v>882</v>
      </c>
      <c r="D787" s="4" t="s">
        <v>89</v>
      </c>
      <c r="E787" s="3" t="s">
        <v>1228</v>
      </c>
      <c r="F787" s="3" t="s">
        <v>105</v>
      </c>
      <c r="G787" s="4">
        <v>41</v>
      </c>
      <c r="H787" s="4">
        <v>40</v>
      </c>
      <c r="I787" s="4">
        <v>0</v>
      </c>
      <c r="J787" s="4" t="s">
        <v>8</v>
      </c>
      <c r="K787" s="4" t="s">
        <v>13</v>
      </c>
      <c r="L787" s="11" t="s">
        <v>1659</v>
      </c>
      <c r="M787" s="3"/>
      <c r="N787"/>
      <c r="O787" s="4"/>
      <c r="P787" s="1"/>
      <c r="Q787" s="22"/>
      <c r="R787"/>
      <c r="S787" s="11" t="s">
        <v>1604</v>
      </c>
      <c r="T787" s="4" t="s">
        <v>74</v>
      </c>
      <c r="U787" s="1" t="e">
        <f>VLOOKUP(data[[#This Row],[Material]],'[1]Hoja para mrp'!$A:$Z,26,0)</f>
        <v>#N/A</v>
      </c>
      <c r="V787" s="1" t="e">
        <f>VLOOKUP(data[[#This Row],[Material]],'[1]Hoja para mrp'!$A:$Z,25,0)</f>
        <v>#N/A</v>
      </c>
    </row>
    <row r="788" spans="2:22" x14ac:dyDescent="0.25">
      <c r="B788" s="4">
        <v>30008685</v>
      </c>
      <c r="C788" s="1" t="s">
        <v>883</v>
      </c>
      <c r="D788" s="4" t="s">
        <v>89</v>
      </c>
      <c r="E788" s="3" t="s">
        <v>1228</v>
      </c>
      <c r="F788" s="3" t="s">
        <v>105</v>
      </c>
      <c r="G788" s="4">
        <v>21</v>
      </c>
      <c r="H788" s="4">
        <v>20</v>
      </c>
      <c r="I788" s="4">
        <v>0</v>
      </c>
      <c r="J788" s="4" t="s">
        <v>8</v>
      </c>
      <c r="K788" s="4" t="s">
        <v>13</v>
      </c>
      <c r="L788" s="11" t="s">
        <v>1659</v>
      </c>
      <c r="M788" s="3"/>
      <c r="N788"/>
      <c r="O788" s="4"/>
      <c r="P788" s="1"/>
      <c r="Q788" s="22"/>
      <c r="R788"/>
      <c r="S788" s="11" t="s">
        <v>1604</v>
      </c>
      <c r="T788" s="4" t="s">
        <v>74</v>
      </c>
      <c r="U788" s="1" t="e">
        <f>VLOOKUP(data[[#This Row],[Material]],'[1]Hoja para mrp'!$A:$Z,26,0)</f>
        <v>#N/A</v>
      </c>
      <c r="V788" s="1" t="e">
        <f>VLOOKUP(data[[#This Row],[Material]],'[1]Hoja para mrp'!$A:$Z,25,0)</f>
        <v>#N/A</v>
      </c>
    </row>
    <row r="789" spans="2:22" x14ac:dyDescent="0.25">
      <c r="B789" s="4">
        <v>30008693</v>
      </c>
      <c r="C789" s="1" t="s">
        <v>1025</v>
      </c>
      <c r="D789" s="4" t="s">
        <v>89</v>
      </c>
      <c r="E789" s="3" t="s">
        <v>1228</v>
      </c>
      <c r="F789" s="3" t="s">
        <v>105</v>
      </c>
      <c r="G789" s="4">
        <v>13</v>
      </c>
      <c r="H789" s="4">
        <v>12</v>
      </c>
      <c r="I789" s="4">
        <v>14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s="4" t="s">
        <v>74</v>
      </c>
      <c r="U789" s="1" t="e">
        <f>VLOOKUP(data[[#This Row],[Material]],'[1]Hoja para mrp'!$A:$Z,26,0)</f>
        <v>#N/A</v>
      </c>
      <c r="V789" s="1" t="e">
        <f>VLOOKUP(data[[#This Row],[Material]],'[1]Hoja para mrp'!$A:$Z,25,0)</f>
        <v>#N/A</v>
      </c>
    </row>
    <row r="790" spans="2:22" x14ac:dyDescent="0.25">
      <c r="B790" s="4">
        <v>30008704</v>
      </c>
      <c r="C790" s="1" t="s">
        <v>1076</v>
      </c>
      <c r="D790" s="4" t="s">
        <v>89</v>
      </c>
      <c r="E790" s="3"/>
      <c r="F790" s="3" t="s">
        <v>105</v>
      </c>
      <c r="G790" s="4">
        <v>17</v>
      </c>
      <c r="H790" s="4">
        <v>16</v>
      </c>
      <c r="I790" s="4">
        <v>30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66</v>
      </c>
      <c r="U790" s="1" t="e">
        <f>VLOOKUP(data[[#This Row],[Material]],'[1]Hoja para mrp'!$A:$Z,26,0)</f>
        <v>#N/A</v>
      </c>
      <c r="V790" s="1" t="e">
        <f>VLOOKUP(data[[#This Row],[Material]],'[1]Hoja para mrp'!$A:$Z,25,0)</f>
        <v>#N/A</v>
      </c>
    </row>
    <row r="791" spans="2:22" x14ac:dyDescent="0.25">
      <c r="B791" s="4">
        <v>30008705</v>
      </c>
      <c r="C791" s="1" t="s">
        <v>885</v>
      </c>
      <c r="D791" s="4" t="s">
        <v>89</v>
      </c>
      <c r="E791" s="3" t="s">
        <v>1228</v>
      </c>
      <c r="F791" s="3" t="s">
        <v>105</v>
      </c>
      <c r="G791" s="4">
        <v>2</v>
      </c>
      <c r="H791" s="4">
        <v>1</v>
      </c>
      <c r="I791" s="4">
        <v>0</v>
      </c>
      <c r="J791" s="4" t="s">
        <v>8</v>
      </c>
      <c r="K791" s="4" t="s">
        <v>13</v>
      </c>
      <c r="L791" s="11" t="s">
        <v>1659</v>
      </c>
      <c r="M791" s="3"/>
      <c r="N791"/>
      <c r="O791" s="4"/>
      <c r="P791" s="1"/>
      <c r="Q791" s="22"/>
      <c r="R791"/>
      <c r="S791" s="11" t="s">
        <v>1604</v>
      </c>
      <c r="T791" s="4" t="s">
        <v>74</v>
      </c>
      <c r="U791" s="1" t="e">
        <f>VLOOKUP(data[[#This Row],[Material]],'[1]Hoja para mrp'!$A:$Z,26,0)</f>
        <v>#N/A</v>
      </c>
      <c r="V791" s="1" t="e">
        <f>VLOOKUP(data[[#This Row],[Material]],'[1]Hoja para mrp'!$A:$Z,25,0)</f>
        <v>#N/A</v>
      </c>
    </row>
    <row r="792" spans="2:22" x14ac:dyDescent="0.25">
      <c r="B792" s="4">
        <v>30008706</v>
      </c>
      <c r="C792" s="1" t="s">
        <v>849</v>
      </c>
      <c r="D792" s="4" t="s">
        <v>89</v>
      </c>
      <c r="E792" s="3"/>
      <c r="F792" s="3" t="s">
        <v>105</v>
      </c>
      <c r="G792" s="4">
        <v>1</v>
      </c>
      <c r="H792" s="4">
        <v>2</v>
      </c>
      <c r="I792" s="4">
        <v>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74</v>
      </c>
      <c r="U792" s="1" t="e">
        <f>VLOOKUP(data[[#This Row],[Material]],'[1]Hoja para mrp'!$A:$Z,26,0)</f>
        <v>#N/A</v>
      </c>
      <c r="V792" s="1" t="e">
        <f>VLOOKUP(data[[#This Row],[Material]],'[1]Hoja para mrp'!$A:$Z,25,0)</f>
        <v>#N/A</v>
      </c>
    </row>
    <row r="793" spans="2:22" x14ac:dyDescent="0.25">
      <c r="B793" s="4">
        <v>30008707</v>
      </c>
      <c r="C793" s="1" t="s">
        <v>1026</v>
      </c>
      <c r="D793" s="4" t="s">
        <v>89</v>
      </c>
      <c r="E793" s="3" t="s">
        <v>1228</v>
      </c>
      <c r="F793" s="3" t="s">
        <v>105</v>
      </c>
      <c r="G793" s="4">
        <v>2</v>
      </c>
      <c r="H793" s="4">
        <v>2</v>
      </c>
      <c r="I793" s="4">
        <v>2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74</v>
      </c>
      <c r="U793" s="1" t="e">
        <f>VLOOKUP(data[[#This Row],[Material]],'[1]Hoja para mrp'!$A:$Z,26,0)</f>
        <v>#N/A</v>
      </c>
      <c r="V793" s="1" t="e">
        <f>VLOOKUP(data[[#This Row],[Material]],'[1]Hoja para mrp'!$A:$Z,25,0)</f>
        <v>#N/A</v>
      </c>
    </row>
    <row r="794" spans="2:22" x14ac:dyDescent="0.25">
      <c r="B794" s="4">
        <v>30008708</v>
      </c>
      <c r="C794" s="1" t="s">
        <v>886</v>
      </c>
      <c r="D794" s="4" t="s">
        <v>89</v>
      </c>
      <c r="E794" s="3" t="s">
        <v>1228</v>
      </c>
      <c r="F794" s="3" t="s">
        <v>105</v>
      </c>
      <c r="G794" s="4">
        <v>2</v>
      </c>
      <c r="H794" s="4">
        <v>2</v>
      </c>
      <c r="I794" s="4">
        <v>0</v>
      </c>
      <c r="J794" s="4" t="s">
        <v>8</v>
      </c>
      <c r="K794" s="4" t="s">
        <v>13</v>
      </c>
      <c r="L794" s="11" t="s">
        <v>1659</v>
      </c>
      <c r="M794" s="3"/>
      <c r="N794"/>
      <c r="O794" s="4"/>
      <c r="P794" s="1"/>
      <c r="Q794" s="22"/>
      <c r="R794"/>
      <c r="S794" s="11" t="s">
        <v>1604</v>
      </c>
      <c r="T794" s="4" t="s">
        <v>74</v>
      </c>
      <c r="U794" s="1" t="e">
        <f>VLOOKUP(data[[#This Row],[Material]],'[1]Hoja para mrp'!$A:$Z,26,0)</f>
        <v>#N/A</v>
      </c>
      <c r="V794" s="1" t="e">
        <f>VLOOKUP(data[[#This Row],[Material]],'[1]Hoja para mrp'!$A:$Z,25,0)</f>
        <v>#N/A</v>
      </c>
    </row>
    <row r="795" spans="2:22" x14ac:dyDescent="0.25">
      <c r="B795" s="4">
        <v>30008713</v>
      </c>
      <c r="C795" s="1" t="s">
        <v>538</v>
      </c>
      <c r="D795" s="4" t="s">
        <v>89</v>
      </c>
      <c r="E795" s="3"/>
      <c r="F795" s="3" t="s">
        <v>69</v>
      </c>
      <c r="G795" s="4">
        <v>4</v>
      </c>
      <c r="H795" s="4">
        <v>4</v>
      </c>
      <c r="I795" s="4">
        <v>6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 t="e">
        <f>VLOOKUP(data[[#This Row],[Material]],'[1]Hoja para mrp'!$A:$Z,26,0)</f>
        <v>#N/A</v>
      </c>
      <c r="V795" s="1" t="e">
        <f>VLOOKUP(data[[#This Row],[Material]],'[1]Hoja para mrp'!$A:$Z,25,0)</f>
        <v>#N/A</v>
      </c>
    </row>
    <row r="796" spans="2:22" x14ac:dyDescent="0.25">
      <c r="B796" s="4">
        <v>30008714</v>
      </c>
      <c r="C796" s="1" t="s">
        <v>1527</v>
      </c>
      <c r="D796" s="4" t="s">
        <v>89</v>
      </c>
      <c r="E796" s="3"/>
      <c r="F796" s="3" t="s">
        <v>69</v>
      </c>
      <c r="G796" s="4">
        <v>4</v>
      </c>
      <c r="H796" s="4">
        <v>4</v>
      </c>
      <c r="I796" s="4">
        <v>4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66</v>
      </c>
      <c r="U796" s="1" t="e">
        <f>VLOOKUP(data[[#This Row],[Material]],'[1]Hoja para mrp'!$A:$Z,26,0)</f>
        <v>#N/A</v>
      </c>
      <c r="V796" s="1" t="e">
        <f>VLOOKUP(data[[#This Row],[Material]],'[1]Hoja para mrp'!$A:$Z,25,0)</f>
        <v>#N/A</v>
      </c>
    </row>
    <row r="797" spans="2:22" x14ac:dyDescent="0.25">
      <c r="B797" s="4">
        <v>30008718</v>
      </c>
      <c r="C797" s="1" t="s">
        <v>1424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7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66</v>
      </c>
      <c r="U797" s="1" t="e">
        <f>VLOOKUP(data[[#This Row],[Material]],'[1]Hoja para mrp'!$A:$Z,26,0)</f>
        <v>#N/A</v>
      </c>
      <c r="V797" s="1" t="e">
        <f>VLOOKUP(data[[#This Row],[Material]],'[1]Hoja para mrp'!$A:$Z,25,0)</f>
        <v>#N/A</v>
      </c>
    </row>
    <row r="798" spans="2:22" x14ac:dyDescent="0.25">
      <c r="B798" s="4">
        <v>30008726</v>
      </c>
      <c r="C798" s="1" t="s">
        <v>1027</v>
      </c>
      <c r="D798" s="4" t="s">
        <v>89</v>
      </c>
      <c r="E798" s="3" t="s">
        <v>1228</v>
      </c>
      <c r="F798" s="3" t="s">
        <v>105</v>
      </c>
      <c r="G798" s="4">
        <v>3</v>
      </c>
      <c r="H798" s="4">
        <v>2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74</v>
      </c>
      <c r="U798" s="1" t="e">
        <f>VLOOKUP(data[[#This Row],[Material]],'[1]Hoja para mrp'!$A:$Z,26,0)</f>
        <v>#N/A</v>
      </c>
      <c r="V798" s="1" t="e">
        <f>VLOOKUP(data[[#This Row],[Material]],'[1]Hoja para mrp'!$A:$Z,25,0)</f>
        <v>#N/A</v>
      </c>
    </row>
    <row r="799" spans="2:22" x14ac:dyDescent="0.25">
      <c r="B799" s="4">
        <v>30008728</v>
      </c>
      <c r="C799" s="1" t="s">
        <v>1077</v>
      </c>
      <c r="D799" s="4" t="s">
        <v>89</v>
      </c>
      <c r="E799" s="3"/>
      <c r="F799" s="3" t="s">
        <v>105</v>
      </c>
      <c r="G799" s="4">
        <v>3</v>
      </c>
      <c r="H799" s="4">
        <v>2</v>
      </c>
      <c r="I799" s="4">
        <v>3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74</v>
      </c>
      <c r="U799" s="1" t="e">
        <f>VLOOKUP(data[[#This Row],[Material]],'[1]Hoja para mrp'!$A:$Z,26,0)</f>
        <v>#N/A</v>
      </c>
      <c r="V799" s="1" t="e">
        <f>VLOOKUP(data[[#This Row],[Material]],'[1]Hoja para mrp'!$A:$Z,25,0)</f>
        <v>#N/A</v>
      </c>
    </row>
    <row r="800" spans="2:22" x14ac:dyDescent="0.25">
      <c r="B800" s="4">
        <v>30008729</v>
      </c>
      <c r="C800" s="1" t="s">
        <v>1147</v>
      </c>
      <c r="D800" s="4" t="s">
        <v>89</v>
      </c>
      <c r="E800" s="3"/>
      <c r="F800" s="3" t="s">
        <v>105</v>
      </c>
      <c r="G800" s="4">
        <v>4</v>
      </c>
      <c r="H800" s="4">
        <v>6</v>
      </c>
      <c r="I800" s="4">
        <v>9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 t="e">
        <f>VLOOKUP(data[[#This Row],[Material]],'[1]Hoja para mrp'!$A:$Z,26,0)</f>
        <v>#N/A</v>
      </c>
      <c r="V800" s="1" t="e">
        <f>VLOOKUP(data[[#This Row],[Material]],'[1]Hoja para mrp'!$A:$Z,25,0)</f>
        <v>#N/A</v>
      </c>
    </row>
    <row r="801" spans="2:22" x14ac:dyDescent="0.25">
      <c r="B801" s="4">
        <v>30008730</v>
      </c>
      <c r="C801" s="1" t="s">
        <v>1028</v>
      </c>
      <c r="D801" s="4" t="s">
        <v>89</v>
      </c>
      <c r="E801" s="3" t="s">
        <v>1228</v>
      </c>
      <c r="F801" s="3" t="s">
        <v>105</v>
      </c>
      <c r="G801" s="4">
        <v>5</v>
      </c>
      <c r="H801" s="4">
        <v>4</v>
      </c>
      <c r="I801" s="4">
        <v>6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66</v>
      </c>
      <c r="U801" s="1" t="e">
        <f>VLOOKUP(data[[#This Row],[Material]],'[1]Hoja para mrp'!$A:$Z,26,0)</f>
        <v>#N/A</v>
      </c>
      <c r="V801" s="1" t="e">
        <f>VLOOKUP(data[[#This Row],[Material]],'[1]Hoja para mrp'!$A:$Z,25,0)</f>
        <v>#N/A</v>
      </c>
    </row>
    <row r="802" spans="2:22" x14ac:dyDescent="0.25">
      <c r="B802" s="4">
        <v>30008759</v>
      </c>
      <c r="C802" s="1" t="s">
        <v>539</v>
      </c>
      <c r="D802" s="4" t="s">
        <v>89</v>
      </c>
      <c r="E802" s="3"/>
      <c r="F802" s="3" t="s">
        <v>69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66</v>
      </c>
      <c r="U802" s="1" t="e">
        <f>VLOOKUP(data[[#This Row],[Material]],'[1]Hoja para mrp'!$A:$Z,26,0)</f>
        <v>#N/A</v>
      </c>
      <c r="V802" s="1" t="e">
        <f>VLOOKUP(data[[#This Row],[Material]],'[1]Hoja para mrp'!$A:$Z,25,0)</f>
        <v>#N/A</v>
      </c>
    </row>
    <row r="803" spans="2:22" x14ac:dyDescent="0.25">
      <c r="B803" s="4">
        <v>30008760</v>
      </c>
      <c r="C803" s="1" t="s">
        <v>540</v>
      </c>
      <c r="D803" s="4" t="s">
        <v>89</v>
      </c>
      <c r="E803" s="3"/>
      <c r="F803" s="3" t="s">
        <v>69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 t="e">
        <f>VLOOKUP(data[[#This Row],[Material]],'[1]Hoja para mrp'!$A:$Z,26,0)</f>
        <v>#N/A</v>
      </c>
      <c r="V803" s="1" t="e">
        <f>VLOOKUP(data[[#This Row],[Material]],'[1]Hoja para mrp'!$A:$Z,25,0)</f>
        <v>#N/A</v>
      </c>
    </row>
    <row r="804" spans="2:22" x14ac:dyDescent="0.25">
      <c r="B804" s="4">
        <v>30008761</v>
      </c>
      <c r="C804" s="1" t="s">
        <v>541</v>
      </c>
      <c r="D804" s="4" t="s">
        <v>89</v>
      </c>
      <c r="E804" s="72"/>
      <c r="F804" s="3" t="s">
        <v>69</v>
      </c>
      <c r="G804" s="4">
        <v>12</v>
      </c>
      <c r="H804" s="4">
        <v>12</v>
      </c>
      <c r="I804" s="4">
        <v>12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 t="e">
        <f>VLOOKUP(data[[#This Row],[Material]],'[1]Hoja para mrp'!$A:$Z,26,0)</f>
        <v>#N/A</v>
      </c>
      <c r="V804" s="1" t="e">
        <f>VLOOKUP(data[[#This Row],[Material]],'[1]Hoja para mrp'!$A:$Z,25,0)</f>
        <v>#N/A</v>
      </c>
    </row>
    <row r="805" spans="2:22" x14ac:dyDescent="0.25">
      <c r="B805" s="4">
        <v>30008765</v>
      </c>
      <c r="C805" s="1" t="s">
        <v>542</v>
      </c>
      <c r="D805" s="4" t="s">
        <v>89</v>
      </c>
      <c r="E805" s="3"/>
      <c r="F805" s="3" t="s">
        <v>69</v>
      </c>
      <c r="G805" s="4">
        <v>2</v>
      </c>
      <c r="H805" s="4">
        <v>2</v>
      </c>
      <c r="I805" s="4">
        <v>2</v>
      </c>
      <c r="J805" s="4" t="s">
        <v>8</v>
      </c>
      <c r="K805" s="4" t="s">
        <v>7</v>
      </c>
      <c r="L805" s="11"/>
      <c r="M805" s="67"/>
      <c r="N805"/>
      <c r="O805" s="4"/>
      <c r="P805" s="1"/>
      <c r="Q805" s="22"/>
      <c r="R805"/>
      <c r="S805" s="11"/>
      <c r="T805" s="4" t="s">
        <v>66</v>
      </c>
      <c r="U805" s="1" t="e">
        <f>VLOOKUP(data[[#This Row],[Material]],'[1]Hoja para mrp'!$A:$Z,26,0)</f>
        <v>#N/A</v>
      </c>
      <c r="V805" s="1" t="e">
        <f>VLOOKUP(data[[#This Row],[Material]],'[1]Hoja para mrp'!$A:$Z,25,0)</f>
        <v>#N/A</v>
      </c>
    </row>
    <row r="806" spans="2:22" x14ac:dyDescent="0.25">
      <c r="B806" s="4">
        <v>30008773</v>
      </c>
      <c r="C806" s="1" t="s">
        <v>1029</v>
      </c>
      <c r="D806" s="4" t="s">
        <v>89</v>
      </c>
      <c r="E806" s="3"/>
      <c r="F806" s="3" t="s">
        <v>105</v>
      </c>
      <c r="G806" s="4">
        <v>33</v>
      </c>
      <c r="H806" s="4">
        <v>32</v>
      </c>
      <c r="I806" s="4">
        <v>55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 t="s">
        <v>1631</v>
      </c>
      <c r="T806" s="4" t="s">
        <v>74</v>
      </c>
      <c r="U806" s="1" t="e">
        <f>VLOOKUP(data[[#This Row],[Material]],'[1]Hoja para mrp'!$A:$Z,26,0)</f>
        <v>#N/A</v>
      </c>
      <c r="V806" s="1" t="e">
        <f>VLOOKUP(data[[#This Row],[Material]],'[1]Hoja para mrp'!$A:$Z,25,0)</f>
        <v>#N/A</v>
      </c>
    </row>
    <row r="807" spans="2:22" x14ac:dyDescent="0.25">
      <c r="B807" s="4">
        <v>30008774</v>
      </c>
      <c r="C807" s="1" t="s">
        <v>1030</v>
      </c>
      <c r="D807" s="4" t="s">
        <v>89</v>
      </c>
      <c r="E807" s="3"/>
      <c r="F807" s="3" t="s">
        <v>105</v>
      </c>
      <c r="G807" s="4">
        <v>5</v>
      </c>
      <c r="H807" s="4">
        <v>4</v>
      </c>
      <c r="I807" s="4">
        <v>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 t="e">
        <f>VLOOKUP(data[[#This Row],[Material]],'[1]Hoja para mrp'!$A:$Z,26,0)</f>
        <v>#N/A</v>
      </c>
      <c r="V807" s="1" t="e">
        <f>VLOOKUP(data[[#This Row],[Material]],'[1]Hoja para mrp'!$A:$Z,25,0)</f>
        <v>#N/A</v>
      </c>
    </row>
    <row r="808" spans="2:22" x14ac:dyDescent="0.25">
      <c r="B808" s="4">
        <v>30008776</v>
      </c>
      <c r="C808" s="1" t="s">
        <v>1078</v>
      </c>
      <c r="D808" s="4" t="s">
        <v>89</v>
      </c>
      <c r="E808" s="3" t="s">
        <v>1228</v>
      </c>
      <c r="F808" s="3" t="s">
        <v>105</v>
      </c>
      <c r="G808" s="4">
        <v>4</v>
      </c>
      <c r="H808" s="4">
        <v>4</v>
      </c>
      <c r="I808" s="4">
        <v>5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74</v>
      </c>
      <c r="U808" s="1" t="str">
        <f>VLOOKUP(data[[#This Row],[Material]],'[1]Hoja para mrp'!$A:$Z,26,0)</f>
        <v>2da compra</v>
      </c>
      <c r="V808" s="1">
        <f>VLOOKUP(data[[#This Row],[Material]],'[1]Hoja para mrp'!$A:$Z,25,0)</f>
        <v>4</v>
      </c>
    </row>
    <row r="809" spans="2:22" x14ac:dyDescent="0.25">
      <c r="B809" s="4">
        <v>30008779</v>
      </c>
      <c r="C809" s="1" t="s">
        <v>1031</v>
      </c>
      <c r="D809" s="4" t="s">
        <v>89</v>
      </c>
      <c r="E809" s="3" t="s">
        <v>1228</v>
      </c>
      <c r="F809" s="3" t="s">
        <v>105</v>
      </c>
      <c r="G809" s="4">
        <v>17</v>
      </c>
      <c r="H809" s="4">
        <v>16</v>
      </c>
      <c r="I809" s="4">
        <v>18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74</v>
      </c>
      <c r="U809" s="1" t="e">
        <f>VLOOKUP(data[[#This Row],[Material]],'[1]Hoja para mrp'!$A:$Z,26,0)</f>
        <v>#N/A</v>
      </c>
      <c r="V809" s="1" t="e">
        <f>VLOOKUP(data[[#This Row],[Material]],'[1]Hoja para mrp'!$A:$Z,25,0)</f>
        <v>#N/A</v>
      </c>
    </row>
    <row r="810" spans="2:22" x14ac:dyDescent="0.25">
      <c r="B810" s="4">
        <v>30008781</v>
      </c>
      <c r="C810" s="1" t="s">
        <v>1079</v>
      </c>
      <c r="D810" s="4" t="s">
        <v>89</v>
      </c>
      <c r="E810" s="3" t="s">
        <v>1228</v>
      </c>
      <c r="F810" s="3" t="s">
        <v>105</v>
      </c>
      <c r="G810" s="4">
        <v>9</v>
      </c>
      <c r="H810" s="4">
        <v>5</v>
      </c>
      <c r="I810" s="4">
        <v>4</v>
      </c>
      <c r="J810" s="4" t="s">
        <v>8</v>
      </c>
      <c r="K810" s="4" t="s">
        <v>9</v>
      </c>
      <c r="L810" s="11"/>
      <c r="M810" s="3"/>
      <c r="N810">
        <v>4502683988</v>
      </c>
      <c r="O810" s="4">
        <v>2</v>
      </c>
      <c r="P810" s="1" t="s">
        <v>1363</v>
      </c>
      <c r="Q810" s="22">
        <v>46371</v>
      </c>
      <c r="R810"/>
      <c r="S810" s="11"/>
      <c r="T810" s="4" t="s">
        <v>74</v>
      </c>
      <c r="U810" s="1" t="e">
        <f>VLOOKUP(data[[#This Row],[Material]],'[1]Hoja para mrp'!$A:$Z,26,0)</f>
        <v>#N/A</v>
      </c>
      <c r="V810" s="1" t="e">
        <f>VLOOKUP(data[[#This Row],[Material]],'[1]Hoja para mrp'!$A:$Z,25,0)</f>
        <v>#N/A</v>
      </c>
    </row>
    <row r="811" spans="2:22" x14ac:dyDescent="0.25">
      <c r="B811" s="4">
        <v>30008782</v>
      </c>
      <c r="C811" s="1" t="s">
        <v>1080</v>
      </c>
      <c r="D811" s="4" t="s">
        <v>89</v>
      </c>
      <c r="E811" s="3" t="s">
        <v>1228</v>
      </c>
      <c r="F811" s="3" t="s">
        <v>105</v>
      </c>
      <c r="G811" s="4">
        <v>5</v>
      </c>
      <c r="H811" s="4">
        <v>4</v>
      </c>
      <c r="I811" s="4">
        <v>4</v>
      </c>
      <c r="J811" s="4" t="s">
        <v>8</v>
      </c>
      <c r="K811" s="4" t="s">
        <v>9</v>
      </c>
      <c r="L811" s="11" t="s">
        <v>1660</v>
      </c>
      <c r="M811" s="3"/>
      <c r="N811"/>
      <c r="O811" s="4"/>
      <c r="P811" s="1"/>
      <c r="Q811" s="22"/>
      <c r="R811"/>
      <c r="S811" s="11" t="s">
        <v>1590</v>
      </c>
      <c r="T811" s="4" t="s">
        <v>74</v>
      </c>
      <c r="U811" s="1" t="e">
        <f>VLOOKUP(data[[#This Row],[Material]],'[1]Hoja para mrp'!$A:$Z,26,0)</f>
        <v>#N/A</v>
      </c>
      <c r="V811" s="1" t="e">
        <f>VLOOKUP(data[[#This Row],[Material]],'[1]Hoja para mrp'!$A:$Z,25,0)</f>
        <v>#N/A</v>
      </c>
    </row>
    <row r="812" spans="2:22" x14ac:dyDescent="0.25">
      <c r="B812" s="4">
        <v>30008788</v>
      </c>
      <c r="C812" s="1" t="s">
        <v>1032</v>
      </c>
      <c r="D812" s="4" t="s">
        <v>89</v>
      </c>
      <c r="E812" s="3"/>
      <c r="F812" s="3" t="s">
        <v>105</v>
      </c>
      <c r="G812" s="4">
        <v>5</v>
      </c>
      <c r="H812" s="4">
        <v>4</v>
      </c>
      <c r="I812" s="4">
        <v>6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s="4" t="s">
        <v>66</v>
      </c>
      <c r="U812" s="1" t="e">
        <f>VLOOKUP(data[[#This Row],[Material]],'[1]Hoja para mrp'!$A:$Z,26,0)</f>
        <v>#N/A</v>
      </c>
      <c r="V812" s="1" t="e">
        <f>VLOOKUP(data[[#This Row],[Material]],'[1]Hoja para mrp'!$A:$Z,25,0)</f>
        <v>#N/A</v>
      </c>
    </row>
    <row r="813" spans="2:22" x14ac:dyDescent="0.25">
      <c r="B813" s="4">
        <v>30008789</v>
      </c>
      <c r="C813" s="1" t="s">
        <v>1033</v>
      </c>
      <c r="D813" s="4" t="s">
        <v>89</v>
      </c>
      <c r="E813" s="3" t="s">
        <v>1228</v>
      </c>
      <c r="F813" s="3" t="s">
        <v>105</v>
      </c>
      <c r="G813" s="4">
        <v>5</v>
      </c>
      <c r="H813" s="4">
        <v>4</v>
      </c>
      <c r="I813" s="4">
        <v>6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66</v>
      </c>
      <c r="U813" s="1" t="e">
        <f>VLOOKUP(data[[#This Row],[Material]],'[1]Hoja para mrp'!$A:$Z,26,0)</f>
        <v>#N/A</v>
      </c>
      <c r="V813" s="1" t="e">
        <f>VLOOKUP(data[[#This Row],[Material]],'[1]Hoja para mrp'!$A:$Z,25,0)</f>
        <v>#N/A</v>
      </c>
    </row>
    <row r="814" spans="2:22" x14ac:dyDescent="0.25">
      <c r="B814" s="4">
        <v>30008790</v>
      </c>
      <c r="C814" s="1" t="s">
        <v>1034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 t="e">
        <f>VLOOKUP(data[[#This Row],[Material]],'[1]Hoja para mrp'!$A:$Z,26,0)</f>
        <v>#N/A</v>
      </c>
      <c r="V814" s="1" t="e">
        <f>VLOOKUP(data[[#This Row],[Material]],'[1]Hoja para mrp'!$A:$Z,25,0)</f>
        <v>#N/A</v>
      </c>
    </row>
    <row r="815" spans="2:22" x14ac:dyDescent="0.25">
      <c r="B815" s="4">
        <v>30008791</v>
      </c>
      <c r="C815" s="1" t="s">
        <v>1035</v>
      </c>
      <c r="D815" s="4" t="s">
        <v>89</v>
      </c>
      <c r="E815" s="3"/>
      <c r="F815" s="3" t="s">
        <v>105</v>
      </c>
      <c r="G815" s="4">
        <v>5</v>
      </c>
      <c r="H815" s="4">
        <v>4</v>
      </c>
      <c r="I815" s="4">
        <v>4</v>
      </c>
      <c r="J815" s="4" t="s">
        <v>8</v>
      </c>
      <c r="K815" s="4" t="s">
        <v>9</v>
      </c>
      <c r="L815" s="11"/>
      <c r="M815" s="3"/>
      <c r="N815">
        <v>4502674396</v>
      </c>
      <c r="O815" s="4">
        <v>4</v>
      </c>
      <c r="P815" s="1" t="s">
        <v>1586</v>
      </c>
      <c r="Q815" s="22">
        <v>46248</v>
      </c>
      <c r="R815"/>
      <c r="S815" s="11"/>
      <c r="T815" s="4" t="s">
        <v>66</v>
      </c>
      <c r="U815" s="1" t="e">
        <f>VLOOKUP(data[[#This Row],[Material]],'[1]Hoja para mrp'!$A:$Z,26,0)</f>
        <v>#N/A</v>
      </c>
      <c r="V815" s="1" t="e">
        <f>VLOOKUP(data[[#This Row],[Material]],'[1]Hoja para mrp'!$A:$Z,25,0)</f>
        <v>#N/A</v>
      </c>
    </row>
    <row r="816" spans="2:22" x14ac:dyDescent="0.25">
      <c r="B816" s="4">
        <v>30008792</v>
      </c>
      <c r="C816" s="1" t="s">
        <v>543</v>
      </c>
      <c r="D816" s="4" t="s">
        <v>89</v>
      </c>
      <c r="E816" s="3"/>
      <c r="F816" s="3" t="s">
        <v>69</v>
      </c>
      <c r="G816" s="4">
        <v>10</v>
      </c>
      <c r="H816" s="4">
        <v>10</v>
      </c>
      <c r="I816" s="4">
        <v>21</v>
      </c>
      <c r="J816" s="4" t="s">
        <v>8</v>
      </c>
      <c r="K816" s="4" t="s">
        <v>14</v>
      </c>
      <c r="L816" s="11"/>
      <c r="M816" s="3"/>
      <c r="N816"/>
      <c r="O816" s="4"/>
      <c r="P816" s="1"/>
      <c r="Q816" s="22"/>
      <c r="R816"/>
      <c r="S816" s="11"/>
      <c r="T816" s="4" t="s">
        <v>70</v>
      </c>
      <c r="U816" s="1" t="e">
        <f>VLOOKUP(data[[#This Row],[Material]],'[1]Hoja para mrp'!$A:$Z,26,0)</f>
        <v>#N/A</v>
      </c>
      <c r="V816" s="1" t="e">
        <f>VLOOKUP(data[[#This Row],[Material]],'[1]Hoja para mrp'!$A:$Z,25,0)</f>
        <v>#N/A</v>
      </c>
    </row>
    <row r="817" spans="2:23" x14ac:dyDescent="0.25">
      <c r="B817" s="4">
        <v>30008795</v>
      </c>
      <c r="C817" s="1" t="s">
        <v>544</v>
      </c>
      <c r="D817" s="4" t="s">
        <v>89</v>
      </c>
      <c r="E817" s="3"/>
      <c r="F817" s="3" t="s">
        <v>69</v>
      </c>
      <c r="G817" s="4">
        <v>10</v>
      </c>
      <c r="H817" s="4">
        <v>10</v>
      </c>
      <c r="I817" s="4">
        <v>18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66</v>
      </c>
      <c r="U817" s="1" t="e">
        <f>VLOOKUP(data[[#This Row],[Material]],'[1]Hoja para mrp'!$A:$Z,26,0)</f>
        <v>#N/A</v>
      </c>
      <c r="V817" s="1" t="e">
        <f>VLOOKUP(data[[#This Row],[Material]],'[1]Hoja para mrp'!$A:$Z,25,0)</f>
        <v>#N/A</v>
      </c>
    </row>
    <row r="818" spans="2:23" x14ac:dyDescent="0.25">
      <c r="B818" s="4">
        <v>30008796</v>
      </c>
      <c r="C818" s="1" t="s">
        <v>545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10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66</v>
      </c>
      <c r="U818" s="1" t="e">
        <f>VLOOKUP(data[[#This Row],[Material]],'[1]Hoja para mrp'!$A:$Z,26,0)</f>
        <v>#N/A</v>
      </c>
      <c r="V818" s="1" t="e">
        <f>VLOOKUP(data[[#This Row],[Material]],'[1]Hoja para mrp'!$A:$Z,25,0)</f>
        <v>#N/A</v>
      </c>
    </row>
    <row r="819" spans="2:23" x14ac:dyDescent="0.25">
      <c r="B819" s="4">
        <v>30008798</v>
      </c>
      <c r="C819" s="1" t="s">
        <v>1036</v>
      </c>
      <c r="D819" s="4" t="s">
        <v>89</v>
      </c>
      <c r="E819" s="3"/>
      <c r="F819" s="3" t="s">
        <v>105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 t="e">
        <f>VLOOKUP(data[[#This Row],[Material]],'[1]Hoja para mrp'!$A:$Z,26,0)</f>
        <v>#N/A</v>
      </c>
      <c r="V819" s="1" t="e">
        <f>VLOOKUP(data[[#This Row],[Material]],'[1]Hoja para mrp'!$A:$Z,25,0)</f>
        <v>#N/A</v>
      </c>
    </row>
    <row r="820" spans="2:23" x14ac:dyDescent="0.25">
      <c r="B820" s="4">
        <v>30008799</v>
      </c>
      <c r="C820" s="1" t="s">
        <v>1037</v>
      </c>
      <c r="D820" s="4" t="s">
        <v>89</v>
      </c>
      <c r="E820" s="3" t="s">
        <v>1228</v>
      </c>
      <c r="F820" s="3" t="s">
        <v>105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 t="e">
        <f>VLOOKUP(data[[#This Row],[Material]],'[1]Hoja para mrp'!$A:$Z,26,0)</f>
        <v>#N/A</v>
      </c>
      <c r="V820" s="1" t="e">
        <f>VLOOKUP(data[[#This Row],[Material]],'[1]Hoja para mrp'!$A:$Z,25,0)</f>
        <v>#N/A</v>
      </c>
    </row>
    <row r="821" spans="2:23" x14ac:dyDescent="0.25">
      <c r="B821" s="4">
        <v>30008800</v>
      </c>
      <c r="C821" s="1" t="s">
        <v>1038</v>
      </c>
      <c r="D821" s="4" t="s">
        <v>89</v>
      </c>
      <c r="E821" s="3"/>
      <c r="F821" s="3" t="s">
        <v>105</v>
      </c>
      <c r="G821" s="4">
        <v>9</v>
      </c>
      <c r="H821" s="4">
        <v>16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 t="e">
        <f>VLOOKUP(data[[#This Row],[Material]],'[1]Hoja para mrp'!$A:$Z,26,0)</f>
        <v>#N/A</v>
      </c>
      <c r="V821" s="1" t="e">
        <f>VLOOKUP(data[[#This Row],[Material]],'[1]Hoja para mrp'!$A:$Z,25,0)</f>
        <v>#N/A</v>
      </c>
    </row>
    <row r="822" spans="2:23" x14ac:dyDescent="0.25">
      <c r="B822" s="4">
        <v>30008801</v>
      </c>
      <c r="C822" s="1" t="s">
        <v>1039</v>
      </c>
      <c r="D822" s="4" t="s">
        <v>89</v>
      </c>
      <c r="E822" s="3" t="s">
        <v>1228</v>
      </c>
      <c r="F822" s="3" t="s">
        <v>105</v>
      </c>
      <c r="G822" s="4">
        <v>17</v>
      </c>
      <c r="H822" s="4">
        <v>16</v>
      </c>
      <c r="I822" s="4">
        <v>24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66</v>
      </c>
      <c r="U822" s="1" t="e">
        <f>VLOOKUP(data[[#This Row],[Material]],'[1]Hoja para mrp'!$A:$Z,26,0)</f>
        <v>#N/A</v>
      </c>
      <c r="V822" s="1" t="e">
        <f>VLOOKUP(data[[#This Row],[Material]],'[1]Hoja para mrp'!$A:$Z,25,0)</f>
        <v>#N/A</v>
      </c>
    </row>
    <row r="823" spans="2:23" x14ac:dyDescent="0.25">
      <c r="B823" s="4">
        <v>30008802</v>
      </c>
      <c r="C823" s="1" t="s">
        <v>1040</v>
      </c>
      <c r="D823" s="4" t="s">
        <v>89</v>
      </c>
      <c r="E823" s="72"/>
      <c r="F823" s="3" t="s">
        <v>105</v>
      </c>
      <c r="G823" s="4">
        <v>9</v>
      </c>
      <c r="H823" s="4">
        <v>16</v>
      </c>
      <c r="I823" s="4">
        <v>16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66</v>
      </c>
      <c r="U823" s="1" t="e">
        <f>VLOOKUP(data[[#This Row],[Material]],'[1]Hoja para mrp'!$A:$Z,26,0)</f>
        <v>#N/A</v>
      </c>
      <c r="V823" s="1" t="e">
        <f>VLOOKUP(data[[#This Row],[Material]],'[1]Hoja para mrp'!$A:$Z,25,0)</f>
        <v>#N/A</v>
      </c>
    </row>
    <row r="824" spans="2:23" x14ac:dyDescent="0.25">
      <c r="B824" s="4">
        <v>30008803</v>
      </c>
      <c r="C824" s="1" t="s">
        <v>1081</v>
      </c>
      <c r="D824" s="4" t="s">
        <v>89</v>
      </c>
      <c r="E824" s="3" t="s">
        <v>1228</v>
      </c>
      <c r="F824" s="3" t="s">
        <v>105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/>
      <c r="M824" s="3"/>
      <c r="N824">
        <v>4502611854</v>
      </c>
      <c r="O824" s="4">
        <v>1</v>
      </c>
      <c r="P824" s="1" t="s">
        <v>1363</v>
      </c>
      <c r="Q824" s="22">
        <v>46185</v>
      </c>
      <c r="R824"/>
      <c r="S824" s="11"/>
      <c r="T824" s="4" t="s">
        <v>74</v>
      </c>
      <c r="U824" s="1" t="e">
        <f>VLOOKUP(data[[#This Row],[Material]],'[1]Hoja para mrp'!$A:$Z,26,0)</f>
        <v>#N/A</v>
      </c>
      <c r="V824" s="1" t="e">
        <f>VLOOKUP(data[[#This Row],[Material]],'[1]Hoja para mrp'!$A:$Z,25,0)</f>
        <v>#N/A</v>
      </c>
    </row>
    <row r="825" spans="2:23" x14ac:dyDescent="0.25">
      <c r="B825" s="4">
        <v>30008804</v>
      </c>
      <c r="C825" s="1" t="s">
        <v>1082</v>
      </c>
      <c r="D825" s="4" t="s">
        <v>89</v>
      </c>
      <c r="E825" s="3" t="s">
        <v>1228</v>
      </c>
      <c r="F825" s="3" t="s">
        <v>105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 t="s">
        <v>1660</v>
      </c>
      <c r="M825" s="3"/>
      <c r="N825"/>
      <c r="O825" s="4"/>
      <c r="P825" s="1"/>
      <c r="Q825" s="22"/>
      <c r="R825"/>
      <c r="S825" s="11" t="s">
        <v>1608</v>
      </c>
      <c r="T825" s="4" t="s">
        <v>74</v>
      </c>
      <c r="U825" s="1" t="e">
        <f>VLOOKUP(data[[#This Row],[Material]],'[1]Hoja para mrp'!$A:$Z,26,0)</f>
        <v>#N/A</v>
      </c>
      <c r="V825" s="1" t="e">
        <f>VLOOKUP(data[[#This Row],[Material]],'[1]Hoja para mrp'!$A:$Z,25,0)</f>
        <v>#N/A</v>
      </c>
    </row>
    <row r="826" spans="2:23" x14ac:dyDescent="0.25">
      <c r="B826" s="4">
        <v>30008805</v>
      </c>
      <c r="C826" s="1" t="s">
        <v>1083</v>
      </c>
      <c r="D826" s="4" t="s">
        <v>89</v>
      </c>
      <c r="E826" s="3"/>
      <c r="F826" s="3" t="s">
        <v>105</v>
      </c>
      <c r="G826" s="4">
        <v>3</v>
      </c>
      <c r="H826" s="4">
        <v>2</v>
      </c>
      <c r="I826" s="4">
        <v>2</v>
      </c>
      <c r="J826" s="4" t="s">
        <v>8</v>
      </c>
      <c r="K826" s="4" t="s">
        <v>9</v>
      </c>
      <c r="L826" s="11"/>
      <c r="M826" s="3"/>
      <c r="N826">
        <v>4502575379</v>
      </c>
      <c r="O826" s="4">
        <v>1</v>
      </c>
      <c r="P826" s="1" t="s">
        <v>1363</v>
      </c>
      <c r="Q826" s="22">
        <v>46115</v>
      </c>
      <c r="R826"/>
      <c r="S826" s="11"/>
      <c r="T826" s="4" t="s">
        <v>74</v>
      </c>
      <c r="U826" s="1" t="e">
        <f>VLOOKUP(data[[#This Row],[Material]],'[1]Hoja para mrp'!$A:$Z,26,0)</f>
        <v>#N/A</v>
      </c>
      <c r="V826" s="1" t="e">
        <f>VLOOKUP(data[[#This Row],[Material]],'[1]Hoja para mrp'!$A:$Z,25,0)</f>
        <v>#N/A</v>
      </c>
      <c r="W826" s="1" t="s">
        <v>1685</v>
      </c>
    </row>
    <row r="827" spans="2:23" x14ac:dyDescent="0.25">
      <c r="B827" s="4">
        <v>30008806</v>
      </c>
      <c r="C827" s="1" t="s">
        <v>546</v>
      </c>
      <c r="D827" s="4" t="s">
        <v>89</v>
      </c>
      <c r="E827" s="3"/>
      <c r="F827" s="3" t="s">
        <v>105</v>
      </c>
      <c r="G827" s="4">
        <v>5</v>
      </c>
      <c r="H827" s="4">
        <v>4</v>
      </c>
      <c r="I827" s="4">
        <v>23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  <c r="T827" s="4" t="s">
        <v>66</v>
      </c>
      <c r="U827" s="1" t="e">
        <f>VLOOKUP(data[[#This Row],[Material]],'[1]Hoja para mrp'!$A:$Z,26,0)</f>
        <v>#N/A</v>
      </c>
      <c r="V827" s="1" t="e">
        <f>VLOOKUP(data[[#This Row],[Material]],'[1]Hoja para mrp'!$A:$Z,25,0)</f>
        <v>#N/A</v>
      </c>
    </row>
    <row r="828" spans="2:23" x14ac:dyDescent="0.25">
      <c r="B828" s="4">
        <v>30008808</v>
      </c>
      <c r="C828" s="1" t="s">
        <v>1041</v>
      </c>
      <c r="D828" s="4" t="s">
        <v>89</v>
      </c>
      <c r="E828" s="3"/>
      <c r="F828" s="3" t="s">
        <v>105</v>
      </c>
      <c r="G828" s="4">
        <v>5</v>
      </c>
      <c r="H828" s="4">
        <v>4</v>
      </c>
      <c r="I828" s="4">
        <v>11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66</v>
      </c>
      <c r="U828" s="1" t="e">
        <f>VLOOKUP(data[[#This Row],[Material]],'[1]Hoja para mrp'!$A:$Z,26,0)</f>
        <v>#N/A</v>
      </c>
      <c r="V828" s="1" t="e">
        <f>VLOOKUP(data[[#This Row],[Material]],'[1]Hoja para mrp'!$A:$Z,25,0)</f>
        <v>#N/A</v>
      </c>
    </row>
    <row r="829" spans="2:23" x14ac:dyDescent="0.25">
      <c r="B829" s="4">
        <v>30008809</v>
      </c>
      <c r="C829" s="1" t="s">
        <v>1084</v>
      </c>
      <c r="D829" s="4" t="s">
        <v>89</v>
      </c>
      <c r="E829" s="3"/>
      <c r="F829" s="3" t="s">
        <v>105</v>
      </c>
      <c r="G829" s="4">
        <v>5</v>
      </c>
      <c r="H829" s="4">
        <v>8</v>
      </c>
      <c r="I829" s="4">
        <v>13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 t="e">
        <f>VLOOKUP(data[[#This Row],[Material]],'[1]Hoja para mrp'!$A:$Z,26,0)</f>
        <v>#N/A</v>
      </c>
      <c r="V829" s="1" t="e">
        <f>VLOOKUP(data[[#This Row],[Material]],'[1]Hoja para mrp'!$A:$Z,25,0)</f>
        <v>#N/A</v>
      </c>
    </row>
    <row r="830" spans="2:23" x14ac:dyDescent="0.25">
      <c r="B830" s="4">
        <v>30008810</v>
      </c>
      <c r="C830" s="1" t="s">
        <v>1085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5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 t="e">
        <f>VLOOKUP(data[[#This Row],[Material]],'[1]Hoja para mrp'!$A:$Z,26,0)</f>
        <v>#N/A</v>
      </c>
      <c r="V830" s="1" t="e">
        <f>VLOOKUP(data[[#This Row],[Material]],'[1]Hoja para mrp'!$A:$Z,25,0)</f>
        <v>#N/A</v>
      </c>
    </row>
    <row r="831" spans="2:23" x14ac:dyDescent="0.25">
      <c r="B831" s="4">
        <v>30008811</v>
      </c>
      <c r="C831" s="1" t="s">
        <v>1042</v>
      </c>
      <c r="D831" s="4" t="s">
        <v>89</v>
      </c>
      <c r="E831" s="3" t="s">
        <v>1228</v>
      </c>
      <c r="F831" s="3" t="s">
        <v>105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74</v>
      </c>
      <c r="U831" s="1" t="e">
        <f>VLOOKUP(data[[#This Row],[Material]],'[1]Hoja para mrp'!$A:$Z,26,0)</f>
        <v>#N/A</v>
      </c>
      <c r="V831" s="1" t="e">
        <f>VLOOKUP(data[[#This Row],[Material]],'[1]Hoja para mrp'!$A:$Z,25,0)</f>
        <v>#N/A</v>
      </c>
    </row>
    <row r="832" spans="2:23" x14ac:dyDescent="0.25">
      <c r="B832" s="4">
        <v>30008812</v>
      </c>
      <c r="C832" s="1" t="s">
        <v>1043</v>
      </c>
      <c r="D832" s="4" t="s">
        <v>89</v>
      </c>
      <c r="E832" s="3" t="s">
        <v>1228</v>
      </c>
      <c r="F832" s="3" t="s">
        <v>105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74</v>
      </c>
      <c r="U832" s="1" t="e">
        <f>VLOOKUP(data[[#This Row],[Material]],'[1]Hoja para mrp'!$A:$Z,26,0)</f>
        <v>#N/A</v>
      </c>
      <c r="V832" s="1" t="e">
        <f>VLOOKUP(data[[#This Row],[Material]],'[1]Hoja para mrp'!$A:$Z,25,0)</f>
        <v>#N/A</v>
      </c>
    </row>
    <row r="833" spans="2:22" x14ac:dyDescent="0.25">
      <c r="B833" s="4">
        <v>30008813</v>
      </c>
      <c r="C833" s="1" t="s">
        <v>1044</v>
      </c>
      <c r="D833" s="4" t="s">
        <v>89</v>
      </c>
      <c r="E833" s="3" t="s">
        <v>1228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 t="e">
        <f>VLOOKUP(data[[#This Row],[Material]],'[1]Hoja para mrp'!$A:$Z,26,0)</f>
        <v>#N/A</v>
      </c>
      <c r="V833" s="1" t="e">
        <f>VLOOKUP(data[[#This Row],[Material]],'[1]Hoja para mrp'!$A:$Z,25,0)</f>
        <v>#N/A</v>
      </c>
    </row>
    <row r="834" spans="2:22" x14ac:dyDescent="0.25">
      <c r="B834" s="4">
        <v>30008814</v>
      </c>
      <c r="C834" s="1" t="s">
        <v>1045</v>
      </c>
      <c r="D834" s="4" t="s">
        <v>89</v>
      </c>
      <c r="E834" s="3" t="s">
        <v>1228</v>
      </c>
      <c r="F834" s="3" t="s">
        <v>105</v>
      </c>
      <c r="G834" s="4">
        <v>5</v>
      </c>
      <c r="H834" s="4">
        <v>4</v>
      </c>
      <c r="I834" s="4">
        <v>6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 t="e">
        <f>VLOOKUP(data[[#This Row],[Material]],'[1]Hoja para mrp'!$A:$Z,26,0)</f>
        <v>#N/A</v>
      </c>
      <c r="V834" s="1" t="e">
        <f>VLOOKUP(data[[#This Row],[Material]],'[1]Hoja para mrp'!$A:$Z,25,0)</f>
        <v>#N/A</v>
      </c>
    </row>
    <row r="835" spans="2:22" x14ac:dyDescent="0.25">
      <c r="B835" s="4">
        <v>30008815</v>
      </c>
      <c r="C835" s="1" t="s">
        <v>1046</v>
      </c>
      <c r="D835" s="4" t="s">
        <v>89</v>
      </c>
      <c r="E835" s="3"/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 t="e">
        <f>VLOOKUP(data[[#This Row],[Material]],'[1]Hoja para mrp'!$A:$Z,26,0)</f>
        <v>#N/A</v>
      </c>
      <c r="V835" s="1" t="e">
        <f>VLOOKUP(data[[#This Row],[Material]],'[1]Hoja para mrp'!$A:$Z,25,0)</f>
        <v>#N/A</v>
      </c>
    </row>
    <row r="836" spans="2:22" x14ac:dyDescent="0.25">
      <c r="B836" s="4">
        <v>30008817</v>
      </c>
      <c r="C836" s="1" t="s">
        <v>1048</v>
      </c>
      <c r="D836" s="4" t="s">
        <v>89</v>
      </c>
      <c r="E836" s="3"/>
      <c r="F836" s="3" t="s">
        <v>105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 t="e">
        <f>VLOOKUP(data[[#This Row],[Material]],'[1]Hoja para mrp'!$A:$Z,26,0)</f>
        <v>#N/A</v>
      </c>
      <c r="V836" s="1" t="e">
        <f>VLOOKUP(data[[#This Row],[Material]],'[1]Hoja para mrp'!$A:$Z,25,0)</f>
        <v>#N/A</v>
      </c>
    </row>
    <row r="837" spans="2:22" x14ac:dyDescent="0.25">
      <c r="B837" s="4">
        <v>30008818</v>
      </c>
      <c r="C837" s="1" t="s">
        <v>547</v>
      </c>
      <c r="D837" s="4" t="s">
        <v>89</v>
      </c>
      <c r="E837" s="3"/>
      <c r="F837" s="3" t="s">
        <v>69</v>
      </c>
      <c r="G837" s="4">
        <v>8</v>
      </c>
      <c r="H837" s="4">
        <v>8</v>
      </c>
      <c r="I837" s="4">
        <v>8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 t="e">
        <f>VLOOKUP(data[[#This Row],[Material]],'[1]Hoja para mrp'!$A:$Z,26,0)</f>
        <v>#N/A</v>
      </c>
      <c r="V837" s="1" t="e">
        <f>VLOOKUP(data[[#This Row],[Material]],'[1]Hoja para mrp'!$A:$Z,25,0)</f>
        <v>#N/A</v>
      </c>
    </row>
    <row r="838" spans="2:22" x14ac:dyDescent="0.25">
      <c r="B838" s="4">
        <v>30008847</v>
      </c>
      <c r="C838" s="1" t="s">
        <v>548</v>
      </c>
      <c r="D838" s="4" t="s">
        <v>89</v>
      </c>
      <c r="E838" s="3"/>
      <c r="F838" s="3" t="s">
        <v>69</v>
      </c>
      <c r="G838" s="4">
        <v>4</v>
      </c>
      <c r="H838" s="4">
        <v>4</v>
      </c>
      <c r="I838" s="4">
        <v>10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s="4" t="s">
        <v>66</v>
      </c>
      <c r="U838" s="1" t="e">
        <f>VLOOKUP(data[[#This Row],[Material]],'[1]Hoja para mrp'!$A:$Z,26,0)</f>
        <v>#N/A</v>
      </c>
      <c r="V838" s="1" t="e">
        <f>VLOOKUP(data[[#This Row],[Material]],'[1]Hoja para mrp'!$A:$Z,25,0)</f>
        <v>#N/A</v>
      </c>
    </row>
    <row r="839" spans="2:22" x14ac:dyDescent="0.25">
      <c r="B839" s="4">
        <v>30008854</v>
      </c>
      <c r="C839" s="1" t="s">
        <v>549</v>
      </c>
      <c r="D839" s="4" t="s">
        <v>89</v>
      </c>
      <c r="E839" s="3"/>
      <c r="F839" s="3" t="s">
        <v>69</v>
      </c>
      <c r="G839" s="4">
        <v>32</v>
      </c>
      <c r="H839" s="4">
        <v>32</v>
      </c>
      <c r="I839" s="4">
        <v>32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66</v>
      </c>
      <c r="U839" s="1" t="e">
        <f>VLOOKUP(data[[#This Row],[Material]],'[1]Hoja para mrp'!$A:$Z,26,0)</f>
        <v>#N/A</v>
      </c>
      <c r="V839" s="1" t="e">
        <f>VLOOKUP(data[[#This Row],[Material]],'[1]Hoja para mrp'!$A:$Z,25,0)</f>
        <v>#N/A</v>
      </c>
    </row>
    <row r="840" spans="2:22" x14ac:dyDescent="0.25">
      <c r="B840" s="4">
        <v>30008856</v>
      </c>
      <c r="C840" s="1" t="s">
        <v>1049</v>
      </c>
      <c r="D840" s="4" t="s">
        <v>89</v>
      </c>
      <c r="E840" s="3"/>
      <c r="F840" s="3" t="s">
        <v>105</v>
      </c>
      <c r="G840" s="4">
        <v>5</v>
      </c>
      <c r="H840" s="4">
        <v>4</v>
      </c>
      <c r="I840" s="4">
        <v>7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 t="e">
        <f>VLOOKUP(data[[#This Row],[Material]],'[1]Hoja para mrp'!$A:$Z,26,0)</f>
        <v>#N/A</v>
      </c>
      <c r="V840" s="1" t="e">
        <f>VLOOKUP(data[[#This Row],[Material]],'[1]Hoja para mrp'!$A:$Z,25,0)</f>
        <v>#N/A</v>
      </c>
    </row>
    <row r="841" spans="2:22" x14ac:dyDescent="0.25">
      <c r="B841" s="4">
        <v>30008857</v>
      </c>
      <c r="C841" s="1" t="s">
        <v>1050</v>
      </c>
      <c r="D841" s="4" t="s">
        <v>89</v>
      </c>
      <c r="E841" s="3"/>
      <c r="F841" s="3" t="s">
        <v>105</v>
      </c>
      <c r="G841" s="4">
        <v>5</v>
      </c>
      <c r="H841" s="4">
        <v>4</v>
      </c>
      <c r="I841" s="4">
        <v>8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 t="e">
        <f>VLOOKUP(data[[#This Row],[Material]],'[1]Hoja para mrp'!$A:$Z,26,0)</f>
        <v>#N/A</v>
      </c>
      <c r="V841" s="1" t="e">
        <f>VLOOKUP(data[[#This Row],[Material]],'[1]Hoja para mrp'!$A:$Z,25,0)</f>
        <v>#N/A</v>
      </c>
    </row>
    <row r="842" spans="2:22" x14ac:dyDescent="0.25">
      <c r="B842" s="4">
        <v>30008858</v>
      </c>
      <c r="C842" s="1" t="s">
        <v>1051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17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 t="e">
        <f>VLOOKUP(data[[#This Row],[Material]],'[1]Hoja para mrp'!$A:$Z,26,0)</f>
        <v>#N/A</v>
      </c>
      <c r="V842" s="1" t="e">
        <f>VLOOKUP(data[[#This Row],[Material]],'[1]Hoja para mrp'!$A:$Z,25,0)</f>
        <v>#N/A</v>
      </c>
    </row>
    <row r="843" spans="2:22" x14ac:dyDescent="0.25">
      <c r="B843" s="4">
        <v>30008859</v>
      </c>
      <c r="C843" s="1" t="s">
        <v>1052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13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 t="e">
        <f>VLOOKUP(data[[#This Row],[Material]],'[1]Hoja para mrp'!$A:$Z,26,0)</f>
        <v>#N/A</v>
      </c>
      <c r="V843" s="1" t="e">
        <f>VLOOKUP(data[[#This Row],[Material]],'[1]Hoja para mrp'!$A:$Z,25,0)</f>
        <v>#N/A</v>
      </c>
    </row>
    <row r="844" spans="2:22" x14ac:dyDescent="0.25">
      <c r="B844" s="4">
        <v>30008931</v>
      </c>
      <c r="C844" s="1" t="s">
        <v>550</v>
      </c>
      <c r="D844" s="4" t="s">
        <v>89</v>
      </c>
      <c r="E844" s="3"/>
      <c r="F844" s="3" t="s">
        <v>69</v>
      </c>
      <c r="G844" s="4">
        <v>20</v>
      </c>
      <c r="H844" s="4">
        <v>6</v>
      </c>
      <c r="I844" s="4">
        <v>24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s="4" t="s">
        <v>73</v>
      </c>
      <c r="U844" s="1" t="e">
        <f>VLOOKUP(data[[#This Row],[Material]],'[1]Hoja para mrp'!$A:$Z,26,0)</f>
        <v>#N/A</v>
      </c>
      <c r="V844" s="1" t="e">
        <f>VLOOKUP(data[[#This Row],[Material]],'[1]Hoja para mrp'!$A:$Z,25,0)</f>
        <v>#N/A</v>
      </c>
    </row>
    <row r="845" spans="2:22" x14ac:dyDescent="0.25">
      <c r="B845" s="4">
        <v>30008973</v>
      </c>
      <c r="C845" s="1" t="s">
        <v>551</v>
      </c>
      <c r="D845" s="4" t="s">
        <v>89</v>
      </c>
      <c r="E845" s="3"/>
      <c r="F845" s="3" t="s">
        <v>69</v>
      </c>
      <c r="G845" s="4">
        <v>8</v>
      </c>
      <c r="H845" s="4">
        <v>10</v>
      </c>
      <c r="I845" s="4">
        <v>12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68</v>
      </c>
      <c r="U845" s="1" t="e">
        <f>VLOOKUP(data[[#This Row],[Material]],'[1]Hoja para mrp'!$A:$Z,26,0)</f>
        <v>#N/A</v>
      </c>
      <c r="V845" s="1" t="e">
        <f>VLOOKUP(data[[#This Row],[Material]],'[1]Hoja para mrp'!$A:$Z,25,0)</f>
        <v>#N/A</v>
      </c>
    </row>
    <row r="846" spans="2:22" x14ac:dyDescent="0.25">
      <c r="B846" s="4">
        <v>30009365</v>
      </c>
      <c r="C846" s="1" t="s">
        <v>1489</v>
      </c>
      <c r="D846" s="4" t="s">
        <v>89</v>
      </c>
      <c r="E846" s="3"/>
      <c r="F846" s="3" t="s">
        <v>69</v>
      </c>
      <c r="G846" s="4">
        <v>5</v>
      </c>
      <c r="H846" s="4">
        <v>2</v>
      </c>
      <c r="I846" s="4">
        <v>5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 t="e">
        <f>VLOOKUP(data[[#This Row],[Material]],'[1]Hoja para mrp'!$A:$Z,26,0)</f>
        <v>#N/A</v>
      </c>
      <c r="V846" s="1" t="e">
        <f>VLOOKUP(data[[#This Row],[Material]],'[1]Hoja para mrp'!$A:$Z,25,0)</f>
        <v>#N/A</v>
      </c>
    </row>
    <row r="847" spans="2:22" x14ac:dyDescent="0.25">
      <c r="B847" s="4">
        <v>30009410</v>
      </c>
      <c r="C847" s="1" t="s">
        <v>46</v>
      </c>
      <c r="D847" s="4" t="s">
        <v>89</v>
      </c>
      <c r="E847" s="3"/>
      <c r="F847" s="3" t="s">
        <v>69</v>
      </c>
      <c r="G847" s="4">
        <v>20</v>
      </c>
      <c r="H847" s="4">
        <v>50</v>
      </c>
      <c r="I847" s="4">
        <v>39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67</v>
      </c>
      <c r="U847" s="1" t="e">
        <f>VLOOKUP(data[[#This Row],[Material]],'[1]Hoja para mrp'!$A:$Z,26,0)</f>
        <v>#N/A</v>
      </c>
      <c r="V847" s="1" t="e">
        <f>VLOOKUP(data[[#This Row],[Material]],'[1]Hoja para mrp'!$A:$Z,25,0)</f>
        <v>#N/A</v>
      </c>
    </row>
    <row r="848" spans="2:22" x14ac:dyDescent="0.25">
      <c r="B848" s="4">
        <v>30009554</v>
      </c>
      <c r="C848" s="1" t="s">
        <v>552</v>
      </c>
      <c r="D848" s="4" t="s">
        <v>89</v>
      </c>
      <c r="E848" s="3"/>
      <c r="F848" s="3" t="s">
        <v>69</v>
      </c>
      <c r="G848" s="4">
        <v>3</v>
      </c>
      <c r="H848" s="4">
        <v>4</v>
      </c>
      <c r="I848" s="4">
        <v>4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67</v>
      </c>
      <c r="U848" s="1" t="e">
        <f>VLOOKUP(data[[#This Row],[Material]],'[1]Hoja para mrp'!$A:$Z,26,0)</f>
        <v>#N/A</v>
      </c>
      <c r="V848" s="1" t="e">
        <f>VLOOKUP(data[[#This Row],[Material]],'[1]Hoja para mrp'!$A:$Z,25,0)</f>
        <v>#N/A</v>
      </c>
    </row>
    <row r="849" spans="2:23" x14ac:dyDescent="0.25">
      <c r="B849" s="4">
        <v>30010099</v>
      </c>
      <c r="C849" s="1" t="s">
        <v>1499</v>
      </c>
      <c r="D849" s="4" t="s">
        <v>89</v>
      </c>
      <c r="E849" s="3"/>
      <c r="F849" s="3" t="s">
        <v>69</v>
      </c>
      <c r="G849" s="4">
        <v>3</v>
      </c>
      <c r="H849" s="4">
        <v>2</v>
      </c>
      <c r="I849" s="4">
        <v>0</v>
      </c>
      <c r="J849" s="4" t="s">
        <v>8</v>
      </c>
      <c r="K849" s="4" t="s">
        <v>13</v>
      </c>
      <c r="L849" s="11" t="s">
        <v>1659</v>
      </c>
      <c r="M849" s="3"/>
      <c r="N849"/>
      <c r="O849" s="4"/>
      <c r="P849" s="1"/>
      <c r="Q849" s="22"/>
      <c r="R849"/>
      <c r="S849" s="11" t="s">
        <v>1609</v>
      </c>
      <c r="T849" s="4" t="s">
        <v>73</v>
      </c>
      <c r="U849" s="1" t="e">
        <f>VLOOKUP(data[[#This Row],[Material]],'[1]Hoja para mrp'!$A:$Z,26,0)</f>
        <v>#N/A</v>
      </c>
      <c r="V849" s="1" t="e">
        <f>VLOOKUP(data[[#This Row],[Material]],'[1]Hoja para mrp'!$A:$Z,25,0)</f>
        <v>#N/A</v>
      </c>
    </row>
    <row r="850" spans="2:23" x14ac:dyDescent="0.25">
      <c r="B850" s="4">
        <v>30010232</v>
      </c>
      <c r="C850" s="1" t="s">
        <v>553</v>
      </c>
      <c r="D850" s="4" t="s">
        <v>89</v>
      </c>
      <c r="E850" s="3"/>
      <c r="F850" s="3" t="s">
        <v>69</v>
      </c>
      <c r="G850" s="4">
        <v>15</v>
      </c>
      <c r="H850" s="4">
        <v>6</v>
      </c>
      <c r="I850" s="4">
        <v>15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68</v>
      </c>
      <c r="U850" s="1" t="e">
        <f>VLOOKUP(data[[#This Row],[Material]],'[1]Hoja para mrp'!$A:$Z,26,0)</f>
        <v>#N/A</v>
      </c>
      <c r="V850" s="1" t="e">
        <f>VLOOKUP(data[[#This Row],[Material]],'[1]Hoja para mrp'!$A:$Z,25,0)</f>
        <v>#N/A</v>
      </c>
    </row>
    <row r="851" spans="2:23" x14ac:dyDescent="0.25">
      <c r="B851" s="4">
        <v>30010233</v>
      </c>
      <c r="C851" s="1" t="s">
        <v>554</v>
      </c>
      <c r="D851" s="4" t="s">
        <v>89</v>
      </c>
      <c r="E851" s="3"/>
      <c r="F851" s="3" t="s">
        <v>69</v>
      </c>
      <c r="G851" s="4">
        <v>6</v>
      </c>
      <c r="H851" s="4">
        <v>10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68</v>
      </c>
      <c r="U851" s="1" t="e">
        <f>VLOOKUP(data[[#This Row],[Material]],'[1]Hoja para mrp'!$A:$Z,26,0)</f>
        <v>#N/A</v>
      </c>
      <c r="V851" s="1" t="e">
        <f>VLOOKUP(data[[#This Row],[Material]],'[1]Hoja para mrp'!$A:$Z,25,0)</f>
        <v>#N/A</v>
      </c>
    </row>
    <row r="852" spans="2:23" x14ac:dyDescent="0.25">
      <c r="B852" s="4">
        <v>30010272</v>
      </c>
      <c r="C852" s="1" t="s">
        <v>1496</v>
      </c>
      <c r="D852" s="4" t="s">
        <v>89</v>
      </c>
      <c r="E852" s="3"/>
      <c r="F852" s="3" t="s">
        <v>69</v>
      </c>
      <c r="G852" s="4">
        <v>6</v>
      </c>
      <c r="H852" s="4">
        <v>3</v>
      </c>
      <c r="I852" s="4">
        <v>4</v>
      </c>
      <c r="J852" s="4" t="s">
        <v>8</v>
      </c>
      <c r="K852" s="4" t="s">
        <v>9</v>
      </c>
      <c r="L852" s="11"/>
      <c r="M852" s="3"/>
      <c r="N852">
        <v>4502682207</v>
      </c>
      <c r="O852" s="4">
        <v>5</v>
      </c>
      <c r="P852" s="1" t="s">
        <v>1647</v>
      </c>
      <c r="Q852" s="22">
        <v>46315</v>
      </c>
      <c r="R852"/>
      <c r="S852" s="11" t="s">
        <v>1610</v>
      </c>
      <c r="T852" s="4" t="s">
        <v>67</v>
      </c>
      <c r="U852" s="1" t="e">
        <f>VLOOKUP(data[[#This Row],[Material]],'[1]Hoja para mrp'!$A:$Z,26,0)</f>
        <v>#N/A</v>
      </c>
      <c r="V852" s="1" t="e">
        <f>VLOOKUP(data[[#This Row],[Material]],'[1]Hoja para mrp'!$A:$Z,25,0)</f>
        <v>#N/A</v>
      </c>
    </row>
    <row r="853" spans="2:23" x14ac:dyDescent="0.25">
      <c r="B853" s="4">
        <v>30010878</v>
      </c>
      <c r="C853" s="1" t="s">
        <v>555</v>
      </c>
      <c r="D853" s="4" t="s">
        <v>89</v>
      </c>
      <c r="E853" s="3"/>
      <c r="F853" s="3" t="s">
        <v>69</v>
      </c>
      <c r="G853" s="4">
        <v>21</v>
      </c>
      <c r="H853" s="4">
        <v>20</v>
      </c>
      <c r="I853" s="4">
        <v>21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s="4" t="s">
        <v>73</v>
      </c>
      <c r="U853" s="1" t="e">
        <f>VLOOKUP(data[[#This Row],[Material]],'[1]Hoja para mrp'!$A:$Z,26,0)</f>
        <v>#N/A</v>
      </c>
      <c r="V853" s="1" t="e">
        <f>VLOOKUP(data[[#This Row],[Material]],'[1]Hoja para mrp'!$A:$Z,25,0)</f>
        <v>#N/A</v>
      </c>
    </row>
    <row r="854" spans="2:23" x14ac:dyDescent="0.25">
      <c r="B854" s="4">
        <v>30010881</v>
      </c>
      <c r="C854" s="1" t="s">
        <v>556</v>
      </c>
      <c r="D854" s="4" t="s">
        <v>89</v>
      </c>
      <c r="E854" s="3"/>
      <c r="F854" s="3" t="s">
        <v>69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73</v>
      </c>
      <c r="U854" s="1" t="e">
        <f>VLOOKUP(data[[#This Row],[Material]],'[1]Hoja para mrp'!$A:$Z,26,0)</f>
        <v>#N/A</v>
      </c>
      <c r="V854" s="1" t="e">
        <f>VLOOKUP(data[[#This Row],[Material]],'[1]Hoja para mrp'!$A:$Z,25,0)</f>
        <v>#N/A</v>
      </c>
    </row>
    <row r="855" spans="2:23" x14ac:dyDescent="0.25">
      <c r="B855" s="4">
        <v>30010885</v>
      </c>
      <c r="C855" s="1" t="s">
        <v>793</v>
      </c>
      <c r="D855" s="4" t="s">
        <v>89</v>
      </c>
      <c r="E855" s="3"/>
      <c r="F855" s="3" t="s">
        <v>69</v>
      </c>
      <c r="G855" s="4">
        <v>20</v>
      </c>
      <c r="H855" s="4">
        <v>6</v>
      </c>
      <c r="I855" s="4">
        <v>52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 t="e">
        <f>VLOOKUP(data[[#This Row],[Material]],'[1]Hoja para mrp'!$A:$Z,26,0)</f>
        <v>#N/A</v>
      </c>
      <c r="V855" s="1" t="e">
        <f>VLOOKUP(data[[#This Row],[Material]],'[1]Hoja para mrp'!$A:$Z,25,0)</f>
        <v>#N/A</v>
      </c>
    </row>
    <row r="856" spans="2:23" x14ac:dyDescent="0.25">
      <c r="B856" s="4">
        <v>30010898</v>
      </c>
      <c r="C856" s="1" t="s">
        <v>557</v>
      </c>
      <c r="D856" s="4" t="s">
        <v>89</v>
      </c>
      <c r="E856" s="3"/>
      <c r="F856" s="3" t="s">
        <v>69</v>
      </c>
      <c r="G856" s="4">
        <v>15</v>
      </c>
      <c r="H856" s="4">
        <v>20</v>
      </c>
      <c r="I856" s="4">
        <v>45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 t="e">
        <f>VLOOKUP(data[[#This Row],[Material]],'[1]Hoja para mrp'!$A:$Z,26,0)</f>
        <v>#N/A</v>
      </c>
      <c r="V856" s="1" t="e">
        <f>VLOOKUP(data[[#This Row],[Material]],'[1]Hoja para mrp'!$A:$Z,25,0)</f>
        <v>#N/A</v>
      </c>
    </row>
    <row r="857" spans="2:23" x14ac:dyDescent="0.25">
      <c r="B857" s="4">
        <v>30010902</v>
      </c>
      <c r="C857" s="1" t="s">
        <v>1525</v>
      </c>
      <c r="D857" s="4" t="s">
        <v>89</v>
      </c>
      <c r="E857" s="3"/>
      <c r="F857" s="3" t="s">
        <v>69</v>
      </c>
      <c r="G857" s="4">
        <v>12</v>
      </c>
      <c r="H857" s="4">
        <v>12</v>
      </c>
      <c r="I857" s="4">
        <v>14</v>
      </c>
      <c r="J857" s="4" t="s">
        <v>8</v>
      </c>
      <c r="K857" s="4" t="s">
        <v>7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 t="e">
        <f>VLOOKUP(data[[#This Row],[Material]],'[1]Hoja para mrp'!$A:$Z,26,0)</f>
        <v>#N/A</v>
      </c>
      <c r="V857" s="1" t="e">
        <f>VLOOKUP(data[[#This Row],[Material]],'[1]Hoja para mrp'!$A:$Z,25,0)</f>
        <v>#N/A</v>
      </c>
    </row>
    <row r="858" spans="2:23" x14ac:dyDescent="0.25">
      <c r="B858" s="4">
        <v>30010905</v>
      </c>
      <c r="C858" s="1" t="s">
        <v>558</v>
      </c>
      <c r="D858" s="4" t="s">
        <v>89</v>
      </c>
      <c r="E858" s="3"/>
      <c r="F858" s="3" t="s">
        <v>69</v>
      </c>
      <c r="G858" s="4">
        <v>12</v>
      </c>
      <c r="H858" s="4">
        <v>4</v>
      </c>
      <c r="I858" s="4">
        <v>12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 t="str">
        <f>VLOOKUP(data[[#This Row],[Material]],'[1]Hoja para mrp'!$A:$Z,26,0)</f>
        <v>2da compra</v>
      </c>
      <c r="V858" s="1">
        <f>VLOOKUP(data[[#This Row],[Material]],'[1]Hoja para mrp'!$A:$Z,25,0)</f>
        <v>4</v>
      </c>
    </row>
    <row r="859" spans="2:23" x14ac:dyDescent="0.25">
      <c r="B859" s="4">
        <v>30010908</v>
      </c>
      <c r="C859" s="1" t="s">
        <v>1460</v>
      </c>
      <c r="D859" s="4" t="s">
        <v>89</v>
      </c>
      <c r="E859" s="3"/>
      <c r="F859" s="3" t="s">
        <v>69</v>
      </c>
      <c r="G859" s="4">
        <v>4</v>
      </c>
      <c r="H859" s="4">
        <v>2</v>
      </c>
      <c r="I859" s="4">
        <v>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 t="e">
        <f>VLOOKUP(data[[#This Row],[Material]],'[1]Hoja para mrp'!$A:$Z,26,0)</f>
        <v>#N/A</v>
      </c>
      <c r="V859" s="1" t="e">
        <f>VLOOKUP(data[[#This Row],[Material]],'[1]Hoja para mrp'!$A:$Z,25,0)</f>
        <v>#N/A</v>
      </c>
    </row>
    <row r="860" spans="2:23" x14ac:dyDescent="0.25">
      <c r="B860" s="4">
        <v>30010915</v>
      </c>
      <c r="C860" s="1" t="s">
        <v>1086</v>
      </c>
      <c r="D860" s="4" t="s">
        <v>89</v>
      </c>
      <c r="E860" s="3"/>
      <c r="F860" s="3" t="s">
        <v>69</v>
      </c>
      <c r="G860" s="4">
        <v>30</v>
      </c>
      <c r="H860" s="4">
        <v>30</v>
      </c>
      <c r="I860" s="4">
        <v>32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 t="s">
        <v>1611</v>
      </c>
      <c r="T860" s="4" t="s">
        <v>66</v>
      </c>
      <c r="U860" s="1" t="e">
        <f>VLOOKUP(data[[#This Row],[Material]],'[1]Hoja para mrp'!$A:$Z,26,0)</f>
        <v>#N/A</v>
      </c>
      <c r="V860" s="1" t="e">
        <f>VLOOKUP(data[[#This Row],[Material]],'[1]Hoja para mrp'!$A:$Z,25,0)</f>
        <v>#N/A</v>
      </c>
    </row>
    <row r="861" spans="2:23" x14ac:dyDescent="0.25">
      <c r="B861" s="4">
        <v>30010919</v>
      </c>
      <c r="C861" s="1" t="s">
        <v>1461</v>
      </c>
      <c r="D861" s="4" t="s">
        <v>89</v>
      </c>
      <c r="E861" s="3"/>
      <c r="F861" s="3" t="s">
        <v>69</v>
      </c>
      <c r="G861" s="4">
        <v>9</v>
      </c>
      <c r="H861" s="4">
        <v>3</v>
      </c>
      <c r="I861" s="4">
        <v>8</v>
      </c>
      <c r="J861" s="4" t="s">
        <v>8</v>
      </c>
      <c r="K861" s="4" t="s">
        <v>9</v>
      </c>
      <c r="L861" s="11">
        <v>1002663550</v>
      </c>
      <c r="M861" s="3">
        <v>3</v>
      </c>
      <c r="N861"/>
      <c r="O861" s="4"/>
      <c r="P861" s="1"/>
      <c r="Q861" s="22"/>
      <c r="R861"/>
      <c r="S861" s="11"/>
      <c r="T861" s="4" t="s">
        <v>73</v>
      </c>
      <c r="U861" s="1" t="e">
        <f>VLOOKUP(data[[#This Row],[Material]],'[1]Hoja para mrp'!$A:$Z,26,0)</f>
        <v>#N/A</v>
      </c>
      <c r="V861" s="1" t="e">
        <f>VLOOKUP(data[[#This Row],[Material]],'[1]Hoja para mrp'!$A:$Z,25,0)</f>
        <v>#N/A</v>
      </c>
    </row>
    <row r="862" spans="2:23" x14ac:dyDescent="0.25">
      <c r="B862" s="4">
        <v>30010929</v>
      </c>
      <c r="C862" s="1" t="s">
        <v>559</v>
      </c>
      <c r="D862" s="4" t="s">
        <v>89</v>
      </c>
      <c r="E862" s="3"/>
      <c r="F862" s="3" t="s">
        <v>69</v>
      </c>
      <c r="G862" s="4">
        <v>35</v>
      </c>
      <c r="H862" s="4">
        <v>15</v>
      </c>
      <c r="I862" s="4">
        <v>45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/>
      <c r="T862" s="4" t="s">
        <v>73</v>
      </c>
      <c r="U862" s="1" t="e">
        <f>VLOOKUP(data[[#This Row],[Material]],'[1]Hoja para mrp'!$A:$Z,26,0)</f>
        <v>#N/A</v>
      </c>
      <c r="V862" s="1" t="e">
        <f>VLOOKUP(data[[#This Row],[Material]],'[1]Hoja para mrp'!$A:$Z,25,0)</f>
        <v>#N/A</v>
      </c>
    </row>
    <row r="863" spans="2:23" x14ac:dyDescent="0.25">
      <c r="B863" s="4">
        <v>30010930</v>
      </c>
      <c r="C863" s="1" t="s">
        <v>1462</v>
      </c>
      <c r="D863" s="4" t="s">
        <v>89</v>
      </c>
      <c r="E863" s="3"/>
      <c r="F863" s="3" t="s">
        <v>69</v>
      </c>
      <c r="G863" s="4">
        <v>6</v>
      </c>
      <c r="H863" s="4">
        <v>2</v>
      </c>
      <c r="I863" s="4">
        <v>7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 t="e">
        <f>VLOOKUP(data[[#This Row],[Material]],'[1]Hoja para mrp'!$A:$Z,26,0)</f>
        <v>#N/A</v>
      </c>
      <c r="V863" s="1" t="e">
        <f>VLOOKUP(data[[#This Row],[Material]],'[1]Hoja para mrp'!$A:$Z,25,0)</f>
        <v>#N/A</v>
      </c>
    </row>
    <row r="864" spans="2:23" x14ac:dyDescent="0.25">
      <c r="B864" s="4">
        <v>30010931</v>
      </c>
      <c r="C864" s="1" t="s">
        <v>560</v>
      </c>
      <c r="D864" s="4" t="s">
        <v>89</v>
      </c>
      <c r="E864" s="3"/>
      <c r="F864" s="3" t="s">
        <v>69</v>
      </c>
      <c r="G864" s="4">
        <v>15</v>
      </c>
      <c r="H864" s="4">
        <v>10</v>
      </c>
      <c r="I864" s="4">
        <v>7</v>
      </c>
      <c r="J864" s="4" t="s">
        <v>8</v>
      </c>
      <c r="K864" s="4" t="s">
        <v>9</v>
      </c>
      <c r="L864" s="11"/>
      <c r="M864" s="3"/>
      <c r="N864">
        <v>4502655014</v>
      </c>
      <c r="O864" s="4">
        <v>2</v>
      </c>
      <c r="P864" s="1" t="s">
        <v>1455</v>
      </c>
      <c r="Q864" s="22">
        <v>46140</v>
      </c>
      <c r="R864"/>
      <c r="S864" s="11"/>
      <c r="T864" s="4" t="s">
        <v>73</v>
      </c>
      <c r="U864" s="1" t="str">
        <f>VLOOKUP(data[[#This Row],[Material]],'[1]Hoja para mrp'!$A:$Z,26,0)</f>
        <v>2da compra</v>
      </c>
      <c r="V864" s="1">
        <f>VLOOKUP(data[[#This Row],[Material]],'[1]Hoja para mrp'!$A:$Z,25,0)</f>
        <v>10</v>
      </c>
      <c r="W864" s="1" t="s">
        <v>1686</v>
      </c>
    </row>
    <row r="865" spans="2:22" x14ac:dyDescent="0.25">
      <c r="B865" s="4">
        <v>30010933</v>
      </c>
      <c r="C865" s="1" t="s">
        <v>561</v>
      </c>
      <c r="D865" s="4" t="s">
        <v>89</v>
      </c>
      <c r="E865" s="3"/>
      <c r="F865" s="3" t="s">
        <v>69</v>
      </c>
      <c r="G865" s="4">
        <v>20</v>
      </c>
      <c r="H865" s="4">
        <v>6</v>
      </c>
      <c r="I865" s="4">
        <v>19</v>
      </c>
      <c r="J865" s="4" t="s">
        <v>8</v>
      </c>
      <c r="K865" s="4" t="s">
        <v>9</v>
      </c>
      <c r="L865" s="11">
        <v>1002660930</v>
      </c>
      <c r="M865" s="3">
        <v>6</v>
      </c>
      <c r="N865"/>
      <c r="O865" s="4"/>
      <c r="P865" s="1"/>
      <c r="Q865" s="22"/>
      <c r="R865"/>
      <c r="S865" s="11"/>
      <c r="T865" s="4" t="s">
        <v>73</v>
      </c>
      <c r="U865" s="1" t="e">
        <f>VLOOKUP(data[[#This Row],[Material]],'[1]Hoja para mrp'!$A:$Z,26,0)</f>
        <v>#N/A</v>
      </c>
      <c r="V865" s="1" t="e">
        <f>VLOOKUP(data[[#This Row],[Material]],'[1]Hoja para mrp'!$A:$Z,25,0)</f>
        <v>#N/A</v>
      </c>
    </row>
    <row r="866" spans="2:22" x14ac:dyDescent="0.25">
      <c r="B866" s="4">
        <v>30010934</v>
      </c>
      <c r="C866" s="1" t="s">
        <v>562</v>
      </c>
      <c r="D866" s="4" t="s">
        <v>89</v>
      </c>
      <c r="E866" s="3"/>
      <c r="F866" s="3" t="s">
        <v>69</v>
      </c>
      <c r="G866" s="4">
        <v>12</v>
      </c>
      <c r="H866" s="4">
        <v>4</v>
      </c>
      <c r="I866" s="4">
        <v>14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73</v>
      </c>
      <c r="U866" s="1" t="e">
        <f>VLOOKUP(data[[#This Row],[Material]],'[1]Hoja para mrp'!$A:$Z,26,0)</f>
        <v>#N/A</v>
      </c>
      <c r="V866" s="1" t="e">
        <f>VLOOKUP(data[[#This Row],[Material]],'[1]Hoja para mrp'!$A:$Z,25,0)</f>
        <v>#N/A</v>
      </c>
    </row>
    <row r="867" spans="2:22" x14ac:dyDescent="0.25">
      <c r="B867" s="4">
        <v>30010935</v>
      </c>
      <c r="C867" s="1" t="s">
        <v>563</v>
      </c>
      <c r="D867" s="4" t="s">
        <v>89</v>
      </c>
      <c r="E867" s="3"/>
      <c r="F867" s="3" t="s">
        <v>69</v>
      </c>
      <c r="G867" s="4">
        <v>8</v>
      </c>
      <c r="H867" s="4">
        <v>10</v>
      </c>
      <c r="I867" s="4">
        <v>18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73</v>
      </c>
      <c r="U867" s="1" t="e">
        <f>VLOOKUP(data[[#This Row],[Material]],'[1]Hoja para mrp'!$A:$Z,26,0)</f>
        <v>#N/A</v>
      </c>
      <c r="V867" s="1" t="e">
        <f>VLOOKUP(data[[#This Row],[Material]],'[1]Hoja para mrp'!$A:$Z,25,0)</f>
        <v>#N/A</v>
      </c>
    </row>
    <row r="868" spans="2:22" x14ac:dyDescent="0.25">
      <c r="B868" s="4">
        <v>30010938</v>
      </c>
      <c r="C868" s="1" t="s">
        <v>564</v>
      </c>
      <c r="D868" s="4" t="s">
        <v>89</v>
      </c>
      <c r="E868" s="3"/>
      <c r="F868" s="3" t="s">
        <v>69</v>
      </c>
      <c r="G868" s="4">
        <v>2</v>
      </c>
      <c r="H868" s="4">
        <v>4</v>
      </c>
      <c r="I868" s="4">
        <v>32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 t="e">
        <f>VLOOKUP(data[[#This Row],[Material]],'[1]Hoja para mrp'!$A:$Z,26,0)</f>
        <v>#N/A</v>
      </c>
      <c r="V868" s="1" t="e">
        <f>VLOOKUP(data[[#This Row],[Material]],'[1]Hoja para mrp'!$A:$Z,25,0)</f>
        <v>#N/A</v>
      </c>
    </row>
    <row r="869" spans="2:22" x14ac:dyDescent="0.25">
      <c r="B869" s="4">
        <v>30010939</v>
      </c>
      <c r="C869" s="1" t="s">
        <v>565</v>
      </c>
      <c r="D869" s="4" t="s">
        <v>89</v>
      </c>
      <c r="E869" s="3"/>
      <c r="F869" s="3" t="s">
        <v>69</v>
      </c>
      <c r="G869" s="4">
        <v>28</v>
      </c>
      <c r="H869" s="4">
        <v>10</v>
      </c>
      <c r="I869" s="4">
        <v>32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73</v>
      </c>
      <c r="U869" s="1" t="e">
        <f>VLOOKUP(data[[#This Row],[Material]],'[1]Hoja para mrp'!$A:$Z,26,0)</f>
        <v>#N/A</v>
      </c>
      <c r="V869" s="1" t="e">
        <f>VLOOKUP(data[[#This Row],[Material]],'[1]Hoja para mrp'!$A:$Z,25,0)</f>
        <v>#N/A</v>
      </c>
    </row>
    <row r="870" spans="2:22" x14ac:dyDescent="0.25">
      <c r="B870" s="4">
        <v>30010940</v>
      </c>
      <c r="C870" s="1" t="s">
        <v>566</v>
      </c>
      <c r="D870" s="4" t="s">
        <v>89</v>
      </c>
      <c r="E870" s="3"/>
      <c r="F870" s="3" t="s">
        <v>69</v>
      </c>
      <c r="G870" s="4">
        <v>4</v>
      </c>
      <c r="H870" s="4">
        <v>8</v>
      </c>
      <c r="I870" s="4">
        <v>29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 t="e">
        <f>VLOOKUP(data[[#This Row],[Material]],'[1]Hoja para mrp'!$A:$Z,26,0)</f>
        <v>#N/A</v>
      </c>
      <c r="V870" s="1" t="e">
        <f>VLOOKUP(data[[#This Row],[Material]],'[1]Hoja para mrp'!$A:$Z,25,0)</f>
        <v>#N/A</v>
      </c>
    </row>
    <row r="871" spans="2:22" x14ac:dyDescent="0.25">
      <c r="B871" s="4">
        <v>30010941</v>
      </c>
      <c r="C871" s="1" t="s">
        <v>567</v>
      </c>
      <c r="D871" s="4" t="s">
        <v>89</v>
      </c>
      <c r="E871" s="3"/>
      <c r="F871" s="3" t="s">
        <v>69</v>
      </c>
      <c r="G871" s="4">
        <v>10</v>
      </c>
      <c r="H871" s="4">
        <v>15</v>
      </c>
      <c r="I871" s="4">
        <v>42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73</v>
      </c>
      <c r="U871" s="1" t="e">
        <f>VLOOKUP(data[[#This Row],[Material]],'[1]Hoja para mrp'!$A:$Z,26,0)</f>
        <v>#N/A</v>
      </c>
      <c r="V871" s="1" t="e">
        <f>VLOOKUP(data[[#This Row],[Material]],'[1]Hoja para mrp'!$A:$Z,25,0)</f>
        <v>#N/A</v>
      </c>
    </row>
    <row r="872" spans="2:22" x14ac:dyDescent="0.25">
      <c r="B872" s="4">
        <v>30010942</v>
      </c>
      <c r="C872" s="1" t="s">
        <v>568</v>
      </c>
      <c r="D872" s="4" t="s">
        <v>89</v>
      </c>
      <c r="E872" s="3"/>
      <c r="F872" s="3" t="s">
        <v>69</v>
      </c>
      <c r="G872" s="4">
        <v>30</v>
      </c>
      <c r="H872" s="4">
        <v>10</v>
      </c>
      <c r="I872" s="4">
        <v>30</v>
      </c>
      <c r="J872" s="4" t="s">
        <v>8</v>
      </c>
      <c r="K872" s="4" t="s">
        <v>7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 t="e">
        <f>VLOOKUP(data[[#This Row],[Material]],'[1]Hoja para mrp'!$A:$Z,26,0)</f>
        <v>#N/A</v>
      </c>
      <c r="V872" s="1" t="e">
        <f>VLOOKUP(data[[#This Row],[Material]],'[1]Hoja para mrp'!$A:$Z,25,0)</f>
        <v>#N/A</v>
      </c>
    </row>
    <row r="873" spans="2:22" x14ac:dyDescent="0.25">
      <c r="B873" s="4">
        <v>30010944</v>
      </c>
      <c r="C873" s="1" t="s">
        <v>1463</v>
      </c>
      <c r="D873" s="4" t="s">
        <v>89</v>
      </c>
      <c r="E873" s="3"/>
      <c r="F873" s="3" t="s">
        <v>69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 t="e">
        <f>VLOOKUP(data[[#This Row],[Material]],'[1]Hoja para mrp'!$A:$Z,26,0)</f>
        <v>#N/A</v>
      </c>
      <c r="V873" s="1" t="e">
        <f>VLOOKUP(data[[#This Row],[Material]],'[1]Hoja para mrp'!$A:$Z,25,0)</f>
        <v>#N/A</v>
      </c>
    </row>
    <row r="874" spans="2:22" x14ac:dyDescent="0.25">
      <c r="B874" s="4">
        <v>30010949</v>
      </c>
      <c r="C874" s="1" t="s">
        <v>569</v>
      </c>
      <c r="D874" s="4" t="s">
        <v>89</v>
      </c>
      <c r="E874" s="3"/>
      <c r="F874" s="3" t="s">
        <v>69</v>
      </c>
      <c r="G874" s="4">
        <v>10</v>
      </c>
      <c r="H874" s="4">
        <v>15</v>
      </c>
      <c r="I874" s="4">
        <v>24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73</v>
      </c>
      <c r="U874" s="1" t="e">
        <f>VLOOKUP(data[[#This Row],[Material]],'[1]Hoja para mrp'!$A:$Z,26,0)</f>
        <v>#N/A</v>
      </c>
      <c r="V874" s="1" t="e">
        <f>VLOOKUP(data[[#This Row],[Material]],'[1]Hoja para mrp'!$A:$Z,25,0)</f>
        <v>#N/A</v>
      </c>
    </row>
    <row r="875" spans="2:22" x14ac:dyDescent="0.25">
      <c r="B875" s="4">
        <v>30010955</v>
      </c>
      <c r="C875" s="1" t="s">
        <v>1464</v>
      </c>
      <c r="D875" s="4" t="s">
        <v>89</v>
      </c>
      <c r="E875" s="3"/>
      <c r="F875" s="3" t="s">
        <v>69</v>
      </c>
      <c r="G875" s="4">
        <v>4</v>
      </c>
      <c r="H875" s="4">
        <v>2</v>
      </c>
      <c r="I875" s="4">
        <v>1</v>
      </c>
      <c r="J875" s="4" t="s">
        <v>8</v>
      </c>
      <c r="K875" s="4" t="s">
        <v>9</v>
      </c>
      <c r="L875" s="11">
        <v>1002660930</v>
      </c>
      <c r="M875" s="3">
        <v>2</v>
      </c>
      <c r="N875"/>
      <c r="O875" s="4"/>
      <c r="P875" s="1"/>
      <c r="Q875" s="22"/>
      <c r="R875"/>
      <c r="S875" s="11"/>
      <c r="T875" s="4" t="s">
        <v>73</v>
      </c>
      <c r="U875" s="1" t="e">
        <f>VLOOKUP(data[[#This Row],[Material]],'[1]Hoja para mrp'!$A:$Z,26,0)</f>
        <v>#N/A</v>
      </c>
      <c r="V875" s="1" t="e">
        <f>VLOOKUP(data[[#This Row],[Material]],'[1]Hoja para mrp'!$A:$Z,25,0)</f>
        <v>#N/A</v>
      </c>
    </row>
    <row r="876" spans="2:22" x14ac:dyDescent="0.25">
      <c r="B876" s="4">
        <v>30010966</v>
      </c>
      <c r="C876" s="1" t="s">
        <v>1465</v>
      </c>
      <c r="D876" s="4" t="s">
        <v>89</v>
      </c>
      <c r="E876" s="3"/>
      <c r="F876" s="3" t="s">
        <v>69</v>
      </c>
      <c r="G876" s="4">
        <v>13</v>
      </c>
      <c r="H876" s="4">
        <v>15</v>
      </c>
      <c r="I876" s="4">
        <v>17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 t="e">
        <f>VLOOKUP(data[[#This Row],[Material]],'[1]Hoja para mrp'!$A:$Z,26,0)</f>
        <v>#N/A</v>
      </c>
      <c r="V876" s="1" t="e">
        <f>VLOOKUP(data[[#This Row],[Material]],'[1]Hoja para mrp'!$A:$Z,25,0)</f>
        <v>#N/A</v>
      </c>
    </row>
    <row r="877" spans="2:22" x14ac:dyDescent="0.25">
      <c r="B877" s="4">
        <v>30010968</v>
      </c>
      <c r="C877" s="1" t="s">
        <v>1466</v>
      </c>
      <c r="D877" s="4" t="s">
        <v>89</v>
      </c>
      <c r="E877" s="3"/>
      <c r="F877" s="3" t="s">
        <v>69</v>
      </c>
      <c r="G877" s="4">
        <v>10</v>
      </c>
      <c r="H877" s="4">
        <v>4</v>
      </c>
      <c r="I877" s="4">
        <v>6</v>
      </c>
      <c r="J877" s="4" t="s">
        <v>8</v>
      </c>
      <c r="K877" s="4" t="s">
        <v>9</v>
      </c>
      <c r="L877" s="11">
        <v>1002663550</v>
      </c>
      <c r="M877" s="3">
        <v>8</v>
      </c>
      <c r="N877"/>
      <c r="O877" s="4"/>
      <c r="P877" s="1"/>
      <c r="Q877" s="22"/>
      <c r="R877"/>
      <c r="S877" s="11"/>
      <c r="T877" s="4" t="s">
        <v>73</v>
      </c>
      <c r="U877" s="1" t="str">
        <f>VLOOKUP(data[[#This Row],[Material]],'[1]Hoja para mrp'!$A:$Z,26,0)</f>
        <v>2da compra</v>
      </c>
      <c r="V877" s="1">
        <f>VLOOKUP(data[[#This Row],[Material]],'[1]Hoja para mrp'!$A:$Z,25,0)</f>
        <v>4</v>
      </c>
    </row>
    <row r="878" spans="2:22" x14ac:dyDescent="0.25">
      <c r="B878" s="4">
        <v>30010971</v>
      </c>
      <c r="C878" s="1" t="s">
        <v>1467</v>
      </c>
      <c r="D878" s="4" t="s">
        <v>89</v>
      </c>
      <c r="E878" s="3"/>
      <c r="F878" s="3" t="s">
        <v>69</v>
      </c>
      <c r="G878" s="4">
        <v>10</v>
      </c>
      <c r="H878" s="4">
        <v>10</v>
      </c>
      <c r="I878" s="4">
        <v>21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 t="e">
        <f>VLOOKUP(data[[#This Row],[Material]],'[1]Hoja para mrp'!$A:$Z,26,0)</f>
        <v>#N/A</v>
      </c>
      <c r="V878" s="1" t="e">
        <f>VLOOKUP(data[[#This Row],[Material]],'[1]Hoja para mrp'!$A:$Z,25,0)</f>
        <v>#N/A</v>
      </c>
    </row>
    <row r="879" spans="2:22" x14ac:dyDescent="0.25">
      <c r="B879" s="4">
        <v>30010974</v>
      </c>
      <c r="C879" s="1" t="s">
        <v>1087</v>
      </c>
      <c r="D879" s="4" t="s">
        <v>89</v>
      </c>
      <c r="E879" s="3"/>
      <c r="F879" s="3" t="s">
        <v>69</v>
      </c>
      <c r="G879" s="4">
        <v>30</v>
      </c>
      <c r="H879" s="4">
        <v>30</v>
      </c>
      <c r="I879" s="4">
        <v>27</v>
      </c>
      <c r="J879" s="4" t="s">
        <v>8</v>
      </c>
      <c r="K879" s="4" t="s">
        <v>9</v>
      </c>
      <c r="L879" s="11">
        <v>1002653864</v>
      </c>
      <c r="M879" s="3">
        <v>30</v>
      </c>
      <c r="N879"/>
      <c r="O879" s="4"/>
      <c r="P879" s="1"/>
      <c r="Q879" s="22"/>
      <c r="R879"/>
      <c r="S879" s="11"/>
      <c r="T879" s="4" t="s">
        <v>73</v>
      </c>
      <c r="U879" s="1" t="e">
        <f>VLOOKUP(data[[#This Row],[Material]],'[1]Hoja para mrp'!$A:$Z,26,0)</f>
        <v>#N/A</v>
      </c>
      <c r="V879" s="1" t="e">
        <f>VLOOKUP(data[[#This Row],[Material]],'[1]Hoja para mrp'!$A:$Z,25,0)</f>
        <v>#N/A</v>
      </c>
    </row>
    <row r="880" spans="2:22" x14ac:dyDescent="0.25">
      <c r="B880" s="4">
        <v>30010977</v>
      </c>
      <c r="C880" s="1" t="s">
        <v>1553</v>
      </c>
      <c r="D880" s="4" t="s">
        <v>89</v>
      </c>
      <c r="E880" s="3"/>
      <c r="F880" s="3" t="s">
        <v>69</v>
      </c>
      <c r="G880" s="4">
        <v>6</v>
      </c>
      <c r="H880" s="4">
        <v>6</v>
      </c>
      <c r="I880" s="4">
        <v>29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 t="e">
        <f>VLOOKUP(data[[#This Row],[Material]],'[1]Hoja para mrp'!$A:$Z,26,0)</f>
        <v>#N/A</v>
      </c>
      <c r="V880" s="1" t="e">
        <f>VLOOKUP(data[[#This Row],[Material]],'[1]Hoja para mrp'!$A:$Z,25,0)</f>
        <v>#N/A</v>
      </c>
    </row>
    <row r="881" spans="2:23" x14ac:dyDescent="0.25">
      <c r="B881" s="4">
        <v>30010982</v>
      </c>
      <c r="C881" s="1" t="s">
        <v>570</v>
      </c>
      <c r="D881" s="4" t="s">
        <v>89</v>
      </c>
      <c r="E881" s="3"/>
      <c r="F881" s="3" t="s">
        <v>69</v>
      </c>
      <c r="G881" s="4">
        <v>20</v>
      </c>
      <c r="H881" s="4">
        <v>50</v>
      </c>
      <c r="I881" s="4">
        <v>34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 t="e">
        <f>VLOOKUP(data[[#This Row],[Material]],'[1]Hoja para mrp'!$A:$Z,26,0)</f>
        <v>#N/A</v>
      </c>
      <c r="V881" s="1" t="e">
        <f>VLOOKUP(data[[#This Row],[Material]],'[1]Hoja para mrp'!$A:$Z,25,0)</f>
        <v>#N/A</v>
      </c>
    </row>
    <row r="882" spans="2:23" x14ac:dyDescent="0.25">
      <c r="B882" s="4">
        <v>30010984</v>
      </c>
      <c r="C882" s="1" t="s">
        <v>1556</v>
      </c>
      <c r="D882" s="4" t="s">
        <v>89</v>
      </c>
      <c r="E882" s="3"/>
      <c r="F882" s="3" t="s">
        <v>69</v>
      </c>
      <c r="G882" s="4">
        <v>2</v>
      </c>
      <c r="H882" s="4">
        <v>2</v>
      </c>
      <c r="I882" s="4">
        <v>4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 t="e">
        <f>VLOOKUP(data[[#This Row],[Material]],'[1]Hoja para mrp'!$A:$Z,26,0)</f>
        <v>#N/A</v>
      </c>
      <c r="V882" s="1" t="e">
        <f>VLOOKUP(data[[#This Row],[Material]],'[1]Hoja para mrp'!$A:$Z,25,0)</f>
        <v>#N/A</v>
      </c>
    </row>
    <row r="883" spans="2:23" x14ac:dyDescent="0.25">
      <c r="B883" s="4">
        <v>30010985</v>
      </c>
      <c r="C883" s="1" t="s">
        <v>1398</v>
      </c>
      <c r="D883" s="4" t="s">
        <v>89</v>
      </c>
      <c r="E883" s="3"/>
      <c r="F883" s="3" t="s">
        <v>69</v>
      </c>
      <c r="G883" s="4">
        <v>10</v>
      </c>
      <c r="H883" s="4">
        <v>30</v>
      </c>
      <c r="I883" s="4">
        <v>25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 t="e">
        <f>VLOOKUP(data[[#This Row],[Material]],'[1]Hoja para mrp'!$A:$Z,26,0)</f>
        <v>#N/A</v>
      </c>
      <c r="V883" s="1" t="e">
        <f>VLOOKUP(data[[#This Row],[Material]],'[1]Hoja para mrp'!$A:$Z,25,0)</f>
        <v>#N/A</v>
      </c>
    </row>
    <row r="884" spans="2:23" x14ac:dyDescent="0.25">
      <c r="B884" s="4">
        <v>30010989</v>
      </c>
      <c r="C884" s="1" t="s">
        <v>1468</v>
      </c>
      <c r="D884" s="4" t="s">
        <v>89</v>
      </c>
      <c r="E884" s="3"/>
      <c r="F884" s="3" t="s">
        <v>69</v>
      </c>
      <c r="G884" s="4">
        <v>5</v>
      </c>
      <c r="H884" s="4">
        <v>2</v>
      </c>
      <c r="I884" s="4">
        <v>13</v>
      </c>
      <c r="J884" s="4" t="s">
        <v>8</v>
      </c>
      <c r="K884" s="4" t="s">
        <v>14</v>
      </c>
      <c r="L884" s="11"/>
      <c r="M884" s="3"/>
      <c r="N884">
        <v>4502655014</v>
      </c>
      <c r="O884" s="4">
        <v>4</v>
      </c>
      <c r="P884" s="1" t="s">
        <v>1455</v>
      </c>
      <c r="Q884" s="22">
        <v>46140</v>
      </c>
      <c r="R884"/>
      <c r="S884" s="11"/>
      <c r="T884" s="4" t="s">
        <v>73</v>
      </c>
      <c r="U884" s="1" t="e">
        <f>VLOOKUP(data[[#This Row],[Material]],'[1]Hoja para mrp'!$A:$Z,26,0)</f>
        <v>#N/A</v>
      </c>
      <c r="V884" s="1" t="e">
        <f>VLOOKUP(data[[#This Row],[Material]],'[1]Hoja para mrp'!$A:$Z,25,0)</f>
        <v>#N/A</v>
      </c>
      <c r="W884" s="1" t="s">
        <v>1686</v>
      </c>
    </row>
    <row r="885" spans="2:23" x14ac:dyDescent="0.25">
      <c r="B885" s="4">
        <v>30011129</v>
      </c>
      <c r="C885" s="1" t="s">
        <v>1291</v>
      </c>
      <c r="D885" s="4" t="s">
        <v>89</v>
      </c>
      <c r="E885" s="3"/>
      <c r="F885" s="3" t="s">
        <v>69</v>
      </c>
      <c r="G885" s="4">
        <v>5</v>
      </c>
      <c r="H885" s="4">
        <v>5</v>
      </c>
      <c r="I885" s="4">
        <v>7</v>
      </c>
      <c r="J885" s="4" t="s">
        <v>8</v>
      </c>
      <c r="K885" s="4" t="s">
        <v>7</v>
      </c>
      <c r="L885" s="11">
        <v>1002558318</v>
      </c>
      <c r="M885" s="3">
        <v>5</v>
      </c>
      <c r="N885"/>
      <c r="O885" s="4"/>
      <c r="P885" s="1"/>
      <c r="Q885" s="22"/>
      <c r="R885"/>
      <c r="S885" s="11" t="s">
        <v>1612</v>
      </c>
      <c r="T885" s="4" t="s">
        <v>73</v>
      </c>
      <c r="U885" s="1" t="e">
        <f>VLOOKUP(data[[#This Row],[Material]],'[1]Hoja para mrp'!$A:$Z,26,0)</f>
        <v>#N/A</v>
      </c>
      <c r="V885" s="1" t="e">
        <f>VLOOKUP(data[[#This Row],[Material]],'[1]Hoja para mrp'!$A:$Z,25,0)</f>
        <v>#N/A</v>
      </c>
    </row>
    <row r="886" spans="2:23" x14ac:dyDescent="0.25">
      <c r="B886" s="4">
        <v>30011130</v>
      </c>
      <c r="C886" s="1" t="s">
        <v>1312</v>
      </c>
      <c r="D886" s="4" t="s">
        <v>89</v>
      </c>
      <c r="E886" s="3"/>
      <c r="F886" s="3" t="s">
        <v>69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s="4" t="s">
        <v>73</v>
      </c>
      <c r="U886" s="1" t="e">
        <f>VLOOKUP(data[[#This Row],[Material]],'[1]Hoja para mrp'!$A:$Z,26,0)</f>
        <v>#N/A</v>
      </c>
      <c r="V886" s="1" t="e">
        <f>VLOOKUP(data[[#This Row],[Material]],'[1]Hoja para mrp'!$A:$Z,25,0)</f>
        <v>#N/A</v>
      </c>
    </row>
    <row r="887" spans="2:23" x14ac:dyDescent="0.25">
      <c r="B887" s="4">
        <v>30011131</v>
      </c>
      <c r="C887" s="1" t="s">
        <v>1336</v>
      </c>
      <c r="D887" s="4" t="s">
        <v>89</v>
      </c>
      <c r="E887" s="3"/>
      <c r="F887" s="3" t="s">
        <v>69</v>
      </c>
      <c r="G887" s="4">
        <v>5</v>
      </c>
      <c r="H887" s="4">
        <v>10</v>
      </c>
      <c r="I887" s="4">
        <v>8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73</v>
      </c>
      <c r="U887" s="1" t="e">
        <f>VLOOKUP(data[[#This Row],[Material]],'[1]Hoja para mrp'!$A:$Z,26,0)</f>
        <v>#N/A</v>
      </c>
      <c r="V887" s="1" t="e">
        <f>VLOOKUP(data[[#This Row],[Material]],'[1]Hoja para mrp'!$A:$Z,25,0)</f>
        <v>#N/A</v>
      </c>
    </row>
    <row r="888" spans="2:23" x14ac:dyDescent="0.25">
      <c r="B888" s="4">
        <v>30011261</v>
      </c>
      <c r="C888" s="1" t="s">
        <v>1313</v>
      </c>
      <c r="D888" s="4" t="s">
        <v>89</v>
      </c>
      <c r="E888" s="3"/>
      <c r="F888" s="3" t="s">
        <v>69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 t="e">
        <f>VLOOKUP(data[[#This Row],[Material]],'[1]Hoja para mrp'!$A:$Z,26,0)</f>
        <v>#N/A</v>
      </c>
      <c r="V888" s="1" t="e">
        <f>VLOOKUP(data[[#This Row],[Material]],'[1]Hoja para mrp'!$A:$Z,25,0)</f>
        <v>#N/A</v>
      </c>
    </row>
    <row r="889" spans="2:23" x14ac:dyDescent="0.25">
      <c r="B889" s="4">
        <v>30011572</v>
      </c>
      <c r="C889" s="1" t="s">
        <v>571</v>
      </c>
      <c r="D889" s="4" t="s">
        <v>89</v>
      </c>
      <c r="E889" s="3"/>
      <c r="F889" s="3" t="s">
        <v>105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69"/>
      <c r="M889" s="3"/>
      <c r="N889"/>
      <c r="O889" s="4"/>
      <c r="P889" s="1"/>
      <c r="Q889" s="22"/>
      <c r="R889"/>
      <c r="S889" s="11"/>
      <c r="T889" s="4" t="s">
        <v>74</v>
      </c>
      <c r="U889" s="1" t="e">
        <f>VLOOKUP(data[[#This Row],[Material]],'[1]Hoja para mrp'!$A:$Z,26,0)</f>
        <v>#N/A</v>
      </c>
      <c r="V889" s="1" t="e">
        <f>VLOOKUP(data[[#This Row],[Material]],'[1]Hoja para mrp'!$A:$Z,25,0)</f>
        <v>#N/A</v>
      </c>
    </row>
    <row r="890" spans="2:23" x14ac:dyDescent="0.25">
      <c r="B890" s="4">
        <v>30011756</v>
      </c>
      <c r="C890" s="1" t="s">
        <v>1053</v>
      </c>
      <c r="D890" s="4" t="s">
        <v>89</v>
      </c>
      <c r="E890" s="3" t="s">
        <v>1228</v>
      </c>
      <c r="F890" s="3" t="s">
        <v>105</v>
      </c>
      <c r="G890" s="4">
        <v>5</v>
      </c>
      <c r="H890" s="4">
        <v>4</v>
      </c>
      <c r="I890" s="4">
        <v>8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1590</v>
      </c>
      <c r="T890" s="4" t="s">
        <v>66</v>
      </c>
      <c r="U890" s="1" t="e">
        <f>VLOOKUP(data[[#This Row],[Material]],'[1]Hoja para mrp'!$A:$Z,26,0)</f>
        <v>#N/A</v>
      </c>
      <c r="V890" s="1" t="e">
        <f>VLOOKUP(data[[#This Row],[Material]],'[1]Hoja para mrp'!$A:$Z,25,0)</f>
        <v>#N/A</v>
      </c>
    </row>
    <row r="891" spans="2:23" x14ac:dyDescent="0.25">
      <c r="B891" s="4">
        <v>30012032</v>
      </c>
      <c r="C891" s="1" t="s">
        <v>1372</v>
      </c>
      <c r="D891" s="4" t="s">
        <v>89</v>
      </c>
      <c r="E891" s="3"/>
      <c r="F891" s="3" t="s">
        <v>69</v>
      </c>
      <c r="G891" s="4">
        <v>3</v>
      </c>
      <c r="H891" s="4">
        <v>6</v>
      </c>
      <c r="I891" s="4">
        <v>6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 t="e">
        <f>VLOOKUP(data[[#This Row],[Material]],'[1]Hoja para mrp'!$A:$Z,26,0)</f>
        <v>#N/A</v>
      </c>
      <c r="V891" s="1" t="e">
        <f>VLOOKUP(data[[#This Row],[Material]],'[1]Hoja para mrp'!$A:$Z,25,0)</f>
        <v>#N/A</v>
      </c>
    </row>
    <row r="892" spans="2:23" x14ac:dyDescent="0.25">
      <c r="B892" s="4">
        <v>30012569</v>
      </c>
      <c r="C892" s="1" t="s">
        <v>572</v>
      </c>
      <c r="D892" s="4" t="s">
        <v>89</v>
      </c>
      <c r="E892" s="3"/>
      <c r="F892" s="3" t="s">
        <v>69</v>
      </c>
      <c r="G892" s="4">
        <v>100</v>
      </c>
      <c r="H892" s="4">
        <v>300</v>
      </c>
      <c r="I892" s="4">
        <v>140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68</v>
      </c>
      <c r="U892" s="1" t="e">
        <f>VLOOKUP(data[[#This Row],[Material]],'[1]Hoja para mrp'!$A:$Z,26,0)</f>
        <v>#N/A</v>
      </c>
      <c r="V892" s="1" t="e">
        <f>VLOOKUP(data[[#This Row],[Material]],'[1]Hoja para mrp'!$A:$Z,25,0)</f>
        <v>#N/A</v>
      </c>
    </row>
    <row r="893" spans="2:23" x14ac:dyDescent="0.25">
      <c r="B893" s="4">
        <v>30013011</v>
      </c>
      <c r="C893" s="1" t="s">
        <v>1507</v>
      </c>
      <c r="D893" s="4" t="s">
        <v>89</v>
      </c>
      <c r="E893" s="3"/>
      <c r="F893" s="3" t="s">
        <v>69</v>
      </c>
      <c r="G893" s="4">
        <v>4</v>
      </c>
      <c r="H893" s="4">
        <v>4</v>
      </c>
      <c r="I893" s="4">
        <v>5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 t="e">
        <f>VLOOKUP(data[[#This Row],[Material]],'[1]Hoja para mrp'!$A:$Z,26,0)</f>
        <v>#N/A</v>
      </c>
      <c r="V893" s="1" t="e">
        <f>VLOOKUP(data[[#This Row],[Material]],'[1]Hoja para mrp'!$A:$Z,25,0)</f>
        <v>#N/A</v>
      </c>
    </row>
    <row r="894" spans="2:23" x14ac:dyDescent="0.25">
      <c r="B894" s="4">
        <v>30013936</v>
      </c>
      <c r="C894" s="1" t="s">
        <v>887</v>
      </c>
      <c r="D894" s="4" t="s">
        <v>89</v>
      </c>
      <c r="E894" s="3"/>
      <c r="F894" s="3" t="s">
        <v>105</v>
      </c>
      <c r="G894" s="4">
        <v>1</v>
      </c>
      <c r="H894" s="4">
        <v>2</v>
      </c>
      <c r="I894" s="4">
        <v>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74</v>
      </c>
      <c r="U894" s="1" t="e">
        <f>VLOOKUP(data[[#This Row],[Material]],'[1]Hoja para mrp'!$A:$Z,26,0)</f>
        <v>#N/A</v>
      </c>
      <c r="V894" s="1" t="e">
        <f>VLOOKUP(data[[#This Row],[Material]],'[1]Hoja para mrp'!$A:$Z,25,0)</f>
        <v>#N/A</v>
      </c>
    </row>
    <row r="895" spans="2:23" x14ac:dyDescent="0.25">
      <c r="B895" s="4">
        <v>30014008</v>
      </c>
      <c r="C895" s="1" t="s">
        <v>573</v>
      </c>
      <c r="D895" s="4" t="s">
        <v>89</v>
      </c>
      <c r="E895" s="3"/>
      <c r="F895" s="3" t="s">
        <v>69</v>
      </c>
      <c r="G895" s="4">
        <v>6</v>
      </c>
      <c r="H895" s="4">
        <v>10</v>
      </c>
      <c r="I895" s="4">
        <v>19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73</v>
      </c>
      <c r="U895" s="1" t="e">
        <f>VLOOKUP(data[[#This Row],[Material]],'[1]Hoja para mrp'!$A:$Z,26,0)</f>
        <v>#N/A</v>
      </c>
      <c r="V895" s="1" t="e">
        <f>VLOOKUP(data[[#This Row],[Material]],'[1]Hoja para mrp'!$A:$Z,25,0)</f>
        <v>#N/A</v>
      </c>
    </row>
    <row r="896" spans="2:23" x14ac:dyDescent="0.25">
      <c r="B896" s="4">
        <v>30014442</v>
      </c>
      <c r="C896" s="1" t="s">
        <v>574</v>
      </c>
      <c r="D896" s="4" t="s">
        <v>89</v>
      </c>
      <c r="E896" s="3"/>
      <c r="F896" s="3" t="s">
        <v>69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73</v>
      </c>
      <c r="U896" s="1" t="e">
        <f>VLOOKUP(data[[#This Row],[Material]],'[1]Hoja para mrp'!$A:$Z,26,0)</f>
        <v>#N/A</v>
      </c>
      <c r="V896" s="1" t="e">
        <f>VLOOKUP(data[[#This Row],[Material]],'[1]Hoja para mrp'!$A:$Z,25,0)</f>
        <v>#N/A</v>
      </c>
    </row>
    <row r="897" spans="2:22" x14ac:dyDescent="0.25">
      <c r="B897" s="4">
        <v>30014899</v>
      </c>
      <c r="C897" s="1" t="s">
        <v>575</v>
      </c>
      <c r="D897" s="4" t="s">
        <v>89</v>
      </c>
      <c r="E897" s="3"/>
      <c r="F897" s="3" t="s">
        <v>69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70</v>
      </c>
      <c r="U897" s="1" t="e">
        <f>VLOOKUP(data[[#This Row],[Material]],'[1]Hoja para mrp'!$A:$Z,26,0)</f>
        <v>#N/A</v>
      </c>
      <c r="V897" s="1" t="e">
        <f>VLOOKUP(data[[#This Row],[Material]],'[1]Hoja para mrp'!$A:$Z,25,0)</f>
        <v>#N/A</v>
      </c>
    </row>
    <row r="898" spans="2:22" x14ac:dyDescent="0.25">
      <c r="B898" s="4">
        <v>30014925</v>
      </c>
      <c r="C898" s="1" t="s">
        <v>1573</v>
      </c>
      <c r="D898" s="4" t="s">
        <v>89</v>
      </c>
      <c r="E898" s="3"/>
      <c r="F898" s="3" t="s">
        <v>69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66</v>
      </c>
      <c r="U898" s="1" t="e">
        <f>VLOOKUP(data[[#This Row],[Material]],'[1]Hoja para mrp'!$A:$Z,26,0)</f>
        <v>#N/A</v>
      </c>
      <c r="V898" s="1" t="e">
        <f>VLOOKUP(data[[#This Row],[Material]],'[1]Hoja para mrp'!$A:$Z,25,0)</f>
        <v>#N/A</v>
      </c>
    </row>
    <row r="899" spans="2:22" x14ac:dyDescent="0.25">
      <c r="B899" s="4">
        <v>30015346</v>
      </c>
      <c r="C899" s="1" t="s">
        <v>1337</v>
      </c>
      <c r="D899" s="4" t="s">
        <v>89</v>
      </c>
      <c r="E899" s="3"/>
      <c r="F899" s="3" t="s">
        <v>69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73</v>
      </c>
      <c r="U899" s="1" t="e">
        <f>VLOOKUP(data[[#This Row],[Material]],'[1]Hoja para mrp'!$A:$Z,26,0)</f>
        <v>#N/A</v>
      </c>
      <c r="V899" s="1" t="e">
        <f>VLOOKUP(data[[#This Row],[Material]],'[1]Hoja para mrp'!$A:$Z,25,0)</f>
        <v>#N/A</v>
      </c>
    </row>
    <row r="900" spans="2:22" x14ac:dyDescent="0.25">
      <c r="B900" s="4">
        <v>30016730</v>
      </c>
      <c r="C900" s="1" t="s">
        <v>576</v>
      </c>
      <c r="D900" s="4" t="s">
        <v>89</v>
      </c>
      <c r="E900" s="3"/>
      <c r="F900" s="3" t="s">
        <v>69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72</v>
      </c>
      <c r="U900" s="1" t="e">
        <f>VLOOKUP(data[[#This Row],[Material]],'[1]Hoja para mrp'!$A:$Z,26,0)</f>
        <v>#N/A</v>
      </c>
      <c r="V900" s="1" t="e">
        <f>VLOOKUP(data[[#This Row],[Material]],'[1]Hoja para mrp'!$A:$Z,25,0)</f>
        <v>#N/A</v>
      </c>
    </row>
    <row r="901" spans="2:22" x14ac:dyDescent="0.25">
      <c r="B901" s="4">
        <v>30016955</v>
      </c>
      <c r="C901" s="1" t="s">
        <v>888</v>
      </c>
      <c r="D901" s="4" t="s">
        <v>89</v>
      </c>
      <c r="E901" s="3" t="s">
        <v>1228</v>
      </c>
      <c r="F901" s="3" t="s">
        <v>105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 t="e">
        <f>VLOOKUP(data[[#This Row],[Material]],'[1]Hoja para mrp'!$A:$Z,26,0)</f>
        <v>#N/A</v>
      </c>
      <c r="V901" s="1" t="e">
        <f>VLOOKUP(data[[#This Row],[Material]],'[1]Hoja para mrp'!$A:$Z,25,0)</f>
        <v>#N/A</v>
      </c>
    </row>
    <row r="902" spans="2:22" x14ac:dyDescent="0.25">
      <c r="B902" s="4">
        <v>30017121</v>
      </c>
      <c r="C902" s="1" t="s">
        <v>1148</v>
      </c>
      <c r="D902" s="4" t="s">
        <v>89</v>
      </c>
      <c r="E902" s="3" t="s">
        <v>1228</v>
      </c>
      <c r="F902" s="3" t="s">
        <v>105</v>
      </c>
      <c r="G902" s="4">
        <v>21</v>
      </c>
      <c r="H902" s="4">
        <v>20</v>
      </c>
      <c r="I902" s="4">
        <v>24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66</v>
      </c>
      <c r="U902" s="1" t="str">
        <f>VLOOKUP(data[[#This Row],[Material]],'[1]Hoja para mrp'!$A:$Z,26,0)</f>
        <v>2da compra</v>
      </c>
      <c r="V902" s="1">
        <f>VLOOKUP(data[[#This Row],[Material]],'[1]Hoja para mrp'!$A:$Z,25,0)</f>
        <v>20</v>
      </c>
    </row>
    <row r="903" spans="2:22" x14ac:dyDescent="0.25">
      <c r="B903" s="4">
        <v>30017146</v>
      </c>
      <c r="C903" s="1" t="s">
        <v>1149</v>
      </c>
      <c r="D903" s="4" t="s">
        <v>89</v>
      </c>
      <c r="E903" s="3"/>
      <c r="F903" s="3" t="s">
        <v>105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66</v>
      </c>
      <c r="U903" s="1" t="e">
        <f>VLOOKUP(data[[#This Row],[Material]],'[1]Hoja para mrp'!$A:$Z,26,0)</f>
        <v>#N/A</v>
      </c>
      <c r="V903" s="1" t="e">
        <f>VLOOKUP(data[[#This Row],[Material]],'[1]Hoja para mrp'!$A:$Z,25,0)</f>
        <v>#N/A</v>
      </c>
    </row>
    <row r="904" spans="2:22" x14ac:dyDescent="0.25">
      <c r="B904" s="4">
        <v>30017155</v>
      </c>
      <c r="C904" s="1" t="s">
        <v>1150</v>
      </c>
      <c r="D904" s="4" t="s">
        <v>89</v>
      </c>
      <c r="E904" s="3"/>
      <c r="F904" s="3" t="s">
        <v>105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 t="e">
        <f>VLOOKUP(data[[#This Row],[Material]],'[1]Hoja para mrp'!$A:$Z,26,0)</f>
        <v>#N/A</v>
      </c>
      <c r="V904" s="1" t="e">
        <f>VLOOKUP(data[[#This Row],[Material]],'[1]Hoja para mrp'!$A:$Z,25,0)</f>
        <v>#N/A</v>
      </c>
    </row>
    <row r="905" spans="2:22" x14ac:dyDescent="0.25">
      <c r="B905" s="4">
        <v>30017156</v>
      </c>
      <c r="C905" s="1" t="s">
        <v>889</v>
      </c>
      <c r="D905" s="4" t="s">
        <v>89</v>
      </c>
      <c r="E905" s="3"/>
      <c r="F905" s="3" t="s">
        <v>105</v>
      </c>
      <c r="G905" s="4">
        <v>5</v>
      </c>
      <c r="H905" s="4">
        <v>4</v>
      </c>
      <c r="I905" s="4">
        <v>6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 t="e">
        <f>VLOOKUP(data[[#This Row],[Material]],'[1]Hoja para mrp'!$A:$Z,26,0)</f>
        <v>#N/A</v>
      </c>
      <c r="V905" s="1" t="e">
        <f>VLOOKUP(data[[#This Row],[Material]],'[1]Hoja para mrp'!$A:$Z,25,0)</f>
        <v>#N/A</v>
      </c>
    </row>
    <row r="906" spans="2:22" x14ac:dyDescent="0.25">
      <c r="B906" s="4">
        <v>30017165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 t="e">
        <f>VLOOKUP(data[[#This Row],[Material]],'[1]Hoja para mrp'!$A:$Z,26,0)</f>
        <v>#N/A</v>
      </c>
      <c r="V906" s="1" t="e">
        <f>VLOOKUP(data[[#This Row],[Material]],'[1]Hoja para mrp'!$A:$Z,25,0)</f>
        <v>#N/A</v>
      </c>
    </row>
    <row r="907" spans="2:22" x14ac:dyDescent="0.25">
      <c r="B907" s="4">
        <v>30017166</v>
      </c>
      <c r="C907" s="1" t="s">
        <v>1152</v>
      </c>
      <c r="D907" s="4" t="s">
        <v>89</v>
      </c>
      <c r="E907" s="3"/>
      <c r="F907" s="3" t="s">
        <v>105</v>
      </c>
      <c r="G907" s="4">
        <v>25</v>
      </c>
      <c r="H907" s="4">
        <v>24</v>
      </c>
      <c r="I907" s="4">
        <v>27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 t="e">
        <f>VLOOKUP(data[[#This Row],[Material]],'[1]Hoja para mrp'!$A:$Z,26,0)</f>
        <v>#N/A</v>
      </c>
      <c r="V907" s="1" t="e">
        <f>VLOOKUP(data[[#This Row],[Material]],'[1]Hoja para mrp'!$A:$Z,25,0)</f>
        <v>#N/A</v>
      </c>
    </row>
    <row r="908" spans="2:22" x14ac:dyDescent="0.25">
      <c r="B908" s="4">
        <v>30017311</v>
      </c>
      <c r="C908" s="1" t="s">
        <v>1153</v>
      </c>
      <c r="D908" s="4" t="s">
        <v>89</v>
      </c>
      <c r="E908" s="3"/>
      <c r="F908" s="3" t="s">
        <v>105</v>
      </c>
      <c r="G908" s="4">
        <v>25</v>
      </c>
      <c r="H908" s="4">
        <v>24</v>
      </c>
      <c r="I908" s="4">
        <v>28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73</v>
      </c>
      <c r="U908" s="1" t="e">
        <f>VLOOKUP(data[[#This Row],[Material]],'[1]Hoja para mrp'!$A:$Z,26,0)</f>
        <v>#N/A</v>
      </c>
      <c r="V908" s="1" t="e">
        <f>VLOOKUP(data[[#This Row],[Material]],'[1]Hoja para mrp'!$A:$Z,25,0)</f>
        <v>#N/A</v>
      </c>
    </row>
    <row r="909" spans="2:22" x14ac:dyDescent="0.25">
      <c r="B909" s="4">
        <v>30017315</v>
      </c>
      <c r="C909" s="1" t="s">
        <v>890</v>
      </c>
      <c r="D909" s="4" t="s">
        <v>89</v>
      </c>
      <c r="E909" s="3"/>
      <c r="F909" s="3" t="s">
        <v>105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 t="e">
        <f>VLOOKUP(data[[#This Row],[Material]],'[1]Hoja para mrp'!$A:$Z,26,0)</f>
        <v>#N/A</v>
      </c>
      <c r="V909" s="1" t="e">
        <f>VLOOKUP(data[[#This Row],[Material]],'[1]Hoja para mrp'!$A:$Z,25,0)</f>
        <v>#N/A</v>
      </c>
    </row>
    <row r="910" spans="2:22" x14ac:dyDescent="0.25">
      <c r="B910" s="4">
        <v>30017347</v>
      </c>
      <c r="C910" s="1" t="s">
        <v>1154</v>
      </c>
      <c r="D910" s="4" t="s">
        <v>89</v>
      </c>
      <c r="E910" s="3"/>
      <c r="F910" s="3" t="s">
        <v>105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66</v>
      </c>
      <c r="U910" s="1" t="e">
        <f>VLOOKUP(data[[#This Row],[Material]],'[1]Hoja para mrp'!$A:$Z,26,0)</f>
        <v>#N/A</v>
      </c>
      <c r="V910" s="1" t="e">
        <f>VLOOKUP(data[[#This Row],[Material]],'[1]Hoja para mrp'!$A:$Z,25,0)</f>
        <v>#N/A</v>
      </c>
    </row>
    <row r="911" spans="2:22" x14ac:dyDescent="0.25">
      <c r="B911" s="4">
        <v>30017440</v>
      </c>
      <c r="C911" s="1" t="s">
        <v>577</v>
      </c>
      <c r="D911" s="4" t="s">
        <v>89</v>
      </c>
      <c r="E911" s="3"/>
      <c r="F911" s="3" t="s">
        <v>69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 t="e">
        <f>VLOOKUP(data[[#This Row],[Material]],'[1]Hoja para mrp'!$A:$Z,26,0)</f>
        <v>#N/A</v>
      </c>
      <c r="V911" s="1" t="e">
        <f>VLOOKUP(data[[#This Row],[Material]],'[1]Hoja para mrp'!$A:$Z,25,0)</f>
        <v>#N/A</v>
      </c>
    </row>
    <row r="912" spans="2:22" x14ac:dyDescent="0.25">
      <c r="B912" s="4">
        <v>30017563</v>
      </c>
      <c r="C912" s="1" t="s">
        <v>1155</v>
      </c>
      <c r="D912" s="4" t="s">
        <v>89</v>
      </c>
      <c r="E912" s="3"/>
      <c r="F912" s="3" t="s">
        <v>105</v>
      </c>
      <c r="G912" s="4">
        <v>25</v>
      </c>
      <c r="H912" s="4">
        <v>24</v>
      </c>
      <c r="I912" s="4">
        <v>34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 t="e">
        <f>VLOOKUP(data[[#This Row],[Material]],'[1]Hoja para mrp'!$A:$Z,26,0)</f>
        <v>#N/A</v>
      </c>
      <c r="V912" s="1" t="e">
        <f>VLOOKUP(data[[#This Row],[Material]],'[1]Hoja para mrp'!$A:$Z,25,0)</f>
        <v>#N/A</v>
      </c>
    </row>
    <row r="913" spans="2:22" x14ac:dyDescent="0.25">
      <c r="B913" s="4">
        <v>30017564</v>
      </c>
      <c r="C913" s="1" t="s">
        <v>850</v>
      </c>
      <c r="D913" s="4" t="s">
        <v>89</v>
      </c>
      <c r="E913" s="3"/>
      <c r="F913" s="3" t="s">
        <v>105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 t="e">
        <f>VLOOKUP(data[[#This Row],[Material]],'[1]Hoja para mrp'!$A:$Z,26,0)</f>
        <v>#N/A</v>
      </c>
      <c r="V913" s="1" t="e">
        <f>VLOOKUP(data[[#This Row],[Material]],'[1]Hoja para mrp'!$A:$Z,25,0)</f>
        <v>#N/A</v>
      </c>
    </row>
    <row r="914" spans="2:22" x14ac:dyDescent="0.25">
      <c r="B914" s="4">
        <v>30017566</v>
      </c>
      <c r="C914" s="1" t="s">
        <v>891</v>
      </c>
      <c r="D914" s="4" t="s">
        <v>89</v>
      </c>
      <c r="E914" s="3"/>
      <c r="F914" s="3" t="s">
        <v>105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 t="e">
        <f>VLOOKUP(data[[#This Row],[Material]],'[1]Hoja para mrp'!$A:$Z,26,0)</f>
        <v>#N/A</v>
      </c>
      <c r="V914" s="1" t="e">
        <f>VLOOKUP(data[[#This Row],[Material]],'[1]Hoja para mrp'!$A:$Z,25,0)</f>
        <v>#N/A</v>
      </c>
    </row>
    <row r="915" spans="2:22" x14ac:dyDescent="0.25">
      <c r="B915" s="4">
        <v>30017580</v>
      </c>
      <c r="C915" s="1" t="s">
        <v>1156</v>
      </c>
      <c r="D915" s="4" t="s">
        <v>89</v>
      </c>
      <c r="E915" s="3"/>
      <c r="F915" s="3" t="s">
        <v>105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 t="e">
        <f>VLOOKUP(data[[#This Row],[Material]],'[1]Hoja para mrp'!$A:$Z,26,0)</f>
        <v>#N/A</v>
      </c>
      <c r="V915" s="1" t="e">
        <f>VLOOKUP(data[[#This Row],[Material]],'[1]Hoja para mrp'!$A:$Z,25,0)</f>
        <v>#N/A</v>
      </c>
    </row>
    <row r="916" spans="2:22" x14ac:dyDescent="0.25">
      <c r="B916" s="4">
        <v>30017646</v>
      </c>
      <c r="C916" s="1" t="s">
        <v>1314</v>
      </c>
      <c r="D916" s="4" t="s">
        <v>89</v>
      </c>
      <c r="E916" s="3"/>
      <c r="F916" s="3" t="s">
        <v>69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 t="e">
        <f>VLOOKUP(data[[#This Row],[Material]],'[1]Hoja para mrp'!$A:$Z,26,0)</f>
        <v>#N/A</v>
      </c>
      <c r="V916" s="1" t="e">
        <f>VLOOKUP(data[[#This Row],[Material]],'[1]Hoja para mrp'!$A:$Z,25,0)</f>
        <v>#N/A</v>
      </c>
    </row>
    <row r="917" spans="2:22" x14ac:dyDescent="0.25">
      <c r="B917" s="4">
        <v>30017727</v>
      </c>
      <c r="C917" s="1" t="s">
        <v>851</v>
      </c>
      <c r="D917" s="4" t="s">
        <v>89</v>
      </c>
      <c r="E917" s="3"/>
      <c r="F917" s="3" t="s">
        <v>69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73</v>
      </c>
      <c r="U917" s="1" t="e">
        <f>VLOOKUP(data[[#This Row],[Material]],'[1]Hoja para mrp'!$A:$Z,26,0)</f>
        <v>#N/A</v>
      </c>
      <c r="V917" s="1" t="e">
        <f>VLOOKUP(data[[#This Row],[Material]],'[1]Hoja para mrp'!$A:$Z,25,0)</f>
        <v>#N/A</v>
      </c>
    </row>
    <row r="918" spans="2:22" x14ac:dyDescent="0.25">
      <c r="B918" s="4">
        <v>30017822</v>
      </c>
      <c r="C918" s="1" t="s">
        <v>1114</v>
      </c>
      <c r="D918" s="4" t="s">
        <v>89</v>
      </c>
      <c r="E918" s="3"/>
      <c r="F918" s="3" t="s">
        <v>69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73</v>
      </c>
      <c r="U918" s="1" t="e">
        <f>VLOOKUP(data[[#This Row],[Material]],'[1]Hoja para mrp'!$A:$Z,26,0)</f>
        <v>#N/A</v>
      </c>
      <c r="V918" s="1" t="e">
        <f>VLOOKUP(data[[#This Row],[Material]],'[1]Hoja para mrp'!$A:$Z,25,0)</f>
        <v>#N/A</v>
      </c>
    </row>
    <row r="919" spans="2:22" x14ac:dyDescent="0.25">
      <c r="B919" s="4">
        <v>30017887</v>
      </c>
      <c r="C919" s="1" t="s">
        <v>578</v>
      </c>
      <c r="D919" s="4" t="s">
        <v>89</v>
      </c>
      <c r="E919" s="3"/>
      <c r="F919" s="3" t="s">
        <v>69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70</v>
      </c>
      <c r="U919" s="1" t="e">
        <f>VLOOKUP(data[[#This Row],[Material]],'[1]Hoja para mrp'!$A:$Z,26,0)</f>
        <v>#N/A</v>
      </c>
      <c r="V919" s="1" t="e">
        <f>VLOOKUP(data[[#This Row],[Material]],'[1]Hoja para mrp'!$A:$Z,25,0)</f>
        <v>#N/A</v>
      </c>
    </row>
    <row r="920" spans="2:22" x14ac:dyDescent="0.25">
      <c r="B920" s="4">
        <v>30018097</v>
      </c>
      <c r="C920" s="1" t="s">
        <v>579</v>
      </c>
      <c r="D920" s="4" t="s">
        <v>89</v>
      </c>
      <c r="E920" s="3"/>
      <c r="F920" s="3" t="s">
        <v>69</v>
      </c>
      <c r="G920" s="4">
        <v>2</v>
      </c>
      <c r="H920" s="4">
        <v>3</v>
      </c>
      <c r="I920" s="4">
        <v>2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66</v>
      </c>
      <c r="U920" s="1" t="e">
        <f>VLOOKUP(data[[#This Row],[Material]],'[1]Hoja para mrp'!$A:$Z,26,0)</f>
        <v>#N/A</v>
      </c>
      <c r="V920" s="1" t="e">
        <f>VLOOKUP(data[[#This Row],[Material]],'[1]Hoja para mrp'!$A:$Z,25,0)</f>
        <v>#N/A</v>
      </c>
    </row>
    <row r="921" spans="2:22" x14ac:dyDescent="0.25">
      <c r="B921" s="4">
        <v>30018133</v>
      </c>
      <c r="C921" s="1" t="s">
        <v>1428</v>
      </c>
      <c r="D921" s="4" t="s">
        <v>89</v>
      </c>
      <c r="E921" s="3"/>
      <c r="F921" s="3" t="s">
        <v>69</v>
      </c>
      <c r="G921" s="4">
        <v>10</v>
      </c>
      <c r="H921" s="4">
        <v>10</v>
      </c>
      <c r="I921" s="4">
        <v>7</v>
      </c>
      <c r="J921" s="4" t="s">
        <v>8</v>
      </c>
      <c r="K921" s="4" t="s">
        <v>9</v>
      </c>
      <c r="L921" s="11" t="s">
        <v>1667</v>
      </c>
      <c r="M921" s="3">
        <v>10</v>
      </c>
      <c r="N921"/>
      <c r="O921" s="4"/>
      <c r="P921" s="1"/>
      <c r="Q921" s="22"/>
      <c r="R921"/>
      <c r="S921" s="11"/>
      <c r="T921" s="4" t="s">
        <v>66</v>
      </c>
      <c r="U921" s="1" t="e">
        <f>VLOOKUP(data[[#This Row],[Material]],'[1]Hoja para mrp'!$A:$Z,26,0)</f>
        <v>#N/A</v>
      </c>
      <c r="V921" s="1" t="e">
        <f>VLOOKUP(data[[#This Row],[Material]],'[1]Hoja para mrp'!$A:$Z,25,0)</f>
        <v>#N/A</v>
      </c>
    </row>
    <row r="922" spans="2:22" x14ac:dyDescent="0.25">
      <c r="B922" s="4">
        <v>30018283</v>
      </c>
      <c r="C922" s="1" t="s">
        <v>892</v>
      </c>
      <c r="D922" s="4" t="s">
        <v>89</v>
      </c>
      <c r="E922" s="3"/>
      <c r="F922" s="3" t="s">
        <v>105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 t="e">
        <f>VLOOKUP(data[[#This Row],[Material]],'[1]Hoja para mrp'!$A:$Z,26,0)</f>
        <v>#N/A</v>
      </c>
      <c r="V922" s="1" t="e">
        <f>VLOOKUP(data[[#This Row],[Material]],'[1]Hoja para mrp'!$A:$Z,25,0)</f>
        <v>#N/A</v>
      </c>
    </row>
    <row r="923" spans="2:22" x14ac:dyDescent="0.25">
      <c r="B923" s="4">
        <v>30018529</v>
      </c>
      <c r="C923" s="1" t="s">
        <v>580</v>
      </c>
      <c r="D923" s="4" t="s">
        <v>89</v>
      </c>
      <c r="E923" s="3"/>
      <c r="F923" s="3" t="s">
        <v>69</v>
      </c>
      <c r="G923" s="4">
        <v>10</v>
      </c>
      <c r="H923" s="4">
        <v>12</v>
      </c>
      <c r="I923" s="4">
        <v>12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73</v>
      </c>
      <c r="U923" s="1" t="e">
        <f>VLOOKUP(data[[#This Row],[Material]],'[1]Hoja para mrp'!$A:$Z,26,0)</f>
        <v>#N/A</v>
      </c>
      <c r="V923" s="1" t="e">
        <f>VLOOKUP(data[[#This Row],[Material]],'[1]Hoja para mrp'!$A:$Z,25,0)</f>
        <v>#N/A</v>
      </c>
    </row>
    <row r="924" spans="2:22" x14ac:dyDescent="0.25">
      <c r="B924" s="4">
        <v>30020001</v>
      </c>
      <c r="C924" s="1" t="s">
        <v>581</v>
      </c>
      <c r="D924" s="4" t="s">
        <v>89</v>
      </c>
      <c r="E924" s="3"/>
      <c r="F924" s="3" t="s">
        <v>69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72</v>
      </c>
      <c r="U924" s="1" t="e">
        <f>VLOOKUP(data[[#This Row],[Material]],'[1]Hoja para mrp'!$A:$Z,26,0)</f>
        <v>#N/A</v>
      </c>
      <c r="V924" s="1" t="e">
        <f>VLOOKUP(data[[#This Row],[Material]],'[1]Hoja para mrp'!$A:$Z,25,0)</f>
        <v>#N/A</v>
      </c>
    </row>
    <row r="925" spans="2:22" x14ac:dyDescent="0.25">
      <c r="B925" s="4">
        <v>30020217</v>
      </c>
      <c r="C925" s="1" t="s">
        <v>582</v>
      </c>
      <c r="D925" s="4" t="s">
        <v>89</v>
      </c>
      <c r="E925" s="3"/>
      <c r="F925" s="3" t="s">
        <v>69</v>
      </c>
      <c r="G925" s="4">
        <v>2</v>
      </c>
      <c r="H925" s="4">
        <v>2</v>
      </c>
      <c r="I925" s="4">
        <v>3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 t="e">
        <f>VLOOKUP(data[[#This Row],[Material]],'[1]Hoja para mrp'!$A:$Z,26,0)</f>
        <v>#N/A</v>
      </c>
      <c r="V925" s="1" t="e">
        <f>VLOOKUP(data[[#This Row],[Material]],'[1]Hoja para mrp'!$A:$Z,25,0)</f>
        <v>#N/A</v>
      </c>
    </row>
    <row r="926" spans="2:22" x14ac:dyDescent="0.25">
      <c r="B926" s="4">
        <v>30020483</v>
      </c>
      <c r="C926" s="1" t="s">
        <v>583</v>
      </c>
      <c r="D926" s="4" t="s">
        <v>89</v>
      </c>
      <c r="E926" s="3"/>
      <c r="F926" s="3" t="s">
        <v>69</v>
      </c>
      <c r="G926" s="4">
        <v>120</v>
      </c>
      <c r="H926" s="4">
        <v>200</v>
      </c>
      <c r="I926" s="4">
        <v>180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68</v>
      </c>
      <c r="U926" s="1" t="e">
        <f>VLOOKUP(data[[#This Row],[Material]],'[1]Hoja para mrp'!$A:$Z,26,0)</f>
        <v>#N/A</v>
      </c>
      <c r="V926" s="1" t="e">
        <f>VLOOKUP(data[[#This Row],[Material]],'[1]Hoja para mrp'!$A:$Z,25,0)</f>
        <v>#N/A</v>
      </c>
    </row>
    <row r="927" spans="2:22" x14ac:dyDescent="0.25">
      <c r="B927" s="4">
        <v>30020488</v>
      </c>
      <c r="C927" s="1" t="s">
        <v>852</v>
      </c>
      <c r="D927" s="4" t="s">
        <v>89</v>
      </c>
      <c r="E927" s="3"/>
      <c r="F927" s="3" t="s">
        <v>69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>
        <v>1002648063</v>
      </c>
      <c r="M927" s="3">
        <v>8</v>
      </c>
      <c r="N927"/>
      <c r="O927" s="4"/>
      <c r="P927" s="1"/>
      <c r="Q927" s="22"/>
      <c r="R927"/>
      <c r="S927" s="11"/>
      <c r="T927" s="4" t="s">
        <v>73</v>
      </c>
      <c r="U927" s="1" t="e">
        <f>VLOOKUP(data[[#This Row],[Material]],'[1]Hoja para mrp'!$A:$Z,26,0)</f>
        <v>#N/A</v>
      </c>
      <c r="V927" s="1" t="e">
        <f>VLOOKUP(data[[#This Row],[Material]],'[1]Hoja para mrp'!$A:$Z,25,0)</f>
        <v>#N/A</v>
      </c>
    </row>
    <row r="928" spans="2:22" x14ac:dyDescent="0.25">
      <c r="B928" s="4">
        <v>30020723</v>
      </c>
      <c r="C928" s="1" t="s">
        <v>1315</v>
      </c>
      <c r="D928" s="4" t="s">
        <v>89</v>
      </c>
      <c r="E928" s="3"/>
      <c r="F928" s="3" t="s">
        <v>69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66</v>
      </c>
      <c r="U928" s="1" t="e">
        <f>VLOOKUP(data[[#This Row],[Material]],'[1]Hoja para mrp'!$A:$Z,26,0)</f>
        <v>#N/A</v>
      </c>
      <c r="V928" s="1" t="e">
        <f>VLOOKUP(data[[#This Row],[Material]],'[1]Hoja para mrp'!$A:$Z,25,0)</f>
        <v>#N/A</v>
      </c>
    </row>
    <row r="929" spans="2:22" x14ac:dyDescent="0.25">
      <c r="B929" s="4">
        <v>30021141</v>
      </c>
      <c r="C929" s="1" t="s">
        <v>1054</v>
      </c>
      <c r="D929" s="4" t="s">
        <v>89</v>
      </c>
      <c r="E929" s="3"/>
      <c r="F929" s="3" t="s">
        <v>105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74</v>
      </c>
      <c r="U929" s="1" t="e">
        <f>VLOOKUP(data[[#This Row],[Material]],'[1]Hoja para mrp'!$A:$Z,26,0)</f>
        <v>#N/A</v>
      </c>
      <c r="V929" s="1" t="e">
        <f>VLOOKUP(data[[#This Row],[Material]],'[1]Hoja para mrp'!$A:$Z,25,0)</f>
        <v>#N/A</v>
      </c>
    </row>
    <row r="930" spans="2:22" x14ac:dyDescent="0.25">
      <c r="B930" s="4">
        <v>30021143</v>
      </c>
      <c r="C930" s="1" t="s">
        <v>1088</v>
      </c>
      <c r="D930" s="4" t="s">
        <v>89</v>
      </c>
      <c r="E930" s="3"/>
      <c r="F930" s="3" t="s">
        <v>105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1363</v>
      </c>
      <c r="Q930" s="22">
        <v>46241</v>
      </c>
      <c r="R930"/>
      <c r="S930" s="11"/>
      <c r="T930" s="4" t="s">
        <v>74</v>
      </c>
      <c r="U930" s="1" t="e">
        <f>VLOOKUP(data[[#This Row],[Material]],'[1]Hoja para mrp'!$A:$Z,26,0)</f>
        <v>#N/A</v>
      </c>
      <c r="V930" s="1" t="e">
        <f>VLOOKUP(data[[#This Row],[Material]],'[1]Hoja para mrp'!$A:$Z,25,0)</f>
        <v>#N/A</v>
      </c>
    </row>
    <row r="931" spans="2:22" x14ac:dyDescent="0.25">
      <c r="B931" s="4">
        <v>30021204</v>
      </c>
      <c r="C931" s="1" t="s">
        <v>584</v>
      </c>
      <c r="D931" s="4" t="s">
        <v>89</v>
      </c>
      <c r="E931" s="3"/>
      <c r="F931" s="3" t="s">
        <v>69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73</v>
      </c>
      <c r="U931" s="1" t="e">
        <f>VLOOKUP(data[[#This Row],[Material]],'[1]Hoja para mrp'!$A:$Z,26,0)</f>
        <v>#N/A</v>
      </c>
      <c r="V931" s="1" t="e">
        <f>VLOOKUP(data[[#This Row],[Material]],'[1]Hoja para mrp'!$A:$Z,25,0)</f>
        <v>#N/A</v>
      </c>
    </row>
    <row r="932" spans="2:22" x14ac:dyDescent="0.25">
      <c r="B932" s="4">
        <v>30021359</v>
      </c>
      <c r="C932" s="1" t="s">
        <v>893</v>
      </c>
      <c r="D932" s="4" t="s">
        <v>89</v>
      </c>
      <c r="E932" s="3" t="s">
        <v>1228</v>
      </c>
      <c r="F932" s="3" t="s">
        <v>105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74</v>
      </c>
      <c r="U932" s="1" t="e">
        <f>VLOOKUP(data[[#This Row],[Material]],'[1]Hoja para mrp'!$A:$Z,26,0)</f>
        <v>#N/A</v>
      </c>
      <c r="V932" s="1" t="e">
        <f>VLOOKUP(data[[#This Row],[Material]],'[1]Hoja para mrp'!$A:$Z,25,0)</f>
        <v>#N/A</v>
      </c>
    </row>
    <row r="933" spans="2:22" x14ac:dyDescent="0.25">
      <c r="B933" s="4">
        <v>30021873</v>
      </c>
      <c r="C933" s="1" t="s">
        <v>1266</v>
      </c>
      <c r="D933" s="4" t="s">
        <v>89</v>
      </c>
      <c r="E933" s="3"/>
      <c r="F933" s="3" t="s">
        <v>69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67</v>
      </c>
      <c r="U933" s="1" t="e">
        <f>VLOOKUP(data[[#This Row],[Material]],'[1]Hoja para mrp'!$A:$Z,26,0)</f>
        <v>#N/A</v>
      </c>
      <c r="V933" s="1" t="e">
        <f>VLOOKUP(data[[#This Row],[Material]],'[1]Hoja para mrp'!$A:$Z,25,0)</f>
        <v>#N/A</v>
      </c>
    </row>
    <row r="934" spans="2:22" x14ac:dyDescent="0.25">
      <c r="B934" s="4">
        <v>30022995</v>
      </c>
      <c r="C934" s="1" t="s">
        <v>853</v>
      </c>
      <c r="D934" s="4" t="s">
        <v>89</v>
      </c>
      <c r="E934" s="3"/>
      <c r="F934" s="3" t="s">
        <v>105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67</v>
      </c>
      <c r="U934" s="1" t="e">
        <f>VLOOKUP(data[[#This Row],[Material]],'[1]Hoja para mrp'!$A:$Z,26,0)</f>
        <v>#N/A</v>
      </c>
      <c r="V934" s="1" t="e">
        <f>VLOOKUP(data[[#This Row],[Material]],'[1]Hoja para mrp'!$A:$Z,25,0)</f>
        <v>#N/A</v>
      </c>
    </row>
    <row r="935" spans="2:22" x14ac:dyDescent="0.25">
      <c r="B935" s="4">
        <v>30023347</v>
      </c>
      <c r="C935" s="1" t="s">
        <v>854</v>
      </c>
      <c r="D935" s="4" t="s">
        <v>89</v>
      </c>
      <c r="E935" s="3" t="s">
        <v>1228</v>
      </c>
      <c r="F935" s="3" t="s">
        <v>105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 t="str">
        <f>VLOOKUP(data[[#This Row],[Material]],'[1]Hoja para mrp'!$A:$Z,26,0)</f>
        <v>2da compra</v>
      </c>
      <c r="V935" s="1">
        <f>VLOOKUP(data[[#This Row],[Material]],'[1]Hoja para mrp'!$A:$Z,25,0)</f>
        <v>2</v>
      </c>
    </row>
    <row r="936" spans="2:22" x14ac:dyDescent="0.25">
      <c r="B936" s="4">
        <v>30023355</v>
      </c>
      <c r="C936" s="1" t="s">
        <v>585</v>
      </c>
      <c r="D936" s="4" t="s">
        <v>89</v>
      </c>
      <c r="E936" s="3"/>
      <c r="F936" s="3" t="s">
        <v>69</v>
      </c>
      <c r="G936" s="4">
        <v>20</v>
      </c>
      <c r="H936" s="4">
        <v>6</v>
      </c>
      <c r="I936" s="4">
        <v>25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73</v>
      </c>
      <c r="U936" s="1" t="e">
        <f>VLOOKUP(data[[#This Row],[Material]],'[1]Hoja para mrp'!$A:$Z,26,0)</f>
        <v>#N/A</v>
      </c>
      <c r="V936" s="1" t="e">
        <f>VLOOKUP(data[[#This Row],[Material]],'[1]Hoja para mrp'!$A:$Z,25,0)</f>
        <v>#N/A</v>
      </c>
    </row>
    <row r="937" spans="2:22" x14ac:dyDescent="0.25">
      <c r="B937" s="4">
        <v>30023357</v>
      </c>
      <c r="C937" s="1" t="s">
        <v>586</v>
      </c>
      <c r="D937" s="4" t="s">
        <v>89</v>
      </c>
      <c r="E937" s="3"/>
      <c r="F937" s="3" t="s">
        <v>69</v>
      </c>
      <c r="G937" s="4">
        <v>10</v>
      </c>
      <c r="H937" s="4">
        <v>10</v>
      </c>
      <c r="I937" s="4">
        <v>25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73</v>
      </c>
      <c r="U937" s="1" t="e">
        <f>VLOOKUP(data[[#This Row],[Material]],'[1]Hoja para mrp'!$A:$Z,26,0)</f>
        <v>#N/A</v>
      </c>
      <c r="V937" s="1" t="e">
        <f>VLOOKUP(data[[#This Row],[Material]],'[1]Hoja para mrp'!$A:$Z,25,0)</f>
        <v>#N/A</v>
      </c>
    </row>
    <row r="938" spans="2:22" x14ac:dyDescent="0.25">
      <c r="B938" s="4">
        <v>30023359</v>
      </c>
      <c r="C938" s="1" t="s">
        <v>587</v>
      </c>
      <c r="D938" s="4" t="s">
        <v>89</v>
      </c>
      <c r="E938" s="3"/>
      <c r="F938" s="3" t="s">
        <v>69</v>
      </c>
      <c r="G938" s="4">
        <v>10</v>
      </c>
      <c r="H938" s="4">
        <v>4</v>
      </c>
      <c r="I938" s="4">
        <v>14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 t="e">
        <f>VLOOKUP(data[[#This Row],[Material]],'[1]Hoja para mrp'!$A:$Z,26,0)</f>
        <v>#N/A</v>
      </c>
      <c r="V938" s="1" t="e">
        <f>VLOOKUP(data[[#This Row],[Material]],'[1]Hoja para mrp'!$A:$Z,25,0)</f>
        <v>#N/A</v>
      </c>
    </row>
    <row r="939" spans="2:22" x14ac:dyDescent="0.25">
      <c r="B939" s="4">
        <v>30023360</v>
      </c>
      <c r="C939" s="1" t="s">
        <v>1469</v>
      </c>
      <c r="D939" s="4" t="s">
        <v>89</v>
      </c>
      <c r="E939" s="3"/>
      <c r="F939" s="3" t="s">
        <v>69</v>
      </c>
      <c r="G939" s="4">
        <v>5</v>
      </c>
      <c r="H939" s="4">
        <v>2</v>
      </c>
      <c r="I939" s="4">
        <v>7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 t="e">
        <f>VLOOKUP(data[[#This Row],[Material]],'[1]Hoja para mrp'!$A:$Z,26,0)</f>
        <v>#N/A</v>
      </c>
      <c r="V939" s="1" t="e">
        <f>VLOOKUP(data[[#This Row],[Material]],'[1]Hoja para mrp'!$A:$Z,25,0)</f>
        <v>#N/A</v>
      </c>
    </row>
    <row r="940" spans="2:22" x14ac:dyDescent="0.25">
      <c r="B940" s="4">
        <v>30023361</v>
      </c>
      <c r="C940" s="1" t="s">
        <v>588</v>
      </c>
      <c r="D940" s="4" t="s">
        <v>89</v>
      </c>
      <c r="E940" s="3"/>
      <c r="F940" s="3" t="s">
        <v>69</v>
      </c>
      <c r="G940" s="4">
        <v>6</v>
      </c>
      <c r="H940" s="4">
        <v>2</v>
      </c>
      <c r="I940" s="4">
        <v>9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73</v>
      </c>
      <c r="U940" s="1" t="e">
        <f>VLOOKUP(data[[#This Row],[Material]],'[1]Hoja para mrp'!$A:$Z,26,0)</f>
        <v>#N/A</v>
      </c>
      <c r="V940" s="1" t="e">
        <f>VLOOKUP(data[[#This Row],[Material]],'[1]Hoja para mrp'!$A:$Z,25,0)</f>
        <v>#N/A</v>
      </c>
    </row>
    <row r="941" spans="2:22" x14ac:dyDescent="0.25">
      <c r="B941" s="4">
        <v>30023362</v>
      </c>
      <c r="C941" s="1" t="s">
        <v>1470</v>
      </c>
      <c r="D941" s="4" t="s">
        <v>89</v>
      </c>
      <c r="E941" s="3"/>
      <c r="F941" s="3" t="s">
        <v>69</v>
      </c>
      <c r="G941" s="4">
        <v>6</v>
      </c>
      <c r="H941" s="4">
        <v>6</v>
      </c>
      <c r="I941" s="4">
        <v>12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73</v>
      </c>
      <c r="U941" s="1" t="e">
        <f>VLOOKUP(data[[#This Row],[Material]],'[1]Hoja para mrp'!$A:$Z,26,0)</f>
        <v>#N/A</v>
      </c>
      <c r="V941" s="1" t="e">
        <f>VLOOKUP(data[[#This Row],[Material]],'[1]Hoja para mrp'!$A:$Z,25,0)</f>
        <v>#N/A</v>
      </c>
    </row>
    <row r="942" spans="2:22" x14ac:dyDescent="0.25">
      <c r="B942" s="4">
        <v>30023375</v>
      </c>
      <c r="C942" s="1" t="s">
        <v>589</v>
      </c>
      <c r="D942" s="4" t="s">
        <v>89</v>
      </c>
      <c r="E942" s="3"/>
      <c r="F942" s="3" t="s">
        <v>69</v>
      </c>
      <c r="G942" s="4">
        <v>20</v>
      </c>
      <c r="H942" s="4">
        <v>6</v>
      </c>
      <c r="I942" s="4">
        <v>30</v>
      </c>
      <c r="J942" s="4" t="s">
        <v>8</v>
      </c>
      <c r="K942" s="4" t="s">
        <v>14</v>
      </c>
      <c r="L942" s="11" t="s">
        <v>1666</v>
      </c>
      <c r="M942" s="3">
        <v>17</v>
      </c>
      <c r="N942"/>
      <c r="O942" s="4"/>
      <c r="P942" s="1"/>
      <c r="Q942" s="22"/>
      <c r="R942"/>
      <c r="S942" s="11"/>
      <c r="T942" s="4" t="s">
        <v>73</v>
      </c>
      <c r="U942" s="1" t="str">
        <f>VLOOKUP(data[[#This Row],[Material]],'[1]Hoja para mrp'!$A:$Z,26,0)</f>
        <v>1ra compra</v>
      </c>
      <c r="V942" s="1">
        <f>VLOOKUP(data[[#This Row],[Material]],'[1]Hoja para mrp'!$A:$Z,25,0)</f>
        <v>11</v>
      </c>
    </row>
    <row r="943" spans="2:22" x14ac:dyDescent="0.25">
      <c r="B943" s="4">
        <v>30023376</v>
      </c>
      <c r="C943" s="1" t="s">
        <v>590</v>
      </c>
      <c r="D943" s="4" t="s">
        <v>89</v>
      </c>
      <c r="E943" s="3"/>
      <c r="F943" s="3" t="s">
        <v>69</v>
      </c>
      <c r="G943" s="4">
        <v>2</v>
      </c>
      <c r="H943" s="4">
        <v>4</v>
      </c>
      <c r="I943" s="4">
        <v>59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73</v>
      </c>
      <c r="U943" s="1" t="e">
        <f>VLOOKUP(data[[#This Row],[Material]],'[1]Hoja para mrp'!$A:$Z,26,0)</f>
        <v>#N/A</v>
      </c>
      <c r="V943" s="1" t="e">
        <f>VLOOKUP(data[[#This Row],[Material]],'[1]Hoja para mrp'!$A:$Z,25,0)</f>
        <v>#N/A</v>
      </c>
    </row>
    <row r="944" spans="2:22" x14ac:dyDescent="0.25">
      <c r="B944" s="4">
        <v>30023377</v>
      </c>
      <c r="C944" s="1" t="s">
        <v>591</v>
      </c>
      <c r="D944" s="4" t="s">
        <v>89</v>
      </c>
      <c r="E944" s="3"/>
      <c r="F944" s="3" t="s">
        <v>69</v>
      </c>
      <c r="G944" s="4">
        <v>6</v>
      </c>
      <c r="H944" s="4">
        <v>10</v>
      </c>
      <c r="I944" s="4">
        <v>34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 t="e">
        <f>VLOOKUP(data[[#This Row],[Material]],'[1]Hoja para mrp'!$A:$Z,26,0)</f>
        <v>#N/A</v>
      </c>
      <c r="V944" s="1" t="e">
        <f>VLOOKUP(data[[#This Row],[Material]],'[1]Hoja para mrp'!$A:$Z,25,0)</f>
        <v>#N/A</v>
      </c>
    </row>
    <row r="945" spans="2:23" x14ac:dyDescent="0.25">
      <c r="B945" s="4">
        <v>30023379</v>
      </c>
      <c r="C945" s="1" t="s">
        <v>592</v>
      </c>
      <c r="D945" s="4" t="s">
        <v>89</v>
      </c>
      <c r="E945" s="3"/>
      <c r="F945" s="3" t="s">
        <v>69</v>
      </c>
      <c r="G945" s="4">
        <v>10</v>
      </c>
      <c r="H945" s="4">
        <v>4</v>
      </c>
      <c r="I945" s="4">
        <v>11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 t="e">
        <f>VLOOKUP(data[[#This Row],[Material]],'[1]Hoja para mrp'!$A:$Z,26,0)</f>
        <v>#N/A</v>
      </c>
      <c r="V945" s="1" t="e">
        <f>VLOOKUP(data[[#This Row],[Material]],'[1]Hoja para mrp'!$A:$Z,25,0)</f>
        <v>#N/A</v>
      </c>
    </row>
    <row r="946" spans="2:23" x14ac:dyDescent="0.25">
      <c r="B946" s="4">
        <v>30023381</v>
      </c>
      <c r="C946" s="1" t="s">
        <v>1471</v>
      </c>
      <c r="D946" s="4" t="s">
        <v>89</v>
      </c>
      <c r="E946" s="3"/>
      <c r="F946" s="3" t="s">
        <v>69</v>
      </c>
      <c r="G946" s="4">
        <v>10</v>
      </c>
      <c r="H946" s="4">
        <v>10</v>
      </c>
      <c r="I946" s="4">
        <v>12</v>
      </c>
      <c r="J946" s="4" t="s">
        <v>8</v>
      </c>
      <c r="K946" s="4" t="s">
        <v>7</v>
      </c>
      <c r="L946" s="11" t="s">
        <v>1666</v>
      </c>
      <c r="M946" s="3">
        <v>10</v>
      </c>
      <c r="N946"/>
      <c r="O946" s="4"/>
      <c r="P946" s="1"/>
      <c r="Q946" s="22"/>
      <c r="R946"/>
      <c r="S946" s="11"/>
      <c r="T946" s="4" t="s">
        <v>73</v>
      </c>
      <c r="U946" s="1" t="str">
        <f>VLOOKUP(data[[#This Row],[Material]],'[1]Hoja para mrp'!$A:$Z,26,0)</f>
        <v>1ra compra</v>
      </c>
      <c r="V946" s="1">
        <f>VLOOKUP(data[[#This Row],[Material]],'[1]Hoja para mrp'!$A:$Z,25,0)</f>
        <v>10</v>
      </c>
    </row>
    <row r="947" spans="2:23" x14ac:dyDescent="0.25">
      <c r="B947" s="4">
        <v>30023382</v>
      </c>
      <c r="C947" s="1" t="s">
        <v>1472</v>
      </c>
      <c r="D947" s="4" t="s">
        <v>89</v>
      </c>
      <c r="E947" s="3"/>
      <c r="F947" s="3" t="s">
        <v>69</v>
      </c>
      <c r="G947" s="4">
        <v>5</v>
      </c>
      <c r="H947" s="4">
        <v>2</v>
      </c>
      <c r="I947" s="4">
        <v>10</v>
      </c>
      <c r="J947" s="4" t="s">
        <v>8</v>
      </c>
      <c r="K947" s="4" t="s">
        <v>14</v>
      </c>
      <c r="L947" s="11" t="s">
        <v>1666</v>
      </c>
      <c r="M947" s="3">
        <v>6</v>
      </c>
      <c r="N947"/>
      <c r="O947" s="4"/>
      <c r="P947" s="1"/>
      <c r="Q947" s="22"/>
      <c r="R947"/>
      <c r="S947" s="11"/>
      <c r="T947" s="4" t="s">
        <v>73</v>
      </c>
      <c r="U947" s="1" t="str">
        <f>VLOOKUP(data[[#This Row],[Material]],'[1]Hoja para mrp'!$A:$Z,26,0)</f>
        <v>1ra compra</v>
      </c>
      <c r="V947" s="1">
        <f>VLOOKUP(data[[#This Row],[Material]],'[1]Hoja para mrp'!$A:$Z,25,0)</f>
        <v>2</v>
      </c>
    </row>
    <row r="948" spans="2:23" x14ac:dyDescent="0.25">
      <c r="B948" s="4">
        <v>30023407</v>
      </c>
      <c r="C948" s="1" t="s">
        <v>593</v>
      </c>
      <c r="D948" s="4" t="s">
        <v>89</v>
      </c>
      <c r="E948" s="3"/>
      <c r="F948" s="3" t="s">
        <v>69</v>
      </c>
      <c r="G948" s="4">
        <v>200</v>
      </c>
      <c r="H948" s="4">
        <v>200</v>
      </c>
      <c r="I948" s="4">
        <v>575</v>
      </c>
      <c r="J948" s="4" t="s">
        <v>25</v>
      </c>
      <c r="K948" s="4" t="s">
        <v>14</v>
      </c>
      <c r="L948" s="11" t="s">
        <v>1667</v>
      </c>
      <c r="M948" s="3">
        <v>200</v>
      </c>
      <c r="N948"/>
      <c r="O948" s="4"/>
      <c r="P948" s="1"/>
      <c r="Q948" s="22"/>
      <c r="R948"/>
      <c r="S948" s="11"/>
      <c r="T948" s="4" t="s">
        <v>66</v>
      </c>
      <c r="U948" s="1" t="str">
        <f>VLOOKUP(data[[#This Row],[Material]],'[1]Hoja para mrp'!$A:$Z,26,0)</f>
        <v>1ra compra</v>
      </c>
      <c r="V948" s="1">
        <f>VLOOKUP(data[[#This Row],[Material]],'[1]Hoja para mrp'!$A:$Z,25,0)</f>
        <v>200</v>
      </c>
    </row>
    <row r="949" spans="2:23" x14ac:dyDescent="0.25">
      <c r="B949" s="4">
        <v>30023557</v>
      </c>
      <c r="C949" s="1" t="s">
        <v>594</v>
      </c>
      <c r="D949" s="4" t="s">
        <v>89</v>
      </c>
      <c r="E949" s="3" t="s">
        <v>1228</v>
      </c>
      <c r="F949" s="3" t="s">
        <v>105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74</v>
      </c>
      <c r="U949" s="1" t="str">
        <f>VLOOKUP(data[[#This Row],[Material]],'[1]Hoja para mrp'!$A:$Z,26,0)</f>
        <v>2da compra</v>
      </c>
      <c r="V949" s="1">
        <f>VLOOKUP(data[[#This Row],[Material]],'[1]Hoja para mrp'!$A:$Z,25,0)</f>
        <v>26</v>
      </c>
    </row>
    <row r="950" spans="2:23" x14ac:dyDescent="0.25">
      <c r="B950" s="4">
        <v>30023656</v>
      </c>
      <c r="C950" s="1" t="s">
        <v>595</v>
      </c>
      <c r="D950" s="4" t="s">
        <v>89</v>
      </c>
      <c r="E950" s="3"/>
      <c r="F950" s="3" t="s">
        <v>69</v>
      </c>
      <c r="G950" s="4">
        <v>10</v>
      </c>
      <c r="H950" s="4">
        <v>20</v>
      </c>
      <c r="I950" s="4">
        <v>15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68</v>
      </c>
      <c r="U950" s="1" t="e">
        <f>VLOOKUP(data[[#This Row],[Material]],'[1]Hoja para mrp'!$A:$Z,26,0)</f>
        <v>#N/A</v>
      </c>
      <c r="V950" s="1" t="e">
        <f>VLOOKUP(data[[#This Row],[Material]],'[1]Hoja para mrp'!$A:$Z,25,0)</f>
        <v>#N/A</v>
      </c>
    </row>
    <row r="951" spans="2:23" x14ac:dyDescent="0.25">
      <c r="B951" s="4">
        <v>30023784</v>
      </c>
      <c r="C951" s="1" t="s">
        <v>596</v>
      </c>
      <c r="D951" s="4" t="s">
        <v>89</v>
      </c>
      <c r="E951" s="3"/>
      <c r="F951" s="3" t="s">
        <v>69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 t="e">
        <f>VLOOKUP(data[[#This Row],[Material]],'[1]Hoja para mrp'!$A:$Z,26,0)</f>
        <v>#N/A</v>
      </c>
      <c r="V951" s="1" t="e">
        <f>VLOOKUP(data[[#This Row],[Material]],'[1]Hoja para mrp'!$A:$Z,25,0)</f>
        <v>#N/A</v>
      </c>
    </row>
    <row r="952" spans="2:23" x14ac:dyDescent="0.25">
      <c r="B952" s="4">
        <v>30023839</v>
      </c>
      <c r="C952" s="1" t="s">
        <v>597</v>
      </c>
      <c r="D952" s="4" t="s">
        <v>89</v>
      </c>
      <c r="E952" s="3"/>
      <c r="F952" s="3" t="s">
        <v>69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1562</v>
      </c>
      <c r="Q952" s="22">
        <v>46142</v>
      </c>
      <c r="R952"/>
      <c r="S952" s="11"/>
      <c r="T952" s="4" t="s">
        <v>73</v>
      </c>
      <c r="U952" s="1" t="e">
        <f>VLOOKUP(data[[#This Row],[Material]],'[1]Hoja para mrp'!$A:$Z,26,0)</f>
        <v>#N/A</v>
      </c>
      <c r="V952" s="1" t="e">
        <f>VLOOKUP(data[[#This Row],[Material]],'[1]Hoja para mrp'!$A:$Z,25,0)</f>
        <v>#N/A</v>
      </c>
      <c r="W952" s="1" t="s">
        <v>1687</v>
      </c>
    </row>
    <row r="953" spans="2:23" x14ac:dyDescent="0.25">
      <c r="B953" s="4">
        <v>30023840</v>
      </c>
      <c r="C953" s="1" t="s">
        <v>598</v>
      </c>
      <c r="D953" s="4" t="s">
        <v>89</v>
      </c>
      <c r="E953" s="3"/>
      <c r="F953" s="3" t="s">
        <v>69</v>
      </c>
      <c r="G953" s="4">
        <v>10</v>
      </c>
      <c r="H953" s="4">
        <v>15</v>
      </c>
      <c r="I953" s="4">
        <v>13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67</v>
      </c>
      <c r="U953" s="1" t="e">
        <f>VLOOKUP(data[[#This Row],[Material]],'[1]Hoja para mrp'!$A:$Z,26,0)</f>
        <v>#N/A</v>
      </c>
      <c r="V953" s="1" t="e">
        <f>VLOOKUP(data[[#This Row],[Material]],'[1]Hoja para mrp'!$A:$Z,25,0)</f>
        <v>#N/A</v>
      </c>
    </row>
    <row r="954" spans="2:23" x14ac:dyDescent="0.25">
      <c r="B954" s="4">
        <v>30023907</v>
      </c>
      <c r="C954" s="1" t="s">
        <v>599</v>
      </c>
      <c r="D954" s="4" t="s">
        <v>89</v>
      </c>
      <c r="E954" s="72"/>
      <c r="F954" s="3" t="s">
        <v>105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66</v>
      </c>
      <c r="U954" s="1" t="e">
        <f>VLOOKUP(data[[#This Row],[Material]],'[1]Hoja para mrp'!$A:$Z,26,0)</f>
        <v>#N/A</v>
      </c>
      <c r="V954" s="1" t="e">
        <f>VLOOKUP(data[[#This Row],[Material]],'[1]Hoja para mrp'!$A:$Z,25,0)</f>
        <v>#N/A</v>
      </c>
    </row>
    <row r="955" spans="2:23" x14ac:dyDescent="0.25">
      <c r="B955" s="4">
        <v>30023956</v>
      </c>
      <c r="C955" s="1" t="s">
        <v>1157</v>
      </c>
      <c r="D955" s="4" t="s">
        <v>89</v>
      </c>
      <c r="E955" s="3" t="s">
        <v>1228</v>
      </c>
      <c r="F955" s="3" t="s">
        <v>105</v>
      </c>
      <c r="G955" s="4">
        <v>2</v>
      </c>
      <c r="H955" s="4">
        <v>1</v>
      </c>
      <c r="I955" s="4">
        <v>1</v>
      </c>
      <c r="J955" s="4" t="s">
        <v>8</v>
      </c>
      <c r="K955" s="4" t="s">
        <v>9</v>
      </c>
      <c r="L955" s="11"/>
      <c r="M955" s="3"/>
      <c r="N955">
        <v>4502678714</v>
      </c>
      <c r="O955" s="4">
        <v>1</v>
      </c>
      <c r="P955" s="1" t="s">
        <v>1567</v>
      </c>
      <c r="Q955" s="22">
        <v>46204</v>
      </c>
      <c r="R955"/>
      <c r="S955" s="11" t="s">
        <v>1631</v>
      </c>
      <c r="T955" s="4" t="s">
        <v>74</v>
      </c>
      <c r="U955" s="1" t="e">
        <f>VLOOKUP(data[[#This Row],[Material]],'[1]Hoja para mrp'!$A:$Z,26,0)</f>
        <v>#N/A</v>
      </c>
      <c r="V955" s="1" t="e">
        <f>VLOOKUP(data[[#This Row],[Material]],'[1]Hoja para mrp'!$A:$Z,25,0)</f>
        <v>#N/A</v>
      </c>
    </row>
    <row r="956" spans="2:23" x14ac:dyDescent="0.25">
      <c r="B956" s="4">
        <v>30023958</v>
      </c>
      <c r="C956" s="1" t="s">
        <v>1158</v>
      </c>
      <c r="D956" s="4" t="s">
        <v>89</v>
      </c>
      <c r="E956" s="3" t="s">
        <v>1228</v>
      </c>
      <c r="F956" s="3" t="s">
        <v>105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74</v>
      </c>
      <c r="U956" s="1" t="e">
        <f>VLOOKUP(data[[#This Row],[Material]],'[1]Hoja para mrp'!$A:$Z,26,0)</f>
        <v>#N/A</v>
      </c>
      <c r="V956" s="1" t="e">
        <f>VLOOKUP(data[[#This Row],[Material]],'[1]Hoja para mrp'!$A:$Z,25,0)</f>
        <v>#N/A</v>
      </c>
    </row>
    <row r="957" spans="2:23" x14ac:dyDescent="0.25">
      <c r="B957" s="4">
        <v>30023959</v>
      </c>
      <c r="C957" s="1" t="s">
        <v>1159</v>
      </c>
      <c r="D957" s="4" t="s">
        <v>89</v>
      </c>
      <c r="E957" s="3" t="s">
        <v>1228</v>
      </c>
      <c r="F957" s="3" t="s">
        <v>105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74</v>
      </c>
      <c r="U957" s="1" t="e">
        <f>VLOOKUP(data[[#This Row],[Material]],'[1]Hoja para mrp'!$A:$Z,26,0)</f>
        <v>#N/A</v>
      </c>
      <c r="V957" s="1" t="e">
        <f>VLOOKUP(data[[#This Row],[Material]],'[1]Hoja para mrp'!$A:$Z,25,0)</f>
        <v>#N/A</v>
      </c>
    </row>
    <row r="958" spans="2:23" x14ac:dyDescent="0.25">
      <c r="B958" s="4">
        <v>30023962</v>
      </c>
      <c r="C958" s="1" t="s">
        <v>1160</v>
      </c>
      <c r="D958" s="4" t="s">
        <v>89</v>
      </c>
      <c r="E958" s="3"/>
      <c r="F958" s="3" t="s">
        <v>105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 t="e">
        <f>VLOOKUP(data[[#This Row],[Material]],'[1]Hoja para mrp'!$A:$Z,26,0)</f>
        <v>#N/A</v>
      </c>
      <c r="V958" s="1" t="e">
        <f>VLOOKUP(data[[#This Row],[Material]],'[1]Hoja para mrp'!$A:$Z,25,0)</f>
        <v>#N/A</v>
      </c>
    </row>
    <row r="959" spans="2:23" x14ac:dyDescent="0.25">
      <c r="B959" s="4">
        <v>30023963</v>
      </c>
      <c r="C959" s="1" t="s">
        <v>1161</v>
      </c>
      <c r="D959" s="4" t="s">
        <v>89</v>
      </c>
      <c r="E959" s="3" t="s">
        <v>1228</v>
      </c>
      <c r="F959" s="3" t="s">
        <v>105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 t="e">
        <f>VLOOKUP(data[[#This Row],[Material]],'[1]Hoja para mrp'!$A:$Z,26,0)</f>
        <v>#N/A</v>
      </c>
      <c r="V959" s="1" t="e">
        <f>VLOOKUP(data[[#This Row],[Material]],'[1]Hoja para mrp'!$A:$Z,25,0)</f>
        <v>#N/A</v>
      </c>
    </row>
    <row r="960" spans="2:23" x14ac:dyDescent="0.25">
      <c r="B960" s="4">
        <v>30023965</v>
      </c>
      <c r="C960" s="1" t="s">
        <v>1162</v>
      </c>
      <c r="D960" s="4" t="s">
        <v>89</v>
      </c>
      <c r="E960" s="3" t="s">
        <v>1228</v>
      </c>
      <c r="F960" s="3" t="s">
        <v>105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 t="e">
        <f>VLOOKUP(data[[#This Row],[Material]],'[1]Hoja para mrp'!$A:$Z,26,0)</f>
        <v>#N/A</v>
      </c>
      <c r="V960" s="1" t="e">
        <f>VLOOKUP(data[[#This Row],[Material]],'[1]Hoja para mrp'!$A:$Z,25,0)</f>
        <v>#N/A</v>
      </c>
    </row>
    <row r="961" spans="2:23" x14ac:dyDescent="0.25">
      <c r="B961" s="4">
        <v>30024092</v>
      </c>
      <c r="C961" s="1" t="s">
        <v>1364</v>
      </c>
      <c r="D961" s="4" t="s">
        <v>89</v>
      </c>
      <c r="E961" s="3"/>
      <c r="F961" s="3" t="s">
        <v>69</v>
      </c>
      <c r="G961" s="4">
        <v>33</v>
      </c>
      <c r="H961" s="4">
        <v>54</v>
      </c>
      <c r="I961" s="4">
        <v>147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71</v>
      </c>
      <c r="U961" s="1" t="e">
        <f>VLOOKUP(data[[#This Row],[Material]],'[1]Hoja para mrp'!$A:$Z,26,0)</f>
        <v>#N/A</v>
      </c>
      <c r="V961" s="1" t="e">
        <f>VLOOKUP(data[[#This Row],[Material]],'[1]Hoja para mrp'!$A:$Z,25,0)</f>
        <v>#N/A</v>
      </c>
    </row>
    <row r="962" spans="2:23" x14ac:dyDescent="0.25">
      <c r="B962" s="4">
        <v>30024775</v>
      </c>
      <c r="C962" s="1" t="s">
        <v>894</v>
      </c>
      <c r="D962" s="4" t="s">
        <v>89</v>
      </c>
      <c r="E962" s="3"/>
      <c r="F962" s="3" t="s">
        <v>105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66</v>
      </c>
      <c r="U962" s="1" t="e">
        <f>VLOOKUP(data[[#This Row],[Material]],'[1]Hoja para mrp'!$A:$Z,26,0)</f>
        <v>#N/A</v>
      </c>
      <c r="V962" s="1" t="e">
        <f>VLOOKUP(data[[#This Row],[Material]],'[1]Hoja para mrp'!$A:$Z,25,0)</f>
        <v>#N/A</v>
      </c>
    </row>
    <row r="963" spans="2:23" x14ac:dyDescent="0.25">
      <c r="B963" s="4">
        <v>30024776</v>
      </c>
      <c r="C963" s="1" t="s">
        <v>895</v>
      </c>
      <c r="D963" s="4" t="s">
        <v>89</v>
      </c>
      <c r="E963" s="3"/>
      <c r="F963" s="3" t="s">
        <v>105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66</v>
      </c>
      <c r="U963" s="1" t="e">
        <f>VLOOKUP(data[[#This Row],[Material]],'[1]Hoja para mrp'!$A:$Z,26,0)</f>
        <v>#N/A</v>
      </c>
      <c r="V963" s="1" t="e">
        <f>VLOOKUP(data[[#This Row],[Material]],'[1]Hoja para mrp'!$A:$Z,25,0)</f>
        <v>#N/A</v>
      </c>
    </row>
    <row r="964" spans="2:23" x14ac:dyDescent="0.25">
      <c r="B964" s="4">
        <v>30024780</v>
      </c>
      <c r="C964" s="1" t="s">
        <v>855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11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67</v>
      </c>
      <c r="U964" s="1" t="e">
        <f>VLOOKUP(data[[#This Row],[Material]],'[1]Hoja para mrp'!$A:$Z,26,0)</f>
        <v>#N/A</v>
      </c>
      <c r="V964" s="1" t="e">
        <f>VLOOKUP(data[[#This Row],[Material]],'[1]Hoja para mrp'!$A:$Z,25,0)</f>
        <v>#N/A</v>
      </c>
    </row>
    <row r="965" spans="2:23" x14ac:dyDescent="0.25">
      <c r="B965" s="4">
        <v>30024781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 t="e">
        <f>VLOOKUP(data[[#This Row],[Material]],'[1]Hoja para mrp'!$A:$Z,26,0)</f>
        <v>#N/A</v>
      </c>
      <c r="V965" s="1" t="e">
        <f>VLOOKUP(data[[#This Row],[Material]],'[1]Hoja para mrp'!$A:$Z,25,0)</f>
        <v>#N/A</v>
      </c>
    </row>
    <row r="966" spans="2:23" x14ac:dyDescent="0.25">
      <c r="B966" s="4">
        <v>30024782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 t="e">
        <f>VLOOKUP(data[[#This Row],[Material]],'[1]Hoja para mrp'!$A:$Z,26,0)</f>
        <v>#N/A</v>
      </c>
      <c r="V966" s="1" t="e">
        <f>VLOOKUP(data[[#This Row],[Material]],'[1]Hoja para mrp'!$A:$Z,25,0)</f>
        <v>#N/A</v>
      </c>
    </row>
    <row r="967" spans="2:23" x14ac:dyDescent="0.25">
      <c r="B967" s="4">
        <v>30024783</v>
      </c>
      <c r="C967" s="1" t="s">
        <v>600</v>
      </c>
      <c r="D967" s="4" t="s">
        <v>89</v>
      </c>
      <c r="E967" s="3"/>
      <c r="F967" s="3" t="s">
        <v>69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 t="e">
        <f>VLOOKUP(data[[#This Row],[Material]],'[1]Hoja para mrp'!$A:$Z,26,0)</f>
        <v>#N/A</v>
      </c>
      <c r="V967" s="1" t="e">
        <f>VLOOKUP(data[[#This Row],[Material]],'[1]Hoja para mrp'!$A:$Z,25,0)</f>
        <v>#N/A</v>
      </c>
    </row>
    <row r="968" spans="2:23" x14ac:dyDescent="0.25">
      <c r="B968" s="4">
        <v>30024784</v>
      </c>
      <c r="C968" s="1" t="s">
        <v>1163</v>
      </c>
      <c r="D968" s="4" t="s">
        <v>89</v>
      </c>
      <c r="E968" s="3"/>
      <c r="F968" s="3" t="s">
        <v>105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66</v>
      </c>
      <c r="U968" s="1" t="e">
        <f>VLOOKUP(data[[#This Row],[Material]],'[1]Hoja para mrp'!$A:$Z,26,0)</f>
        <v>#N/A</v>
      </c>
      <c r="V968" s="1" t="e">
        <f>VLOOKUP(data[[#This Row],[Material]],'[1]Hoja para mrp'!$A:$Z,25,0)</f>
        <v>#N/A</v>
      </c>
    </row>
    <row r="969" spans="2:23" x14ac:dyDescent="0.25">
      <c r="B969" s="4">
        <v>30024785</v>
      </c>
      <c r="C969" s="1" t="s">
        <v>897</v>
      </c>
      <c r="D969" s="4" t="s">
        <v>89</v>
      </c>
      <c r="E969" s="3"/>
      <c r="F969" s="3" t="s">
        <v>105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 t="e">
        <f>VLOOKUP(data[[#This Row],[Material]],'[1]Hoja para mrp'!$A:$Z,26,0)</f>
        <v>#N/A</v>
      </c>
      <c r="V969" s="1" t="e">
        <f>VLOOKUP(data[[#This Row],[Material]],'[1]Hoja para mrp'!$A:$Z,25,0)</f>
        <v>#N/A</v>
      </c>
    </row>
    <row r="970" spans="2:23" x14ac:dyDescent="0.25">
      <c r="B970" s="4">
        <v>30024786</v>
      </c>
      <c r="C970" s="1" t="s">
        <v>898</v>
      </c>
      <c r="D970" s="4" t="s">
        <v>89</v>
      </c>
      <c r="E970" s="3" t="s">
        <v>1228</v>
      </c>
      <c r="F970" s="3" t="s">
        <v>105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 t="e">
        <f>VLOOKUP(data[[#This Row],[Material]],'[1]Hoja para mrp'!$A:$Z,26,0)</f>
        <v>#N/A</v>
      </c>
      <c r="V970" s="1" t="e">
        <f>VLOOKUP(data[[#This Row],[Material]],'[1]Hoja para mrp'!$A:$Z,25,0)</f>
        <v>#N/A</v>
      </c>
    </row>
    <row r="971" spans="2:23" x14ac:dyDescent="0.25">
      <c r="B971" s="4">
        <v>30024787</v>
      </c>
      <c r="C971" s="1" t="s">
        <v>899</v>
      </c>
      <c r="D971" s="4" t="s">
        <v>89</v>
      </c>
      <c r="E971" s="3" t="s">
        <v>1228</v>
      </c>
      <c r="F971" s="3" t="s">
        <v>105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 t="e">
        <f>VLOOKUP(data[[#This Row],[Material]],'[1]Hoja para mrp'!$A:$Z,26,0)</f>
        <v>#N/A</v>
      </c>
      <c r="V971" s="1" t="e">
        <f>VLOOKUP(data[[#This Row],[Material]],'[1]Hoja para mrp'!$A:$Z,25,0)</f>
        <v>#N/A</v>
      </c>
    </row>
    <row r="972" spans="2:23" x14ac:dyDescent="0.25">
      <c r="B972" s="4">
        <v>30024790</v>
      </c>
      <c r="C972" s="1" t="s">
        <v>857</v>
      </c>
      <c r="D972" s="4" t="s">
        <v>89</v>
      </c>
      <c r="E972" s="3" t="s">
        <v>1228</v>
      </c>
      <c r="F972" s="3" t="s">
        <v>105</v>
      </c>
      <c r="G972" s="4">
        <v>5</v>
      </c>
      <c r="H972" s="4">
        <v>4</v>
      </c>
      <c r="I972" s="4">
        <v>14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 t="e">
        <f>VLOOKUP(data[[#This Row],[Material]],'[1]Hoja para mrp'!$A:$Z,26,0)</f>
        <v>#N/A</v>
      </c>
      <c r="V972" s="1" t="e">
        <f>VLOOKUP(data[[#This Row],[Material]],'[1]Hoja para mrp'!$A:$Z,25,0)</f>
        <v>#N/A</v>
      </c>
    </row>
    <row r="973" spans="2:23" x14ac:dyDescent="0.25">
      <c r="B973" s="4">
        <v>30024791</v>
      </c>
      <c r="C973" s="1" t="s">
        <v>900</v>
      </c>
      <c r="D973" s="4" t="s">
        <v>89</v>
      </c>
      <c r="E973" s="3"/>
      <c r="F973" s="3" t="s">
        <v>105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 t="e">
        <f>VLOOKUP(data[[#This Row],[Material]],'[1]Hoja para mrp'!$A:$Z,26,0)</f>
        <v>#N/A</v>
      </c>
      <c r="V973" s="1" t="e">
        <f>VLOOKUP(data[[#This Row],[Material]],'[1]Hoja para mrp'!$A:$Z,25,0)</f>
        <v>#N/A</v>
      </c>
    </row>
    <row r="974" spans="2:23" x14ac:dyDescent="0.25">
      <c r="B974" s="4">
        <v>30024792</v>
      </c>
      <c r="C974" s="1" t="s">
        <v>858</v>
      </c>
      <c r="D974" s="4" t="s">
        <v>89</v>
      </c>
      <c r="E974" s="3"/>
      <c r="F974" s="3" t="s">
        <v>105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67</v>
      </c>
      <c r="U974" s="1" t="e">
        <f>VLOOKUP(data[[#This Row],[Material]],'[1]Hoja para mrp'!$A:$Z,26,0)</f>
        <v>#N/A</v>
      </c>
      <c r="V974" s="1" t="e">
        <f>VLOOKUP(data[[#This Row],[Material]],'[1]Hoja para mrp'!$A:$Z,25,0)</f>
        <v>#N/A</v>
      </c>
    </row>
    <row r="975" spans="2:23" x14ac:dyDescent="0.25">
      <c r="B975" s="4">
        <v>30024794</v>
      </c>
      <c r="C975" s="1" t="s">
        <v>1164</v>
      </c>
      <c r="D975" s="4" t="s">
        <v>89</v>
      </c>
      <c r="E975" s="3" t="s">
        <v>1228</v>
      </c>
      <c r="F975" s="3" t="s">
        <v>105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 t="e">
        <f>VLOOKUP(data[[#This Row],[Material]],'[1]Hoja para mrp'!$A:$Z,26,0)</f>
        <v>#N/A</v>
      </c>
      <c r="V975" s="1" t="e">
        <f>VLOOKUP(data[[#This Row],[Material]],'[1]Hoja para mrp'!$A:$Z,25,0)</f>
        <v>#N/A</v>
      </c>
    </row>
    <row r="976" spans="2:23" x14ac:dyDescent="0.25">
      <c r="B976" s="4">
        <v>30024795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0</v>
      </c>
      <c r="J976" s="4" t="s">
        <v>8</v>
      </c>
      <c r="K976" s="4" t="s">
        <v>13</v>
      </c>
      <c r="L976" s="11"/>
      <c r="M976" s="3"/>
      <c r="N976">
        <v>4502676839</v>
      </c>
      <c r="O976" s="4">
        <v>9</v>
      </c>
      <c r="P976" s="1" t="s">
        <v>1586</v>
      </c>
      <c r="Q976" s="22">
        <v>46178</v>
      </c>
      <c r="R976"/>
      <c r="S976" s="11" t="s">
        <v>1633</v>
      </c>
      <c r="T976" s="4" t="s">
        <v>66</v>
      </c>
      <c r="U976" s="1" t="e">
        <f>VLOOKUP(data[[#This Row],[Material]],'[1]Hoja para mrp'!$A:$Z,26,0)</f>
        <v>#N/A</v>
      </c>
      <c r="V976" s="1" t="e">
        <f>VLOOKUP(data[[#This Row],[Material]],'[1]Hoja para mrp'!$A:$Z,25,0)</f>
        <v>#N/A</v>
      </c>
      <c r="W976" s="1" t="s">
        <v>1688</v>
      </c>
    </row>
    <row r="977" spans="2:22" x14ac:dyDescent="0.25">
      <c r="B977" s="4">
        <v>30024796</v>
      </c>
      <c r="C977" s="1" t="s">
        <v>1064</v>
      </c>
      <c r="D977" s="4" t="s">
        <v>89</v>
      </c>
      <c r="E977" s="3"/>
      <c r="F977" s="3" t="s">
        <v>105</v>
      </c>
      <c r="G977" s="4">
        <v>5</v>
      </c>
      <c r="H977" s="4">
        <v>4</v>
      </c>
      <c r="I977" s="4">
        <v>10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 t="e">
        <f>VLOOKUP(data[[#This Row],[Material]],'[1]Hoja para mrp'!$A:$Z,26,0)</f>
        <v>#N/A</v>
      </c>
      <c r="V977" s="1" t="e">
        <f>VLOOKUP(data[[#This Row],[Material]],'[1]Hoja para mrp'!$A:$Z,25,0)</f>
        <v>#N/A</v>
      </c>
    </row>
    <row r="978" spans="2:22" x14ac:dyDescent="0.25">
      <c r="B978" s="4">
        <v>30024855</v>
      </c>
      <c r="C978" s="1" t="s">
        <v>901</v>
      </c>
      <c r="D978" s="4" t="s">
        <v>89</v>
      </c>
      <c r="E978" s="3" t="s">
        <v>1228</v>
      </c>
      <c r="F978" s="3" t="s">
        <v>105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66</v>
      </c>
      <c r="U978" s="1" t="e">
        <f>VLOOKUP(data[[#This Row],[Material]],'[1]Hoja para mrp'!$A:$Z,26,0)</f>
        <v>#N/A</v>
      </c>
      <c r="V978" s="1" t="e">
        <f>VLOOKUP(data[[#This Row],[Material]],'[1]Hoja para mrp'!$A:$Z,25,0)</f>
        <v>#N/A</v>
      </c>
    </row>
    <row r="979" spans="2:22" x14ac:dyDescent="0.25">
      <c r="B979" s="4">
        <v>30024865</v>
      </c>
      <c r="C979" s="1" t="s">
        <v>902</v>
      </c>
      <c r="D979" s="4" t="s">
        <v>89</v>
      </c>
      <c r="E979" s="3" t="s">
        <v>1228</v>
      </c>
      <c r="F979" s="3" t="s">
        <v>105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74</v>
      </c>
      <c r="U979" s="1" t="e">
        <f>VLOOKUP(data[[#This Row],[Material]],'[1]Hoja para mrp'!$A:$Z,26,0)</f>
        <v>#N/A</v>
      </c>
      <c r="V979" s="1" t="e">
        <f>VLOOKUP(data[[#This Row],[Material]],'[1]Hoja para mrp'!$A:$Z,25,0)</f>
        <v>#N/A</v>
      </c>
    </row>
    <row r="980" spans="2:22" x14ac:dyDescent="0.25">
      <c r="B980" s="4">
        <v>30024867</v>
      </c>
      <c r="C980" s="1" t="s">
        <v>601</v>
      </c>
      <c r="D980" s="4" t="s">
        <v>89</v>
      </c>
      <c r="E980" s="3"/>
      <c r="F980" s="3" t="s">
        <v>69</v>
      </c>
      <c r="G980" s="4">
        <v>1</v>
      </c>
      <c r="H980" s="4">
        <v>1</v>
      </c>
      <c r="I980" s="4">
        <v>7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70</v>
      </c>
      <c r="U980" s="1" t="e">
        <f>VLOOKUP(data[[#This Row],[Material]],'[1]Hoja para mrp'!$A:$Z,26,0)</f>
        <v>#N/A</v>
      </c>
      <c r="V980" s="1" t="e">
        <f>VLOOKUP(data[[#This Row],[Material]],'[1]Hoja para mrp'!$A:$Z,25,0)</f>
        <v>#N/A</v>
      </c>
    </row>
    <row r="981" spans="2:22" x14ac:dyDescent="0.25">
      <c r="B981" s="4">
        <v>30024868</v>
      </c>
      <c r="C981" s="1" t="s">
        <v>903</v>
      </c>
      <c r="D981" s="4" t="s">
        <v>89</v>
      </c>
      <c r="E981" s="3"/>
      <c r="F981" s="3" t="s">
        <v>105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 t="e">
        <f>VLOOKUP(data[[#This Row],[Material]],'[1]Hoja para mrp'!$A:$Z,26,0)</f>
        <v>#N/A</v>
      </c>
      <c r="V981" s="1" t="e">
        <f>VLOOKUP(data[[#This Row],[Material]],'[1]Hoja para mrp'!$A:$Z,25,0)</f>
        <v>#N/A</v>
      </c>
    </row>
    <row r="982" spans="2:22" x14ac:dyDescent="0.25">
      <c r="B982" s="4">
        <v>30024869</v>
      </c>
      <c r="C982" s="1" t="s">
        <v>860</v>
      </c>
      <c r="D982" s="4" t="s">
        <v>89</v>
      </c>
      <c r="E982" s="3"/>
      <c r="F982" s="3" t="s">
        <v>105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74</v>
      </c>
      <c r="U982" s="1" t="e">
        <f>VLOOKUP(data[[#This Row],[Material]],'[1]Hoja para mrp'!$A:$Z,26,0)</f>
        <v>#N/A</v>
      </c>
      <c r="V982" s="1" t="e">
        <f>VLOOKUP(data[[#This Row],[Material]],'[1]Hoja para mrp'!$A:$Z,25,0)</f>
        <v>#N/A</v>
      </c>
    </row>
    <row r="983" spans="2:22" x14ac:dyDescent="0.25">
      <c r="B983" s="4">
        <v>30024870</v>
      </c>
      <c r="C983" s="1" t="s">
        <v>904</v>
      </c>
      <c r="D983" s="4" t="s">
        <v>89</v>
      </c>
      <c r="E983" s="3"/>
      <c r="F983" s="3" t="s">
        <v>105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 t="e">
        <f>VLOOKUP(data[[#This Row],[Material]],'[1]Hoja para mrp'!$A:$Z,26,0)</f>
        <v>#N/A</v>
      </c>
      <c r="V983" s="1" t="e">
        <f>VLOOKUP(data[[#This Row],[Material]],'[1]Hoja para mrp'!$A:$Z,25,0)</f>
        <v>#N/A</v>
      </c>
    </row>
    <row r="984" spans="2:22" x14ac:dyDescent="0.25">
      <c r="B984" s="4">
        <v>30024881</v>
      </c>
      <c r="C984" s="1" t="s">
        <v>602</v>
      </c>
      <c r="D984" s="4" t="s">
        <v>89</v>
      </c>
      <c r="E984" s="3"/>
      <c r="F984" s="3" t="s">
        <v>69</v>
      </c>
      <c r="G984" s="4">
        <v>4</v>
      </c>
      <c r="H984" s="4">
        <v>16</v>
      </c>
      <c r="I984" s="4">
        <v>0</v>
      </c>
      <c r="J984" s="4" t="s">
        <v>8</v>
      </c>
      <c r="K984" s="4" t="s">
        <v>13</v>
      </c>
      <c r="L984" s="11"/>
      <c r="M984" s="3"/>
      <c r="N984">
        <v>4700161627</v>
      </c>
      <c r="O984" s="4">
        <v>20</v>
      </c>
      <c r="P984" s="1" t="s">
        <v>1642</v>
      </c>
      <c r="Q984" s="22">
        <v>46209</v>
      </c>
      <c r="R984"/>
      <c r="S984" s="11"/>
      <c r="T984" s="4" t="s">
        <v>66</v>
      </c>
      <c r="U984" s="1" t="e">
        <f>VLOOKUP(data[[#This Row],[Material]],'[1]Hoja para mrp'!$A:$Z,26,0)</f>
        <v>#N/A</v>
      </c>
      <c r="V984" s="1" t="e">
        <f>VLOOKUP(data[[#This Row],[Material]],'[1]Hoja para mrp'!$A:$Z,25,0)</f>
        <v>#N/A</v>
      </c>
    </row>
    <row r="985" spans="2:22" x14ac:dyDescent="0.25">
      <c r="B985" s="4">
        <v>30024886</v>
      </c>
      <c r="C985" s="1" t="s">
        <v>603</v>
      </c>
      <c r="D985" s="4" t="s">
        <v>89</v>
      </c>
      <c r="E985" s="3"/>
      <c r="F985" s="3" t="s">
        <v>69</v>
      </c>
      <c r="G985" s="4">
        <v>8</v>
      </c>
      <c r="H985" s="4">
        <v>8</v>
      </c>
      <c r="I985" s="4">
        <v>15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66</v>
      </c>
      <c r="U985" s="1" t="e">
        <f>VLOOKUP(data[[#This Row],[Material]],'[1]Hoja para mrp'!$A:$Z,26,0)</f>
        <v>#N/A</v>
      </c>
      <c r="V985" s="1" t="e">
        <f>VLOOKUP(data[[#This Row],[Material]],'[1]Hoja para mrp'!$A:$Z,25,0)</f>
        <v>#N/A</v>
      </c>
    </row>
    <row r="986" spans="2:22" x14ac:dyDescent="0.25">
      <c r="B986" s="4">
        <v>30024895</v>
      </c>
      <c r="C986" s="1" t="s">
        <v>604</v>
      </c>
      <c r="D986" s="4" t="s">
        <v>89</v>
      </c>
      <c r="E986" s="3"/>
      <c r="F986" s="3" t="s">
        <v>69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66</v>
      </c>
      <c r="U986" s="1" t="e">
        <f>VLOOKUP(data[[#This Row],[Material]],'[1]Hoja para mrp'!$A:$Z,26,0)</f>
        <v>#N/A</v>
      </c>
      <c r="V986" s="1" t="e">
        <f>VLOOKUP(data[[#This Row],[Material]],'[1]Hoja para mrp'!$A:$Z,25,0)</f>
        <v>#N/A</v>
      </c>
    </row>
    <row r="987" spans="2:22" x14ac:dyDescent="0.25">
      <c r="B987" s="4">
        <v>30024898</v>
      </c>
      <c r="C987" s="1" t="s">
        <v>1055</v>
      </c>
      <c r="D987" s="4" t="s">
        <v>89</v>
      </c>
      <c r="E987" s="3"/>
      <c r="F987" s="3" t="s">
        <v>105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74</v>
      </c>
      <c r="U987" s="1" t="e">
        <f>VLOOKUP(data[[#This Row],[Material]],'[1]Hoja para mrp'!$A:$Z,26,0)</f>
        <v>#N/A</v>
      </c>
      <c r="V987" s="1" t="e">
        <f>VLOOKUP(data[[#This Row],[Material]],'[1]Hoja para mrp'!$A:$Z,25,0)</f>
        <v>#N/A</v>
      </c>
    </row>
    <row r="988" spans="2:22" x14ac:dyDescent="0.25">
      <c r="B988" s="4">
        <v>30024995</v>
      </c>
      <c r="C988" s="1" t="s">
        <v>1352</v>
      </c>
      <c r="D988" s="4" t="s">
        <v>89</v>
      </c>
      <c r="E988" s="3"/>
      <c r="F988" s="3" t="s">
        <v>69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73</v>
      </c>
      <c r="U988" s="1" t="e">
        <f>VLOOKUP(data[[#This Row],[Material]],'[1]Hoja para mrp'!$A:$Z,26,0)</f>
        <v>#N/A</v>
      </c>
      <c r="V988" s="1" t="e">
        <f>VLOOKUP(data[[#This Row],[Material]],'[1]Hoja para mrp'!$A:$Z,25,0)</f>
        <v>#N/A</v>
      </c>
    </row>
    <row r="989" spans="2:22" x14ac:dyDescent="0.25">
      <c r="B989" s="4">
        <v>30025328</v>
      </c>
      <c r="C989" s="1" t="s">
        <v>605</v>
      </c>
      <c r="D989" s="4" t="s">
        <v>89</v>
      </c>
      <c r="E989" s="3"/>
      <c r="F989" s="3" t="s">
        <v>69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67</v>
      </c>
      <c r="U989" s="1" t="e">
        <f>VLOOKUP(data[[#This Row],[Material]],'[1]Hoja para mrp'!$A:$Z,26,0)</f>
        <v>#N/A</v>
      </c>
      <c r="V989" s="1" t="e">
        <f>VLOOKUP(data[[#This Row],[Material]],'[1]Hoja para mrp'!$A:$Z,25,0)</f>
        <v>#N/A</v>
      </c>
    </row>
    <row r="990" spans="2:22" x14ac:dyDescent="0.25">
      <c r="B990" s="4">
        <v>30026143</v>
      </c>
      <c r="C990" s="1" t="s">
        <v>606</v>
      </c>
      <c r="D990" s="4" t="s">
        <v>89</v>
      </c>
      <c r="E990" s="3"/>
      <c r="F990" s="3" t="s">
        <v>69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 t="e">
        <f>VLOOKUP(data[[#This Row],[Material]],'[1]Hoja para mrp'!$A:$Z,26,0)</f>
        <v>#N/A</v>
      </c>
      <c r="V990" s="1" t="e">
        <f>VLOOKUP(data[[#This Row],[Material]],'[1]Hoja para mrp'!$A:$Z,25,0)</f>
        <v>#N/A</v>
      </c>
    </row>
    <row r="991" spans="2:22" x14ac:dyDescent="0.25">
      <c r="B991" s="4">
        <v>30026243</v>
      </c>
      <c r="C991" s="1" t="s">
        <v>607</v>
      </c>
      <c r="D991" s="4" t="s">
        <v>89</v>
      </c>
      <c r="E991" s="3"/>
      <c r="F991" s="3" t="s">
        <v>69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73</v>
      </c>
      <c r="U991" s="1" t="e">
        <f>VLOOKUP(data[[#This Row],[Material]],'[1]Hoja para mrp'!$A:$Z,26,0)</f>
        <v>#N/A</v>
      </c>
      <c r="V991" s="1" t="e">
        <f>VLOOKUP(data[[#This Row],[Material]],'[1]Hoja para mrp'!$A:$Z,25,0)</f>
        <v>#N/A</v>
      </c>
    </row>
    <row r="992" spans="2:22" x14ac:dyDescent="0.25">
      <c r="B992" s="4">
        <v>30026273</v>
      </c>
      <c r="C992" s="1" t="s">
        <v>608</v>
      </c>
      <c r="D992" s="4" t="s">
        <v>89</v>
      </c>
      <c r="E992" s="3"/>
      <c r="F992" s="3" t="s">
        <v>69</v>
      </c>
      <c r="G992" s="4">
        <v>6</v>
      </c>
      <c r="H992" s="4">
        <v>4</v>
      </c>
      <c r="I992" s="4">
        <v>7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67</v>
      </c>
      <c r="U992" s="1" t="e">
        <f>VLOOKUP(data[[#This Row],[Material]],'[1]Hoja para mrp'!$A:$Z,26,0)</f>
        <v>#N/A</v>
      </c>
      <c r="V992" s="1" t="e">
        <f>VLOOKUP(data[[#This Row],[Material]],'[1]Hoja para mrp'!$A:$Z,25,0)</f>
        <v>#N/A</v>
      </c>
    </row>
    <row r="993" spans="2:23" x14ac:dyDescent="0.25">
      <c r="B993" s="4">
        <v>30026837</v>
      </c>
      <c r="C993" s="1" t="s">
        <v>1292</v>
      </c>
      <c r="D993" s="4" t="s">
        <v>89</v>
      </c>
      <c r="E993" s="3"/>
      <c r="F993" s="3" t="s">
        <v>69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66</v>
      </c>
      <c r="U993" s="1" t="e">
        <f>VLOOKUP(data[[#This Row],[Material]],'[1]Hoja para mrp'!$A:$Z,26,0)</f>
        <v>#N/A</v>
      </c>
      <c r="V993" s="1" t="e">
        <f>VLOOKUP(data[[#This Row],[Material]],'[1]Hoja para mrp'!$A:$Z,25,0)</f>
        <v>#N/A</v>
      </c>
    </row>
    <row r="994" spans="2:23" x14ac:dyDescent="0.25">
      <c r="B994" s="4">
        <v>30026908</v>
      </c>
      <c r="C994" s="1" t="s">
        <v>609</v>
      </c>
      <c r="D994" s="4" t="s">
        <v>89</v>
      </c>
      <c r="E994" s="3"/>
      <c r="F994" s="3" t="s">
        <v>69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70</v>
      </c>
      <c r="U994" s="1" t="e">
        <f>VLOOKUP(data[[#This Row],[Material]],'[1]Hoja para mrp'!$A:$Z,26,0)</f>
        <v>#N/A</v>
      </c>
      <c r="V994" s="1" t="e">
        <f>VLOOKUP(data[[#This Row],[Material]],'[1]Hoja para mrp'!$A:$Z,25,0)</f>
        <v>#N/A</v>
      </c>
    </row>
    <row r="995" spans="2:23" x14ac:dyDescent="0.25">
      <c r="B995" s="4">
        <v>30027269</v>
      </c>
      <c r="C995" s="1" t="s">
        <v>610</v>
      </c>
      <c r="D995" s="4" t="s">
        <v>89</v>
      </c>
      <c r="E995" s="3"/>
      <c r="F995" s="3" t="s">
        <v>69</v>
      </c>
      <c r="G995" s="4">
        <v>3</v>
      </c>
      <c r="H995" s="4">
        <v>2</v>
      </c>
      <c r="I995" s="4">
        <v>2</v>
      </c>
      <c r="J995" s="4" t="s">
        <v>8</v>
      </c>
      <c r="K995" s="4" t="s">
        <v>9</v>
      </c>
      <c r="L995" s="11">
        <v>1002653864</v>
      </c>
      <c r="M995" s="3">
        <v>3</v>
      </c>
      <c r="N995"/>
      <c r="O995" s="4"/>
      <c r="P995" s="1"/>
      <c r="Q995" s="22"/>
      <c r="R995"/>
      <c r="S995" s="11"/>
      <c r="T995" s="4" t="s">
        <v>73</v>
      </c>
      <c r="U995" s="1" t="e">
        <f>VLOOKUP(data[[#This Row],[Material]],'[1]Hoja para mrp'!$A:$Z,26,0)</f>
        <v>#N/A</v>
      </c>
      <c r="V995" s="1" t="e">
        <f>VLOOKUP(data[[#This Row],[Material]],'[1]Hoja para mrp'!$A:$Z,25,0)</f>
        <v>#N/A</v>
      </c>
    </row>
    <row r="996" spans="2:23" x14ac:dyDescent="0.25">
      <c r="B996" s="4">
        <v>30027382</v>
      </c>
      <c r="C996" s="1" t="s">
        <v>611</v>
      </c>
      <c r="D996" s="4" t="s">
        <v>89</v>
      </c>
      <c r="E996" s="3"/>
      <c r="F996" s="3" t="s">
        <v>69</v>
      </c>
      <c r="G996" s="4">
        <v>1</v>
      </c>
      <c r="H996" s="4">
        <v>1</v>
      </c>
      <c r="I996" s="4">
        <v>62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73</v>
      </c>
      <c r="U996" s="1" t="e">
        <f>VLOOKUP(data[[#This Row],[Material]],'[1]Hoja para mrp'!$A:$Z,26,0)</f>
        <v>#N/A</v>
      </c>
      <c r="V996" s="1" t="e">
        <f>VLOOKUP(data[[#This Row],[Material]],'[1]Hoja para mrp'!$A:$Z,25,0)</f>
        <v>#N/A</v>
      </c>
    </row>
    <row r="997" spans="2:23" x14ac:dyDescent="0.25">
      <c r="B997" s="4">
        <v>30027556</v>
      </c>
      <c r="C997" s="1" t="s">
        <v>1581</v>
      </c>
      <c r="D997" s="4" t="s">
        <v>89</v>
      </c>
      <c r="E997" s="3"/>
      <c r="F997" s="3" t="s">
        <v>69</v>
      </c>
      <c r="G997" s="4">
        <v>50</v>
      </c>
      <c r="H997" s="4">
        <v>100</v>
      </c>
      <c r="I997" s="4">
        <v>100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s="4" t="s">
        <v>73</v>
      </c>
      <c r="U997" s="1" t="e">
        <f>VLOOKUP(data[[#This Row],[Material]],'[1]Hoja para mrp'!$A:$Z,26,0)</f>
        <v>#N/A</v>
      </c>
      <c r="V997" s="1" t="e">
        <f>VLOOKUP(data[[#This Row],[Material]],'[1]Hoja para mrp'!$A:$Z,25,0)</f>
        <v>#N/A</v>
      </c>
    </row>
    <row r="998" spans="2:23" x14ac:dyDescent="0.25">
      <c r="B998" s="4">
        <v>30028040</v>
      </c>
      <c r="C998" s="1" t="s">
        <v>1490</v>
      </c>
      <c r="D998" s="4" t="s">
        <v>89</v>
      </c>
      <c r="E998" s="3"/>
      <c r="F998" s="3" t="s">
        <v>69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 t="e">
        <f>VLOOKUP(data[[#This Row],[Material]],'[1]Hoja para mrp'!$A:$Z,26,0)</f>
        <v>#N/A</v>
      </c>
      <c r="V998" s="1" t="e">
        <f>VLOOKUP(data[[#This Row],[Material]],'[1]Hoja para mrp'!$A:$Z,25,0)</f>
        <v>#N/A</v>
      </c>
    </row>
    <row r="999" spans="2:23" x14ac:dyDescent="0.25">
      <c r="B999" s="4">
        <v>30028518</v>
      </c>
      <c r="C999" s="1" t="s">
        <v>1373</v>
      </c>
      <c r="D999" s="4" t="s">
        <v>89</v>
      </c>
      <c r="E999" s="3"/>
      <c r="F999" s="3" t="s">
        <v>69</v>
      </c>
      <c r="G999" s="4">
        <v>4</v>
      </c>
      <c r="H999" s="4">
        <v>4</v>
      </c>
      <c r="I999" s="4">
        <v>5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66</v>
      </c>
      <c r="U999" s="1" t="e">
        <f>VLOOKUP(data[[#This Row],[Material]],'[1]Hoja para mrp'!$A:$Z,26,0)</f>
        <v>#N/A</v>
      </c>
      <c r="V999" s="1" t="e">
        <f>VLOOKUP(data[[#This Row],[Material]],'[1]Hoja para mrp'!$A:$Z,25,0)</f>
        <v>#N/A</v>
      </c>
    </row>
    <row r="1000" spans="2:23" x14ac:dyDescent="0.25">
      <c r="B1000" s="4">
        <v>30028519</v>
      </c>
      <c r="C1000" s="1" t="s">
        <v>612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0</v>
      </c>
      <c r="J1000" s="4" t="s">
        <v>8</v>
      </c>
      <c r="K1000" s="4" t="s">
        <v>13</v>
      </c>
      <c r="L1000" s="11"/>
      <c r="M1000" s="3"/>
      <c r="N1000">
        <v>4502663686</v>
      </c>
      <c r="O1000" s="4">
        <v>4</v>
      </c>
      <c r="P1000" s="1" t="s">
        <v>22</v>
      </c>
      <c r="Q1000" s="22">
        <v>46145</v>
      </c>
      <c r="R1000"/>
      <c r="S1000" s="11"/>
      <c r="T1000" s="4" t="s">
        <v>70</v>
      </c>
      <c r="U1000" s="1" t="e">
        <f>VLOOKUP(data[[#This Row],[Material]],'[1]Hoja para mrp'!$A:$Z,26,0)</f>
        <v>#N/A</v>
      </c>
      <c r="V1000" s="1" t="e">
        <f>VLOOKUP(data[[#This Row],[Material]],'[1]Hoja para mrp'!$A:$Z,25,0)</f>
        <v>#N/A</v>
      </c>
      <c r="W1000" s="1" t="s">
        <v>1697</v>
      </c>
    </row>
    <row r="1001" spans="2:23" x14ac:dyDescent="0.25">
      <c r="B1001" s="4">
        <v>30028581</v>
      </c>
      <c r="C1001" s="1" t="s">
        <v>613</v>
      </c>
      <c r="D1001" s="4" t="s">
        <v>89</v>
      </c>
      <c r="E1001" s="3"/>
      <c r="F1001" s="3" t="s">
        <v>69</v>
      </c>
      <c r="G1001" s="4">
        <v>2</v>
      </c>
      <c r="H1001" s="4">
        <v>2</v>
      </c>
      <c r="I1001" s="4">
        <v>1</v>
      </c>
      <c r="J1001" s="4" t="s">
        <v>8</v>
      </c>
      <c r="K1001" s="4" t="s">
        <v>9</v>
      </c>
      <c r="L1001" s="11" t="s">
        <v>1659</v>
      </c>
      <c r="M1001" s="3"/>
      <c r="N1001"/>
      <c r="O1001" s="4"/>
      <c r="P1001" s="1"/>
      <c r="Q1001" s="22"/>
      <c r="R1001"/>
      <c r="S1001" s="11" t="s">
        <v>1627</v>
      </c>
      <c r="T1001" s="4" t="s">
        <v>73</v>
      </c>
      <c r="U1001" s="1" t="e">
        <f>VLOOKUP(data[[#This Row],[Material]],'[1]Hoja para mrp'!$A:$Z,26,0)</f>
        <v>#N/A</v>
      </c>
      <c r="V1001" s="1" t="e">
        <f>VLOOKUP(data[[#This Row],[Material]],'[1]Hoja para mrp'!$A:$Z,25,0)</f>
        <v>#N/A</v>
      </c>
    </row>
    <row r="1002" spans="2:23" x14ac:dyDescent="0.25">
      <c r="B1002" s="4">
        <v>30029182</v>
      </c>
      <c r="C1002" s="1" t="s">
        <v>1353</v>
      </c>
      <c r="D1002" s="4" t="s">
        <v>89</v>
      </c>
      <c r="E1002" s="3"/>
      <c r="F1002" s="3" t="s">
        <v>69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73</v>
      </c>
      <c r="U1002" s="1" t="e">
        <f>VLOOKUP(data[[#This Row],[Material]],'[1]Hoja para mrp'!$A:$Z,26,0)</f>
        <v>#N/A</v>
      </c>
      <c r="V1002" s="1" t="e">
        <f>VLOOKUP(data[[#This Row],[Material]],'[1]Hoja para mrp'!$A:$Z,25,0)</f>
        <v>#N/A</v>
      </c>
    </row>
    <row r="1003" spans="2:23" x14ac:dyDescent="0.25">
      <c r="B1003" s="4">
        <v>30029241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73</v>
      </c>
      <c r="U1003" s="1" t="e">
        <f>VLOOKUP(data[[#This Row],[Material]],'[1]Hoja para mrp'!$A:$Z,26,0)</f>
        <v>#N/A</v>
      </c>
      <c r="V1003" s="1" t="e">
        <f>VLOOKUP(data[[#This Row],[Material]],'[1]Hoja para mrp'!$A:$Z,25,0)</f>
        <v>#N/A</v>
      </c>
    </row>
    <row r="1004" spans="2:23" x14ac:dyDescent="0.25">
      <c r="B1004" s="4">
        <v>30029403</v>
      </c>
      <c r="C1004" s="1" t="s">
        <v>615</v>
      </c>
      <c r="D1004" s="4" t="s">
        <v>89</v>
      </c>
      <c r="E1004" s="3"/>
      <c r="F1004" s="3" t="s">
        <v>69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 t="e">
        <f>VLOOKUP(data[[#This Row],[Material]],'[1]Hoja para mrp'!$A:$Z,26,0)</f>
        <v>#N/A</v>
      </c>
      <c r="V1004" s="1" t="e">
        <f>VLOOKUP(data[[#This Row],[Material]],'[1]Hoja para mrp'!$A:$Z,25,0)</f>
        <v>#N/A</v>
      </c>
    </row>
    <row r="1005" spans="2:23" x14ac:dyDescent="0.25">
      <c r="B1005" s="4">
        <v>30029699</v>
      </c>
      <c r="C1005" s="1" t="s">
        <v>1165</v>
      </c>
      <c r="D1005" s="4" t="s">
        <v>89</v>
      </c>
      <c r="E1005" s="3"/>
      <c r="F1005" s="3" t="s">
        <v>105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66</v>
      </c>
      <c r="U1005" s="1" t="e">
        <f>VLOOKUP(data[[#This Row],[Material]],'[1]Hoja para mrp'!$A:$Z,26,0)</f>
        <v>#N/A</v>
      </c>
      <c r="V1005" s="1" t="e">
        <f>VLOOKUP(data[[#This Row],[Material]],'[1]Hoja para mrp'!$A:$Z,25,0)</f>
        <v>#N/A</v>
      </c>
    </row>
    <row r="1006" spans="2:23" x14ac:dyDescent="0.25">
      <c r="B1006" s="4">
        <v>30029757</v>
      </c>
      <c r="C1006" s="1" t="s">
        <v>1166</v>
      </c>
      <c r="D1006" s="4" t="s">
        <v>89</v>
      </c>
      <c r="E1006" s="3" t="s">
        <v>1228</v>
      </c>
      <c r="F1006" s="3" t="s">
        <v>105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67</v>
      </c>
      <c r="U1006" s="1" t="e">
        <f>VLOOKUP(data[[#This Row],[Material]],'[1]Hoja para mrp'!$A:$Z,26,0)</f>
        <v>#N/A</v>
      </c>
      <c r="V1006" s="1" t="e">
        <f>VLOOKUP(data[[#This Row],[Material]],'[1]Hoja para mrp'!$A:$Z,25,0)</f>
        <v>#N/A</v>
      </c>
    </row>
    <row r="1007" spans="2:23" x14ac:dyDescent="0.25">
      <c r="B1007" s="4">
        <v>30029870</v>
      </c>
      <c r="C1007" s="1" t="s">
        <v>616</v>
      </c>
      <c r="D1007" s="4" t="s">
        <v>89</v>
      </c>
      <c r="E1007" s="3"/>
      <c r="F1007" s="3" t="s">
        <v>69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 t="e">
        <f>VLOOKUP(data[[#This Row],[Material]],'[1]Hoja para mrp'!$A:$Z,26,0)</f>
        <v>#N/A</v>
      </c>
      <c r="V1007" s="1" t="e">
        <f>VLOOKUP(data[[#This Row],[Material]],'[1]Hoja para mrp'!$A:$Z,25,0)</f>
        <v>#N/A</v>
      </c>
    </row>
    <row r="1008" spans="2:23" x14ac:dyDescent="0.25">
      <c r="B1008" s="4">
        <v>30029871</v>
      </c>
      <c r="C1008" s="1" t="s">
        <v>617</v>
      </c>
      <c r="D1008" s="4" t="s">
        <v>89</v>
      </c>
      <c r="E1008" s="3"/>
      <c r="F1008" s="3" t="s">
        <v>69</v>
      </c>
      <c r="G1008" s="4">
        <v>6</v>
      </c>
      <c r="H1008" s="4">
        <v>10</v>
      </c>
      <c r="I1008" s="4">
        <v>10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66</v>
      </c>
      <c r="U1008" s="1" t="e">
        <f>VLOOKUP(data[[#This Row],[Material]],'[1]Hoja para mrp'!$A:$Z,26,0)</f>
        <v>#N/A</v>
      </c>
      <c r="V1008" s="1" t="e">
        <f>VLOOKUP(data[[#This Row],[Material]],'[1]Hoja para mrp'!$A:$Z,25,0)</f>
        <v>#N/A</v>
      </c>
    </row>
    <row r="1009" spans="2:22" x14ac:dyDescent="0.25">
      <c r="B1009" s="4">
        <v>30029906</v>
      </c>
      <c r="C1009" s="1" t="s">
        <v>618</v>
      </c>
      <c r="D1009" s="4" t="s">
        <v>89</v>
      </c>
      <c r="E1009" s="3"/>
      <c r="F1009" s="3" t="s">
        <v>69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73</v>
      </c>
      <c r="U1009" s="1" t="e">
        <f>VLOOKUP(data[[#This Row],[Material]],'[1]Hoja para mrp'!$A:$Z,26,0)</f>
        <v>#N/A</v>
      </c>
      <c r="V1009" s="1" t="e">
        <f>VLOOKUP(data[[#This Row],[Material]],'[1]Hoja para mrp'!$A:$Z,25,0)</f>
        <v>#N/A</v>
      </c>
    </row>
    <row r="1010" spans="2:22" x14ac:dyDescent="0.25">
      <c r="B1010" s="4">
        <v>30029934</v>
      </c>
      <c r="C1010" s="1" t="s">
        <v>1167</v>
      </c>
      <c r="D1010" s="4" t="s">
        <v>89</v>
      </c>
      <c r="E1010" s="3" t="s">
        <v>1228</v>
      </c>
      <c r="F1010" s="3" t="s">
        <v>105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70</v>
      </c>
      <c r="U1010" s="1" t="e">
        <f>VLOOKUP(data[[#This Row],[Material]],'[1]Hoja para mrp'!$A:$Z,26,0)</f>
        <v>#N/A</v>
      </c>
      <c r="V1010" s="1" t="e">
        <f>VLOOKUP(data[[#This Row],[Material]],'[1]Hoja para mrp'!$A:$Z,25,0)</f>
        <v>#N/A</v>
      </c>
    </row>
    <row r="1011" spans="2:22" x14ac:dyDescent="0.25">
      <c r="B1011" s="4">
        <v>30029941</v>
      </c>
      <c r="C1011" s="1" t="s">
        <v>619</v>
      </c>
      <c r="D1011" s="4" t="s">
        <v>89</v>
      </c>
      <c r="E1011" s="3"/>
      <c r="F1011" s="3" t="s">
        <v>69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4502662462</v>
      </c>
      <c r="O1011" s="4">
        <v>50</v>
      </c>
      <c r="P1011" s="1" t="s">
        <v>1582</v>
      </c>
      <c r="Q1011" s="22">
        <v>46258</v>
      </c>
      <c r="R1011"/>
      <c r="S1011" s="11"/>
      <c r="T1011" s="4" t="s">
        <v>66</v>
      </c>
      <c r="U1011" s="1" t="e">
        <f>VLOOKUP(data[[#This Row],[Material]],'[1]Hoja para mrp'!$A:$Z,26,0)</f>
        <v>#N/A</v>
      </c>
      <c r="V1011" s="1" t="e">
        <f>VLOOKUP(data[[#This Row],[Material]],'[1]Hoja para mrp'!$A:$Z,25,0)</f>
        <v>#N/A</v>
      </c>
    </row>
    <row r="1012" spans="2:22" x14ac:dyDescent="0.25">
      <c r="B1012" s="4">
        <v>30030170</v>
      </c>
      <c r="C1012" s="1" t="s">
        <v>620</v>
      </c>
      <c r="D1012" s="4" t="s">
        <v>89</v>
      </c>
      <c r="E1012" s="3"/>
      <c r="F1012" s="3" t="s">
        <v>69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1430</v>
      </c>
      <c r="Q1012" s="22">
        <v>46196</v>
      </c>
      <c r="R1012"/>
      <c r="S1012" s="11" t="s">
        <v>1613</v>
      </c>
      <c r="T1012" s="4" t="s">
        <v>67</v>
      </c>
      <c r="U1012" s="1" t="e">
        <f>VLOOKUP(data[[#This Row],[Material]],'[1]Hoja para mrp'!$A:$Z,26,0)</f>
        <v>#N/A</v>
      </c>
      <c r="V1012" s="1" t="e">
        <f>VLOOKUP(data[[#This Row],[Material]],'[1]Hoja para mrp'!$A:$Z,25,0)</f>
        <v>#N/A</v>
      </c>
    </row>
    <row r="1013" spans="2:22" x14ac:dyDescent="0.25">
      <c r="B1013" s="4">
        <v>30030171</v>
      </c>
      <c r="C1013" s="1" t="s">
        <v>1403</v>
      </c>
      <c r="D1013" s="4" t="s">
        <v>89</v>
      </c>
      <c r="E1013" s="3"/>
      <c r="F1013" s="3" t="s">
        <v>105</v>
      </c>
      <c r="G1013" s="4">
        <v>2</v>
      </c>
      <c r="H1013" s="4">
        <v>1</v>
      </c>
      <c r="I1013" s="4">
        <v>0</v>
      </c>
      <c r="J1013" s="4" t="s">
        <v>8</v>
      </c>
      <c r="K1013" s="4" t="s">
        <v>13</v>
      </c>
      <c r="L1013" s="11"/>
      <c r="M1013" s="3"/>
      <c r="N1013">
        <v>4700161636</v>
      </c>
      <c r="O1013" s="4">
        <v>2</v>
      </c>
      <c r="P1013" s="1" t="s">
        <v>1643</v>
      </c>
      <c r="Q1013" s="22">
        <v>46212</v>
      </c>
      <c r="R1013"/>
      <c r="S1013" s="11" t="s">
        <v>1635</v>
      </c>
      <c r="T1013" s="4" t="s">
        <v>73</v>
      </c>
      <c r="U1013" s="1" t="e">
        <f>VLOOKUP(data[[#This Row],[Material]],'[1]Hoja para mrp'!$A:$Z,26,0)</f>
        <v>#N/A</v>
      </c>
      <c r="V1013" s="1" t="e">
        <f>VLOOKUP(data[[#This Row],[Material]],'[1]Hoja para mrp'!$A:$Z,25,0)</f>
        <v>#N/A</v>
      </c>
    </row>
    <row r="1014" spans="2:22" x14ac:dyDescent="0.25">
      <c r="B1014" s="4">
        <v>30030284</v>
      </c>
      <c r="C1014" s="1" t="s">
        <v>905</v>
      </c>
      <c r="D1014" s="4" t="s">
        <v>89</v>
      </c>
      <c r="E1014" s="72"/>
      <c r="F1014" s="3" t="s">
        <v>105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74</v>
      </c>
      <c r="U1014" s="1" t="e">
        <f>VLOOKUP(data[[#This Row],[Material]],'[1]Hoja para mrp'!$A:$Z,26,0)</f>
        <v>#N/A</v>
      </c>
      <c r="V1014" s="1" t="e">
        <f>VLOOKUP(data[[#This Row],[Material]],'[1]Hoja para mrp'!$A:$Z,25,0)</f>
        <v>#N/A</v>
      </c>
    </row>
    <row r="1015" spans="2:22" x14ac:dyDescent="0.25">
      <c r="B1015" s="4">
        <v>30030285</v>
      </c>
      <c r="C1015" s="1" t="s">
        <v>906</v>
      </c>
      <c r="D1015" s="4" t="s">
        <v>89</v>
      </c>
      <c r="E1015" s="3" t="s">
        <v>1228</v>
      </c>
      <c r="F1015" s="3" t="s">
        <v>105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74</v>
      </c>
      <c r="U1015" s="1" t="e">
        <f>VLOOKUP(data[[#This Row],[Material]],'[1]Hoja para mrp'!$A:$Z,26,0)</f>
        <v>#N/A</v>
      </c>
      <c r="V1015" s="1" t="e">
        <f>VLOOKUP(data[[#This Row],[Material]],'[1]Hoja para mrp'!$A:$Z,25,0)</f>
        <v>#N/A</v>
      </c>
    </row>
    <row r="1016" spans="2:22" x14ac:dyDescent="0.25">
      <c r="B1016" s="4">
        <v>30030288</v>
      </c>
      <c r="C1016" s="1" t="s">
        <v>907</v>
      </c>
      <c r="D1016" s="4" t="s">
        <v>89</v>
      </c>
      <c r="E1016" s="3"/>
      <c r="F1016" s="3" t="s">
        <v>105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 t="e">
        <f>VLOOKUP(data[[#This Row],[Material]],'[1]Hoja para mrp'!$A:$Z,26,0)</f>
        <v>#N/A</v>
      </c>
      <c r="V1016" s="1" t="e">
        <f>VLOOKUP(data[[#This Row],[Material]],'[1]Hoja para mrp'!$A:$Z,25,0)</f>
        <v>#N/A</v>
      </c>
    </row>
    <row r="1017" spans="2:22" x14ac:dyDescent="0.25">
      <c r="B1017" s="4">
        <v>30030293</v>
      </c>
      <c r="C1017" s="1" t="s">
        <v>908</v>
      </c>
      <c r="D1017" s="4" t="s">
        <v>89</v>
      </c>
      <c r="E1017" s="3"/>
      <c r="F1017" s="3" t="s">
        <v>105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 t="e">
        <f>VLOOKUP(data[[#This Row],[Material]],'[1]Hoja para mrp'!$A:$Z,26,0)</f>
        <v>#N/A</v>
      </c>
      <c r="V1017" s="1" t="e">
        <f>VLOOKUP(data[[#This Row],[Material]],'[1]Hoja para mrp'!$A:$Z,25,0)</f>
        <v>#N/A</v>
      </c>
    </row>
    <row r="1018" spans="2:22" x14ac:dyDescent="0.25">
      <c r="B1018" s="4">
        <v>30030294</v>
      </c>
      <c r="C1018" s="1" t="s">
        <v>909</v>
      </c>
      <c r="D1018" s="4" t="s">
        <v>89</v>
      </c>
      <c r="E1018" s="3" t="s">
        <v>1228</v>
      </c>
      <c r="F1018" s="3" t="s">
        <v>105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66</v>
      </c>
      <c r="U1018" s="1" t="e">
        <f>VLOOKUP(data[[#This Row],[Material]],'[1]Hoja para mrp'!$A:$Z,26,0)</f>
        <v>#N/A</v>
      </c>
      <c r="V1018" s="1" t="e">
        <f>VLOOKUP(data[[#This Row],[Material]],'[1]Hoja para mrp'!$A:$Z,25,0)</f>
        <v>#N/A</v>
      </c>
    </row>
    <row r="1019" spans="2:22" x14ac:dyDescent="0.25">
      <c r="B1019" s="4">
        <v>30030296</v>
      </c>
      <c r="C1019" s="1" t="s">
        <v>910</v>
      </c>
      <c r="D1019" s="4" t="s">
        <v>89</v>
      </c>
      <c r="E1019" s="3"/>
      <c r="F1019" s="3" t="s">
        <v>105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 t="e">
        <f>VLOOKUP(data[[#This Row],[Material]],'[1]Hoja para mrp'!$A:$Z,26,0)</f>
        <v>#N/A</v>
      </c>
      <c r="V1019" s="1" t="e">
        <f>VLOOKUP(data[[#This Row],[Material]],'[1]Hoja para mrp'!$A:$Z,25,0)</f>
        <v>#N/A</v>
      </c>
    </row>
    <row r="1020" spans="2:22" x14ac:dyDescent="0.25">
      <c r="B1020" s="4">
        <v>30030298</v>
      </c>
      <c r="C1020" s="1" t="s">
        <v>911</v>
      </c>
      <c r="D1020" s="4" t="s">
        <v>89</v>
      </c>
      <c r="E1020" s="3" t="s">
        <v>1228</v>
      </c>
      <c r="F1020" s="3" t="s">
        <v>105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74</v>
      </c>
      <c r="U1020" s="1" t="e">
        <f>VLOOKUP(data[[#This Row],[Material]],'[1]Hoja para mrp'!$A:$Z,26,0)</f>
        <v>#N/A</v>
      </c>
      <c r="V1020" s="1" t="e">
        <f>VLOOKUP(data[[#This Row],[Material]],'[1]Hoja para mrp'!$A:$Z,25,0)</f>
        <v>#N/A</v>
      </c>
    </row>
    <row r="1021" spans="2:22" x14ac:dyDescent="0.25">
      <c r="B1021" s="4">
        <v>30030652</v>
      </c>
      <c r="C1021" s="1" t="s">
        <v>621</v>
      </c>
      <c r="D1021" s="4" t="s">
        <v>89</v>
      </c>
      <c r="E1021" s="3"/>
      <c r="F1021" s="3" t="s">
        <v>69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70</v>
      </c>
      <c r="U1021" s="1" t="e">
        <f>VLOOKUP(data[[#This Row],[Material]],'[1]Hoja para mrp'!$A:$Z,26,0)</f>
        <v>#N/A</v>
      </c>
      <c r="V1021" s="1" t="e">
        <f>VLOOKUP(data[[#This Row],[Material]],'[1]Hoja para mrp'!$A:$Z,25,0)</f>
        <v>#N/A</v>
      </c>
    </row>
    <row r="1022" spans="2:22" x14ac:dyDescent="0.25">
      <c r="B1022" s="4">
        <v>30030663</v>
      </c>
      <c r="C1022" s="1" t="s">
        <v>1404</v>
      </c>
      <c r="D1022" s="4" t="s">
        <v>89</v>
      </c>
      <c r="E1022" s="3"/>
      <c r="F1022" s="3" t="s">
        <v>69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66</v>
      </c>
      <c r="U1022" s="1" t="e">
        <f>VLOOKUP(data[[#This Row],[Material]],'[1]Hoja para mrp'!$A:$Z,26,0)</f>
        <v>#N/A</v>
      </c>
      <c r="V1022" s="1" t="e">
        <f>VLOOKUP(data[[#This Row],[Material]],'[1]Hoja para mrp'!$A:$Z,25,0)</f>
        <v>#N/A</v>
      </c>
    </row>
    <row r="1023" spans="2:22" x14ac:dyDescent="0.25">
      <c r="B1023" s="4">
        <v>30030711</v>
      </c>
      <c r="C1023" s="1" t="s">
        <v>912</v>
      </c>
      <c r="D1023" s="4" t="s">
        <v>89</v>
      </c>
      <c r="E1023" s="3" t="s">
        <v>1228</v>
      </c>
      <c r="F1023" s="3" t="s">
        <v>105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1659</v>
      </c>
      <c r="M1023" s="3"/>
      <c r="N1023"/>
      <c r="O1023" s="4"/>
      <c r="P1023" s="1"/>
      <c r="Q1023" s="22"/>
      <c r="R1023"/>
      <c r="S1023" s="11" t="s">
        <v>1603</v>
      </c>
      <c r="T1023" s="4" t="s">
        <v>67</v>
      </c>
      <c r="U1023" s="1" t="e">
        <f>VLOOKUP(data[[#This Row],[Material]],'[1]Hoja para mrp'!$A:$Z,26,0)</f>
        <v>#N/A</v>
      </c>
      <c r="V1023" s="1" t="e">
        <f>VLOOKUP(data[[#This Row],[Material]],'[1]Hoja para mrp'!$A:$Z,25,0)</f>
        <v>#N/A</v>
      </c>
    </row>
    <row r="1024" spans="2:22" x14ac:dyDescent="0.25">
      <c r="B1024" s="4">
        <v>30030714</v>
      </c>
      <c r="C1024" s="1" t="s">
        <v>1089</v>
      </c>
      <c r="D1024" s="4" t="s">
        <v>89</v>
      </c>
      <c r="E1024" s="3" t="s">
        <v>1228</v>
      </c>
      <c r="F1024" s="3" t="s">
        <v>105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67</v>
      </c>
      <c r="U1024" s="1" t="e">
        <f>VLOOKUP(data[[#This Row],[Material]],'[1]Hoja para mrp'!$A:$Z,26,0)</f>
        <v>#N/A</v>
      </c>
      <c r="V1024" s="1" t="e">
        <f>VLOOKUP(data[[#This Row],[Material]],'[1]Hoja para mrp'!$A:$Z,25,0)</f>
        <v>#N/A</v>
      </c>
    </row>
    <row r="1025" spans="2:22" x14ac:dyDescent="0.25">
      <c r="B1025" s="4">
        <v>30030765</v>
      </c>
      <c r="C1025" s="1" t="s">
        <v>1354</v>
      </c>
      <c r="D1025" s="4" t="s">
        <v>89</v>
      </c>
      <c r="E1025" s="3"/>
      <c r="F1025" s="3" t="s">
        <v>69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67</v>
      </c>
      <c r="U1025" s="1" t="e">
        <f>VLOOKUP(data[[#This Row],[Material]],'[1]Hoja para mrp'!$A:$Z,26,0)</f>
        <v>#N/A</v>
      </c>
      <c r="V1025" s="1" t="e">
        <f>VLOOKUP(data[[#This Row],[Material]],'[1]Hoja para mrp'!$A:$Z,25,0)</f>
        <v>#N/A</v>
      </c>
    </row>
    <row r="1026" spans="2:22" x14ac:dyDescent="0.25">
      <c r="B1026" s="4">
        <v>30030969</v>
      </c>
      <c r="C1026" s="1" t="s">
        <v>622</v>
      </c>
      <c r="D1026" s="4" t="s">
        <v>89</v>
      </c>
      <c r="E1026" s="3"/>
      <c r="F1026" s="3" t="s">
        <v>69</v>
      </c>
      <c r="G1026" s="4">
        <v>3</v>
      </c>
      <c r="H1026" s="4">
        <v>4</v>
      </c>
      <c r="I1026" s="4">
        <v>2</v>
      </c>
      <c r="J1026" s="4" t="s">
        <v>8</v>
      </c>
      <c r="K1026" s="4" t="s">
        <v>9</v>
      </c>
      <c r="L1026" s="11"/>
      <c r="M1026" s="3"/>
      <c r="N1026">
        <v>4502655035</v>
      </c>
      <c r="O1026" s="4">
        <v>5</v>
      </c>
      <c r="P1026" s="1" t="s">
        <v>1575</v>
      </c>
      <c r="Q1026" s="22">
        <v>46224</v>
      </c>
      <c r="R1026"/>
      <c r="S1026" s="11"/>
      <c r="T1026" s="4" t="s">
        <v>67</v>
      </c>
      <c r="U1026" s="1" t="e">
        <f>VLOOKUP(data[[#This Row],[Material]],'[1]Hoja para mrp'!$A:$Z,26,0)</f>
        <v>#N/A</v>
      </c>
      <c r="V1026" s="1" t="e">
        <f>VLOOKUP(data[[#This Row],[Material]],'[1]Hoja para mrp'!$A:$Z,25,0)</f>
        <v>#N/A</v>
      </c>
    </row>
    <row r="1027" spans="2:22" x14ac:dyDescent="0.25">
      <c r="B1027" s="4">
        <v>30031074</v>
      </c>
      <c r="C1027" s="1" t="s">
        <v>1275</v>
      </c>
      <c r="D1027" s="4" t="s">
        <v>89</v>
      </c>
      <c r="E1027" s="3"/>
      <c r="F1027" s="3" t="s">
        <v>69</v>
      </c>
      <c r="G1027" s="4">
        <v>4</v>
      </c>
      <c r="H1027" s="4">
        <v>2</v>
      </c>
      <c r="I1027" s="4">
        <v>7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 t="e">
        <f>VLOOKUP(data[[#This Row],[Material]],'[1]Hoja para mrp'!$A:$Z,26,0)</f>
        <v>#N/A</v>
      </c>
      <c r="V1027" s="1" t="e">
        <f>VLOOKUP(data[[#This Row],[Material]],'[1]Hoja para mrp'!$A:$Z,25,0)</f>
        <v>#N/A</v>
      </c>
    </row>
    <row r="1028" spans="2:22" x14ac:dyDescent="0.25">
      <c r="B1028" s="4">
        <v>30031092</v>
      </c>
      <c r="C1028" s="1" t="s">
        <v>1056</v>
      </c>
      <c r="D1028" s="4" t="s">
        <v>89</v>
      </c>
      <c r="E1028" s="3"/>
      <c r="F1028" s="3" t="s">
        <v>105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66</v>
      </c>
      <c r="U1028" s="1" t="e">
        <f>VLOOKUP(data[[#This Row],[Material]],'[1]Hoja para mrp'!$A:$Z,26,0)</f>
        <v>#N/A</v>
      </c>
      <c r="V1028" s="1" t="e">
        <f>VLOOKUP(data[[#This Row],[Material]],'[1]Hoja para mrp'!$A:$Z,25,0)</f>
        <v>#N/A</v>
      </c>
    </row>
    <row r="1029" spans="2:22" x14ac:dyDescent="0.25">
      <c r="B1029" s="4">
        <v>30031213</v>
      </c>
      <c r="C1029" s="1" t="s">
        <v>1168</v>
      </c>
      <c r="D1029" s="4" t="s">
        <v>89</v>
      </c>
      <c r="E1029" s="3"/>
      <c r="F1029" s="3" t="s">
        <v>105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66</v>
      </c>
      <c r="U1029" s="1" t="e">
        <f>VLOOKUP(data[[#This Row],[Material]],'[1]Hoja para mrp'!$A:$Z,26,0)</f>
        <v>#N/A</v>
      </c>
      <c r="V1029" s="1" t="e">
        <f>VLOOKUP(data[[#This Row],[Material]],'[1]Hoja para mrp'!$A:$Z,25,0)</f>
        <v>#N/A</v>
      </c>
    </row>
    <row r="1030" spans="2:22" x14ac:dyDescent="0.25">
      <c r="B1030" s="4">
        <v>30031228</v>
      </c>
      <c r="C1030" s="1" t="s">
        <v>623</v>
      </c>
      <c r="D1030" s="4" t="s">
        <v>89</v>
      </c>
      <c r="E1030" s="3"/>
      <c r="F1030" s="3" t="s">
        <v>69</v>
      </c>
      <c r="G1030" s="4">
        <v>4</v>
      </c>
      <c r="H1030" s="4">
        <v>4</v>
      </c>
      <c r="I1030" s="4">
        <v>5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 t="e">
        <f>VLOOKUP(data[[#This Row],[Material]],'[1]Hoja para mrp'!$A:$Z,26,0)</f>
        <v>#N/A</v>
      </c>
      <c r="V1030" s="1" t="e">
        <f>VLOOKUP(data[[#This Row],[Material]],'[1]Hoja para mrp'!$A:$Z,25,0)</f>
        <v>#N/A</v>
      </c>
    </row>
    <row r="1031" spans="2:22" x14ac:dyDescent="0.25">
      <c r="B1031" s="4">
        <v>30031233</v>
      </c>
      <c r="C1031" s="1" t="s">
        <v>1355</v>
      </c>
      <c r="D1031" s="4" t="s">
        <v>89</v>
      </c>
      <c r="E1031" s="3"/>
      <c r="F1031" s="3" t="s">
        <v>69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73</v>
      </c>
      <c r="U1031" s="1" t="e">
        <f>VLOOKUP(data[[#This Row],[Material]],'[1]Hoja para mrp'!$A:$Z,26,0)</f>
        <v>#N/A</v>
      </c>
      <c r="V1031" s="1" t="e">
        <f>VLOOKUP(data[[#This Row],[Material]],'[1]Hoja para mrp'!$A:$Z,25,0)</f>
        <v>#N/A</v>
      </c>
    </row>
    <row r="1032" spans="2:22" x14ac:dyDescent="0.25">
      <c r="B1032" s="4">
        <v>30031278</v>
      </c>
      <c r="C1032" s="1" t="s">
        <v>624</v>
      </c>
      <c r="D1032" s="4" t="s">
        <v>89</v>
      </c>
      <c r="E1032" s="3"/>
      <c r="F1032" s="3" t="s">
        <v>69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73</v>
      </c>
      <c r="U1032" s="1" t="e">
        <f>VLOOKUP(data[[#This Row],[Material]],'[1]Hoja para mrp'!$A:$Z,26,0)</f>
        <v>#N/A</v>
      </c>
      <c r="V1032" s="1" t="e">
        <f>VLOOKUP(data[[#This Row],[Material]],'[1]Hoja para mrp'!$A:$Z,25,0)</f>
        <v>#N/A</v>
      </c>
    </row>
    <row r="1033" spans="2:22" x14ac:dyDescent="0.25">
      <c r="B1033" s="4">
        <v>30031432</v>
      </c>
      <c r="C1033" s="1" t="s">
        <v>861</v>
      </c>
      <c r="D1033" s="4" t="s">
        <v>89</v>
      </c>
      <c r="E1033" s="3"/>
      <c r="F1033" s="3" t="s">
        <v>105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66</v>
      </c>
      <c r="U1033" s="1" t="e">
        <f>VLOOKUP(data[[#This Row],[Material]],'[1]Hoja para mrp'!$A:$Z,26,0)</f>
        <v>#N/A</v>
      </c>
      <c r="V1033" s="1" t="e">
        <f>VLOOKUP(data[[#This Row],[Material]],'[1]Hoja para mrp'!$A:$Z,25,0)</f>
        <v>#N/A</v>
      </c>
    </row>
    <row r="1034" spans="2:22" x14ac:dyDescent="0.25">
      <c r="B1034" s="4">
        <v>30031445</v>
      </c>
      <c r="C1034" s="1" t="s">
        <v>862</v>
      </c>
      <c r="D1034" s="4" t="s">
        <v>89</v>
      </c>
      <c r="E1034" s="3"/>
      <c r="F1034" s="3" t="s">
        <v>105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66</v>
      </c>
      <c r="U1034" s="1" t="e">
        <f>VLOOKUP(data[[#This Row],[Material]],'[1]Hoja para mrp'!$A:$Z,26,0)</f>
        <v>#N/A</v>
      </c>
      <c r="V1034" s="1" t="e">
        <f>VLOOKUP(data[[#This Row],[Material]],'[1]Hoja para mrp'!$A:$Z,25,0)</f>
        <v>#N/A</v>
      </c>
    </row>
    <row r="1035" spans="2:22" x14ac:dyDescent="0.25">
      <c r="B1035" s="4">
        <v>30031744</v>
      </c>
      <c r="C1035" s="1" t="s">
        <v>1169</v>
      </c>
      <c r="D1035" s="4" t="s">
        <v>89</v>
      </c>
      <c r="E1035" s="3" t="s">
        <v>1228</v>
      </c>
      <c r="F1035" s="3" t="s">
        <v>105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1659</v>
      </c>
      <c r="M1035" s="3"/>
      <c r="N1035"/>
      <c r="O1035" s="4"/>
      <c r="P1035" s="1"/>
      <c r="Q1035" s="22"/>
      <c r="R1035"/>
      <c r="S1035" s="11" t="s">
        <v>1603</v>
      </c>
      <c r="T1035" s="4" t="s">
        <v>67</v>
      </c>
      <c r="U1035" s="1" t="e">
        <f>VLOOKUP(data[[#This Row],[Material]],'[1]Hoja para mrp'!$A:$Z,26,0)</f>
        <v>#N/A</v>
      </c>
      <c r="V1035" s="1" t="e">
        <f>VLOOKUP(data[[#This Row],[Material]],'[1]Hoja para mrp'!$A:$Z,25,0)</f>
        <v>#N/A</v>
      </c>
    </row>
    <row r="1036" spans="2:22" x14ac:dyDescent="0.25">
      <c r="B1036" s="4">
        <v>30032033</v>
      </c>
      <c r="C1036" s="1" t="s">
        <v>1316</v>
      </c>
      <c r="D1036" s="4" t="s">
        <v>89</v>
      </c>
      <c r="E1036" s="3"/>
      <c r="F1036" s="3" t="s">
        <v>69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73</v>
      </c>
      <c r="U1036" s="1" t="e">
        <f>VLOOKUP(data[[#This Row],[Material]],'[1]Hoja para mrp'!$A:$Z,26,0)</f>
        <v>#N/A</v>
      </c>
      <c r="V1036" s="1" t="e">
        <f>VLOOKUP(data[[#This Row],[Material]],'[1]Hoja para mrp'!$A:$Z,25,0)</f>
        <v>#N/A</v>
      </c>
    </row>
    <row r="1037" spans="2:22" x14ac:dyDescent="0.25">
      <c r="B1037" s="4">
        <v>30032263</v>
      </c>
      <c r="C1037" s="1" t="s">
        <v>625</v>
      </c>
      <c r="D1037" s="4" t="s">
        <v>89</v>
      </c>
      <c r="E1037" s="3"/>
      <c r="F1037" s="3" t="s">
        <v>69</v>
      </c>
      <c r="G1037" s="4">
        <v>10</v>
      </c>
      <c r="H1037" s="4">
        <v>10</v>
      </c>
      <c r="I1037" s="4">
        <v>10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73</v>
      </c>
      <c r="U1037" s="1" t="e">
        <f>VLOOKUP(data[[#This Row],[Material]],'[1]Hoja para mrp'!$A:$Z,26,0)</f>
        <v>#N/A</v>
      </c>
      <c r="V1037" s="1" t="e">
        <f>VLOOKUP(data[[#This Row],[Material]],'[1]Hoja para mrp'!$A:$Z,25,0)</f>
        <v>#N/A</v>
      </c>
    </row>
    <row r="1038" spans="2:22" x14ac:dyDescent="0.25">
      <c r="B1038" s="4">
        <v>30032318</v>
      </c>
      <c r="C1038" s="1" t="s">
        <v>1508</v>
      </c>
      <c r="D1038" s="4" t="s">
        <v>89</v>
      </c>
      <c r="E1038" s="3"/>
      <c r="F1038" s="3" t="s">
        <v>69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 t="e">
        <f>VLOOKUP(data[[#This Row],[Material]],'[1]Hoja para mrp'!$A:$Z,26,0)</f>
        <v>#N/A</v>
      </c>
      <c r="V1038" s="1" t="e">
        <f>VLOOKUP(data[[#This Row],[Material]],'[1]Hoja para mrp'!$A:$Z,25,0)</f>
        <v>#N/A</v>
      </c>
    </row>
    <row r="1039" spans="2:22" x14ac:dyDescent="0.25">
      <c r="B1039" s="4">
        <v>30032474</v>
      </c>
      <c r="C1039" s="1" t="s">
        <v>626</v>
      </c>
      <c r="D1039" s="4" t="s">
        <v>89</v>
      </c>
      <c r="E1039" s="3"/>
      <c r="F1039" s="3" t="s">
        <v>69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66</v>
      </c>
      <c r="U1039" s="1" t="e">
        <f>VLOOKUP(data[[#This Row],[Material]],'[1]Hoja para mrp'!$A:$Z,26,0)</f>
        <v>#N/A</v>
      </c>
      <c r="V1039" s="1" t="e">
        <f>VLOOKUP(data[[#This Row],[Material]],'[1]Hoja para mrp'!$A:$Z,25,0)</f>
        <v>#N/A</v>
      </c>
    </row>
    <row r="1040" spans="2:22" x14ac:dyDescent="0.25">
      <c r="B1040" s="4">
        <v>30032475</v>
      </c>
      <c r="C1040" s="1" t="s">
        <v>627</v>
      </c>
      <c r="D1040" s="4" t="s">
        <v>89</v>
      </c>
      <c r="E1040" s="3"/>
      <c r="F1040" s="3" t="s">
        <v>69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66</v>
      </c>
      <c r="U1040" s="1" t="e">
        <f>VLOOKUP(data[[#This Row],[Material]],'[1]Hoja para mrp'!$A:$Z,26,0)</f>
        <v>#N/A</v>
      </c>
      <c r="V1040" s="1" t="e">
        <f>VLOOKUP(data[[#This Row],[Material]],'[1]Hoja para mrp'!$A:$Z,25,0)</f>
        <v>#N/A</v>
      </c>
    </row>
    <row r="1041" spans="2:22" x14ac:dyDescent="0.25">
      <c r="B1041" s="4">
        <v>30032476</v>
      </c>
      <c r="C1041" s="1" t="s">
        <v>628</v>
      </c>
      <c r="D1041" s="4" t="s">
        <v>89</v>
      </c>
      <c r="E1041" s="3"/>
      <c r="F1041" s="3" t="s">
        <v>69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 t="e">
        <f>VLOOKUP(data[[#This Row],[Material]],'[1]Hoja para mrp'!$A:$Z,26,0)</f>
        <v>#N/A</v>
      </c>
      <c r="V1041" s="1" t="e">
        <f>VLOOKUP(data[[#This Row],[Material]],'[1]Hoja para mrp'!$A:$Z,25,0)</f>
        <v>#N/A</v>
      </c>
    </row>
    <row r="1042" spans="2:22" x14ac:dyDescent="0.25">
      <c r="B1042" s="4">
        <v>30032493</v>
      </c>
      <c r="C1042" s="1" t="s">
        <v>913</v>
      </c>
      <c r="D1042" s="4" t="s">
        <v>89</v>
      </c>
      <c r="E1042" s="3" t="s">
        <v>1228</v>
      </c>
      <c r="F1042" s="3" t="s">
        <v>105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74</v>
      </c>
      <c r="U1042" s="1" t="e">
        <f>VLOOKUP(data[[#This Row],[Material]],'[1]Hoja para mrp'!$A:$Z,26,0)</f>
        <v>#N/A</v>
      </c>
      <c r="V1042" s="1" t="e">
        <f>VLOOKUP(data[[#This Row],[Material]],'[1]Hoja para mrp'!$A:$Z,25,0)</f>
        <v>#N/A</v>
      </c>
    </row>
    <row r="1043" spans="2:22" x14ac:dyDescent="0.25">
      <c r="B1043" s="4">
        <v>30032494</v>
      </c>
      <c r="C1043" s="1" t="s">
        <v>914</v>
      </c>
      <c r="D1043" s="4" t="s">
        <v>89</v>
      </c>
      <c r="E1043" s="3" t="s">
        <v>1228</v>
      </c>
      <c r="F1043" s="3" t="s">
        <v>105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74</v>
      </c>
      <c r="U1043" s="1" t="e">
        <f>VLOOKUP(data[[#This Row],[Material]],'[1]Hoja para mrp'!$A:$Z,26,0)</f>
        <v>#N/A</v>
      </c>
      <c r="V1043" s="1" t="e">
        <f>VLOOKUP(data[[#This Row],[Material]],'[1]Hoja para mrp'!$A:$Z,25,0)</f>
        <v>#N/A</v>
      </c>
    </row>
    <row r="1044" spans="2:22" x14ac:dyDescent="0.25">
      <c r="B1044" s="4">
        <v>30032495</v>
      </c>
      <c r="C1044" s="1" t="s">
        <v>915</v>
      </c>
      <c r="D1044" s="4" t="s">
        <v>89</v>
      </c>
      <c r="E1044" s="3"/>
      <c r="F1044" s="3" t="s">
        <v>105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 t="e">
        <f>VLOOKUP(data[[#This Row],[Material]],'[1]Hoja para mrp'!$A:$Z,26,0)</f>
        <v>#N/A</v>
      </c>
      <c r="V1044" s="1" t="e">
        <f>VLOOKUP(data[[#This Row],[Material]],'[1]Hoja para mrp'!$A:$Z,25,0)</f>
        <v>#N/A</v>
      </c>
    </row>
    <row r="1045" spans="2:22" x14ac:dyDescent="0.25">
      <c r="B1045" s="4">
        <v>30032817</v>
      </c>
      <c r="C1045" s="1" t="s">
        <v>629</v>
      </c>
      <c r="D1045" s="4" t="s">
        <v>89</v>
      </c>
      <c r="E1045" s="3"/>
      <c r="F1045" s="3" t="s">
        <v>69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70</v>
      </c>
      <c r="U1045" s="1" t="e">
        <f>VLOOKUP(data[[#This Row],[Material]],'[1]Hoja para mrp'!$A:$Z,26,0)</f>
        <v>#N/A</v>
      </c>
      <c r="V1045" s="1" t="e">
        <f>VLOOKUP(data[[#This Row],[Material]],'[1]Hoja para mrp'!$A:$Z,25,0)</f>
        <v>#N/A</v>
      </c>
    </row>
    <row r="1046" spans="2:22" x14ac:dyDescent="0.25">
      <c r="B1046" s="4">
        <v>30033307</v>
      </c>
      <c r="C1046" s="1" t="s">
        <v>1456</v>
      </c>
      <c r="D1046" s="4" t="s">
        <v>89</v>
      </c>
      <c r="E1046" s="3"/>
      <c r="F1046" s="3" t="s">
        <v>69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66</v>
      </c>
      <c r="U1046" s="1" t="e">
        <f>VLOOKUP(data[[#This Row],[Material]],'[1]Hoja para mrp'!$A:$Z,26,0)</f>
        <v>#N/A</v>
      </c>
      <c r="V1046" s="1" t="e">
        <f>VLOOKUP(data[[#This Row],[Material]],'[1]Hoja para mrp'!$A:$Z,25,0)</f>
        <v>#N/A</v>
      </c>
    </row>
    <row r="1047" spans="2:22" x14ac:dyDescent="0.25">
      <c r="B1047" s="4">
        <v>30033491</v>
      </c>
      <c r="C1047" s="1" t="s">
        <v>1293</v>
      </c>
      <c r="D1047" s="4" t="s">
        <v>89</v>
      </c>
      <c r="E1047" s="3"/>
      <c r="F1047" s="3" t="s">
        <v>69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73</v>
      </c>
      <c r="U1047" s="1" t="e">
        <f>VLOOKUP(data[[#This Row],[Material]],'[1]Hoja para mrp'!$A:$Z,26,0)</f>
        <v>#N/A</v>
      </c>
      <c r="V1047" s="1" t="e">
        <f>VLOOKUP(data[[#This Row],[Material]],'[1]Hoja para mrp'!$A:$Z,25,0)</f>
        <v>#N/A</v>
      </c>
    </row>
    <row r="1048" spans="2:22" x14ac:dyDescent="0.25">
      <c r="B1048" s="4">
        <v>30033798</v>
      </c>
      <c r="C1048" s="1" t="s">
        <v>1317</v>
      </c>
      <c r="D1048" s="4" t="s">
        <v>89</v>
      </c>
      <c r="E1048" s="3"/>
      <c r="F1048" s="3" t="s">
        <v>69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73</v>
      </c>
      <c r="U1048" s="1" t="e">
        <f>VLOOKUP(data[[#This Row],[Material]],'[1]Hoja para mrp'!$A:$Z,26,0)</f>
        <v>#N/A</v>
      </c>
      <c r="V1048" s="1" t="e">
        <f>VLOOKUP(data[[#This Row],[Material]],'[1]Hoja para mrp'!$A:$Z,25,0)</f>
        <v>#N/A</v>
      </c>
    </row>
    <row r="1049" spans="2:22" x14ac:dyDescent="0.25">
      <c r="B1049" s="4">
        <v>30033806</v>
      </c>
      <c r="C1049" s="1" t="s">
        <v>1318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 t="e">
        <f>VLOOKUP(data[[#This Row],[Material]],'[1]Hoja para mrp'!$A:$Z,26,0)</f>
        <v>#N/A</v>
      </c>
      <c r="V1049" s="1" t="e">
        <f>VLOOKUP(data[[#This Row],[Material]],'[1]Hoja para mrp'!$A:$Z,25,0)</f>
        <v>#N/A</v>
      </c>
    </row>
    <row r="1050" spans="2:22" x14ac:dyDescent="0.25">
      <c r="B1050" s="4">
        <v>30033822</v>
      </c>
      <c r="C1050" s="1" t="s">
        <v>630</v>
      </c>
      <c r="D1050" s="4" t="s">
        <v>89</v>
      </c>
      <c r="E1050" s="3"/>
      <c r="F1050" s="3" t="s">
        <v>69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73</v>
      </c>
      <c r="U1050" s="1" t="e">
        <f>VLOOKUP(data[[#This Row],[Material]],'[1]Hoja para mrp'!$A:$Z,26,0)</f>
        <v>#N/A</v>
      </c>
      <c r="V1050" s="1" t="e">
        <f>VLOOKUP(data[[#This Row],[Material]],'[1]Hoja para mrp'!$A:$Z,25,0)</f>
        <v>#N/A</v>
      </c>
    </row>
    <row r="1051" spans="2:22" x14ac:dyDescent="0.25">
      <c r="B1051" s="4">
        <v>30033823</v>
      </c>
      <c r="C1051" s="1" t="s">
        <v>631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 t="e">
        <f>VLOOKUP(data[[#This Row],[Material]],'[1]Hoja para mrp'!$A:$Z,26,0)</f>
        <v>#N/A</v>
      </c>
      <c r="V1051" s="1" t="e">
        <f>VLOOKUP(data[[#This Row],[Material]],'[1]Hoja para mrp'!$A:$Z,25,0)</f>
        <v>#N/A</v>
      </c>
    </row>
    <row r="1052" spans="2:22" x14ac:dyDescent="0.25">
      <c r="B1052" s="4">
        <v>30033824</v>
      </c>
      <c r="C1052" s="1" t="s">
        <v>632</v>
      </c>
      <c r="D1052" s="4" t="s">
        <v>89</v>
      </c>
      <c r="E1052" s="3"/>
      <c r="F1052" s="3" t="s">
        <v>69</v>
      </c>
      <c r="G1052" s="4">
        <v>2</v>
      </c>
      <c r="H1052" s="4">
        <v>3</v>
      </c>
      <c r="I1052" s="4">
        <v>5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 t="e">
        <f>VLOOKUP(data[[#This Row],[Material]],'[1]Hoja para mrp'!$A:$Z,26,0)</f>
        <v>#N/A</v>
      </c>
      <c r="V1052" s="1" t="e">
        <f>VLOOKUP(data[[#This Row],[Material]],'[1]Hoja para mrp'!$A:$Z,25,0)</f>
        <v>#N/A</v>
      </c>
    </row>
    <row r="1053" spans="2:22" x14ac:dyDescent="0.25">
      <c r="B1053" s="4">
        <v>30033825</v>
      </c>
      <c r="C1053" s="1" t="s">
        <v>633</v>
      </c>
      <c r="D1053" s="4" t="s">
        <v>89</v>
      </c>
      <c r="E1053" s="3"/>
      <c r="F1053" s="3" t="s">
        <v>69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 t="e">
        <f>VLOOKUP(data[[#This Row],[Material]],'[1]Hoja para mrp'!$A:$Z,26,0)</f>
        <v>#N/A</v>
      </c>
      <c r="V1053" s="1" t="e">
        <f>VLOOKUP(data[[#This Row],[Material]],'[1]Hoja para mrp'!$A:$Z,25,0)</f>
        <v>#N/A</v>
      </c>
    </row>
    <row r="1054" spans="2:22" x14ac:dyDescent="0.25">
      <c r="B1054" s="4">
        <v>30033826</v>
      </c>
      <c r="C1054" s="1" t="s">
        <v>634</v>
      </c>
      <c r="D1054" s="4" t="s">
        <v>89</v>
      </c>
      <c r="E1054" s="3"/>
      <c r="F1054" s="3" t="s">
        <v>69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66</v>
      </c>
      <c r="U1054" s="1" t="e">
        <f>VLOOKUP(data[[#This Row],[Material]],'[1]Hoja para mrp'!$A:$Z,26,0)</f>
        <v>#N/A</v>
      </c>
      <c r="V1054" s="1" t="e">
        <f>VLOOKUP(data[[#This Row],[Material]],'[1]Hoja para mrp'!$A:$Z,25,0)</f>
        <v>#N/A</v>
      </c>
    </row>
    <row r="1055" spans="2:22" x14ac:dyDescent="0.25">
      <c r="B1055" s="4">
        <v>30033827</v>
      </c>
      <c r="C1055" s="1" t="s">
        <v>635</v>
      </c>
      <c r="D1055" s="4" t="s">
        <v>89</v>
      </c>
      <c r="E1055" s="3"/>
      <c r="F1055" s="3" t="s">
        <v>69</v>
      </c>
      <c r="G1055" s="4">
        <v>5</v>
      </c>
      <c r="H1055" s="4">
        <v>7</v>
      </c>
      <c r="I1055" s="4">
        <v>11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 t="e">
        <f>VLOOKUP(data[[#This Row],[Material]],'[1]Hoja para mrp'!$A:$Z,26,0)</f>
        <v>#N/A</v>
      </c>
      <c r="V1055" s="1" t="e">
        <f>VLOOKUP(data[[#This Row],[Material]],'[1]Hoja para mrp'!$A:$Z,25,0)</f>
        <v>#N/A</v>
      </c>
    </row>
    <row r="1056" spans="2:22" x14ac:dyDescent="0.25">
      <c r="B1056" s="4">
        <v>30033829</v>
      </c>
      <c r="C1056" s="1" t="s">
        <v>636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73</v>
      </c>
      <c r="U1056" s="1" t="e">
        <f>VLOOKUP(data[[#This Row],[Material]],'[1]Hoja para mrp'!$A:$Z,26,0)</f>
        <v>#N/A</v>
      </c>
      <c r="V1056" s="1" t="e">
        <f>VLOOKUP(data[[#This Row],[Material]],'[1]Hoja para mrp'!$A:$Z,25,0)</f>
        <v>#N/A</v>
      </c>
    </row>
    <row r="1057" spans="2:22" x14ac:dyDescent="0.25">
      <c r="B1057" s="4">
        <v>30033830</v>
      </c>
      <c r="C1057" s="1" t="s">
        <v>637</v>
      </c>
      <c r="D1057" s="4" t="s">
        <v>89</v>
      </c>
      <c r="E1057" s="3"/>
      <c r="F1057" s="3" t="s">
        <v>69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 t="e">
        <f>VLOOKUP(data[[#This Row],[Material]],'[1]Hoja para mrp'!$A:$Z,26,0)</f>
        <v>#N/A</v>
      </c>
      <c r="V1057" s="1" t="e">
        <f>VLOOKUP(data[[#This Row],[Material]],'[1]Hoja para mrp'!$A:$Z,25,0)</f>
        <v>#N/A</v>
      </c>
    </row>
    <row r="1058" spans="2:22" x14ac:dyDescent="0.25">
      <c r="B1058" s="4">
        <v>30033831</v>
      </c>
      <c r="C1058" s="1" t="s">
        <v>638</v>
      </c>
      <c r="D1058" s="4" t="s">
        <v>89</v>
      </c>
      <c r="E1058" s="3"/>
      <c r="F1058" s="3" t="s">
        <v>69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 t="e">
        <f>VLOOKUP(data[[#This Row],[Material]],'[1]Hoja para mrp'!$A:$Z,26,0)</f>
        <v>#N/A</v>
      </c>
      <c r="V1058" s="1" t="e">
        <f>VLOOKUP(data[[#This Row],[Material]],'[1]Hoja para mrp'!$A:$Z,25,0)</f>
        <v>#N/A</v>
      </c>
    </row>
    <row r="1059" spans="2:22" x14ac:dyDescent="0.25">
      <c r="B1059" s="4">
        <v>30033930</v>
      </c>
      <c r="C1059" s="1" t="s">
        <v>916</v>
      </c>
      <c r="D1059" s="4" t="s">
        <v>89</v>
      </c>
      <c r="E1059" s="3" t="s">
        <v>1228</v>
      </c>
      <c r="F1059" s="3" t="s">
        <v>105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1603</v>
      </c>
      <c r="T1059" s="4" t="s">
        <v>67</v>
      </c>
      <c r="U1059" s="1" t="e">
        <f>VLOOKUP(data[[#This Row],[Material]],'[1]Hoja para mrp'!$A:$Z,26,0)</f>
        <v>#N/A</v>
      </c>
      <c r="V1059" s="1" t="e">
        <f>VLOOKUP(data[[#This Row],[Material]],'[1]Hoja para mrp'!$A:$Z,25,0)</f>
        <v>#N/A</v>
      </c>
    </row>
    <row r="1060" spans="2:22" x14ac:dyDescent="0.25">
      <c r="B1060" s="4">
        <v>30033948</v>
      </c>
      <c r="C1060" s="1" t="s">
        <v>639</v>
      </c>
      <c r="D1060" s="4" t="s">
        <v>89</v>
      </c>
      <c r="E1060" s="3"/>
      <c r="F1060" s="3" t="s">
        <v>69</v>
      </c>
      <c r="G1060" s="4">
        <v>2</v>
      </c>
      <c r="H1060" s="4">
        <v>2</v>
      </c>
      <c r="I1060" s="4">
        <v>2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 t="e">
        <f>VLOOKUP(data[[#This Row],[Material]],'[1]Hoja para mrp'!$A:$Z,26,0)</f>
        <v>#N/A</v>
      </c>
      <c r="V1060" s="1" t="e">
        <f>VLOOKUP(data[[#This Row],[Material]],'[1]Hoja para mrp'!$A:$Z,25,0)</f>
        <v>#N/A</v>
      </c>
    </row>
    <row r="1061" spans="2:22" x14ac:dyDescent="0.25">
      <c r="B1061" s="4">
        <v>30034647</v>
      </c>
      <c r="C1061" s="1" t="s">
        <v>1356</v>
      </c>
      <c r="D1061" s="4" t="s">
        <v>89</v>
      </c>
      <c r="E1061" s="3"/>
      <c r="F1061" s="3" t="s">
        <v>69</v>
      </c>
      <c r="G1061" s="4">
        <v>2</v>
      </c>
      <c r="H1061" s="4">
        <v>4</v>
      </c>
      <c r="I1061" s="4">
        <v>4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73</v>
      </c>
      <c r="U1061" s="1" t="e">
        <f>VLOOKUP(data[[#This Row],[Material]],'[1]Hoja para mrp'!$A:$Z,26,0)</f>
        <v>#N/A</v>
      </c>
      <c r="V1061" s="1" t="e">
        <f>VLOOKUP(data[[#This Row],[Material]],'[1]Hoja para mrp'!$A:$Z,25,0)</f>
        <v>#N/A</v>
      </c>
    </row>
    <row r="1062" spans="2:22" x14ac:dyDescent="0.25">
      <c r="B1062" s="4">
        <v>30034648</v>
      </c>
      <c r="C1062" s="1" t="s">
        <v>1319</v>
      </c>
      <c r="D1062" s="4" t="s">
        <v>89</v>
      </c>
      <c r="E1062" s="3"/>
      <c r="F1062" s="3" t="s">
        <v>69</v>
      </c>
      <c r="G1062" s="4">
        <v>2</v>
      </c>
      <c r="H1062" s="4">
        <v>4</v>
      </c>
      <c r="I1062" s="4">
        <v>5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 t="e">
        <f>VLOOKUP(data[[#This Row],[Material]],'[1]Hoja para mrp'!$A:$Z,26,0)</f>
        <v>#N/A</v>
      </c>
      <c r="V1062" s="1" t="e">
        <f>VLOOKUP(data[[#This Row],[Material]],'[1]Hoja para mrp'!$A:$Z,25,0)</f>
        <v>#N/A</v>
      </c>
    </row>
    <row r="1063" spans="2:22" x14ac:dyDescent="0.25">
      <c r="B1063" s="4">
        <v>30035667</v>
      </c>
      <c r="C1063" s="1" t="s">
        <v>1320</v>
      </c>
      <c r="D1063" s="4" t="s">
        <v>89</v>
      </c>
      <c r="E1063" s="3"/>
      <c r="F1063" s="3" t="s">
        <v>69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67</v>
      </c>
      <c r="U1063" s="1" t="e">
        <f>VLOOKUP(data[[#This Row],[Material]],'[1]Hoja para mrp'!$A:$Z,26,0)</f>
        <v>#N/A</v>
      </c>
      <c r="V1063" s="1" t="e">
        <f>VLOOKUP(data[[#This Row],[Material]],'[1]Hoja para mrp'!$A:$Z,25,0)</f>
        <v>#N/A</v>
      </c>
    </row>
    <row r="1064" spans="2:22" x14ac:dyDescent="0.25">
      <c r="B1064" s="4">
        <v>30036125</v>
      </c>
      <c r="C1064" s="1" t="s">
        <v>640</v>
      </c>
      <c r="D1064" s="4" t="s">
        <v>89</v>
      </c>
      <c r="E1064" s="3"/>
      <c r="F1064" s="3" t="s">
        <v>69</v>
      </c>
      <c r="G1064" s="4">
        <v>3</v>
      </c>
      <c r="H1064" s="4">
        <v>4</v>
      </c>
      <c r="I1064" s="4">
        <v>4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 t="e">
        <f>VLOOKUP(data[[#This Row],[Material]],'[1]Hoja para mrp'!$A:$Z,26,0)</f>
        <v>#N/A</v>
      </c>
      <c r="V1064" s="1" t="e">
        <f>VLOOKUP(data[[#This Row],[Material]],'[1]Hoja para mrp'!$A:$Z,25,0)</f>
        <v>#N/A</v>
      </c>
    </row>
    <row r="1065" spans="2:22" x14ac:dyDescent="0.25">
      <c r="B1065" s="4">
        <v>30036258</v>
      </c>
      <c r="C1065" s="1" t="s">
        <v>641</v>
      </c>
      <c r="D1065" s="4" t="s">
        <v>89</v>
      </c>
      <c r="E1065" s="3"/>
      <c r="F1065" s="3" t="s">
        <v>69</v>
      </c>
      <c r="G1065" s="4">
        <v>7</v>
      </c>
      <c r="H1065" s="4">
        <v>4</v>
      </c>
      <c r="I1065" s="4">
        <v>7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74</v>
      </c>
      <c r="U1065" s="1" t="e">
        <f>VLOOKUP(data[[#This Row],[Material]],'[1]Hoja para mrp'!$A:$Z,26,0)</f>
        <v>#N/A</v>
      </c>
      <c r="V1065" s="1" t="e">
        <f>VLOOKUP(data[[#This Row],[Material]],'[1]Hoja para mrp'!$A:$Z,25,0)</f>
        <v>#N/A</v>
      </c>
    </row>
    <row r="1066" spans="2:22" x14ac:dyDescent="0.25">
      <c r="B1066" s="4">
        <v>30036413</v>
      </c>
      <c r="C1066" s="1" t="s">
        <v>1539</v>
      </c>
      <c r="D1066" s="4" t="s">
        <v>89</v>
      </c>
      <c r="E1066" s="3"/>
      <c r="F1066" s="3" t="s">
        <v>69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73</v>
      </c>
      <c r="U1066" s="1" t="e">
        <f>VLOOKUP(data[[#This Row],[Material]],'[1]Hoja para mrp'!$A:$Z,26,0)</f>
        <v>#N/A</v>
      </c>
      <c r="V1066" s="1" t="e">
        <f>VLOOKUP(data[[#This Row],[Material]],'[1]Hoja para mrp'!$A:$Z,25,0)</f>
        <v>#N/A</v>
      </c>
    </row>
    <row r="1067" spans="2:22" x14ac:dyDescent="0.25">
      <c r="B1067" s="4">
        <v>30036418</v>
      </c>
      <c r="C1067" s="1" t="s">
        <v>1540</v>
      </c>
      <c r="D1067" s="4" t="s">
        <v>89</v>
      </c>
      <c r="E1067" s="3"/>
      <c r="F1067" s="3" t="s">
        <v>69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73</v>
      </c>
      <c r="U1067" s="1" t="e">
        <f>VLOOKUP(data[[#This Row],[Material]],'[1]Hoja para mrp'!$A:$Z,26,0)</f>
        <v>#N/A</v>
      </c>
      <c r="V1067" s="1" t="e">
        <f>VLOOKUP(data[[#This Row],[Material]],'[1]Hoja para mrp'!$A:$Z,25,0)</f>
        <v>#N/A</v>
      </c>
    </row>
    <row r="1068" spans="2:22" x14ac:dyDescent="0.25">
      <c r="B1068" s="4">
        <v>30036419</v>
      </c>
      <c r="C1068" s="1" t="s">
        <v>1541</v>
      </c>
      <c r="D1068" s="4" t="s">
        <v>89</v>
      </c>
      <c r="E1068" s="3"/>
      <c r="F1068" s="3" t="s">
        <v>69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 t="e">
        <f>VLOOKUP(data[[#This Row],[Material]],'[1]Hoja para mrp'!$A:$Z,26,0)</f>
        <v>#N/A</v>
      </c>
      <c r="V1068" s="1" t="e">
        <f>VLOOKUP(data[[#This Row],[Material]],'[1]Hoja para mrp'!$A:$Z,25,0)</f>
        <v>#N/A</v>
      </c>
    </row>
    <row r="1069" spans="2:22" x14ac:dyDescent="0.25">
      <c r="B1069" s="4">
        <v>30036425</v>
      </c>
      <c r="C1069" s="1" t="s">
        <v>642</v>
      </c>
      <c r="D1069" s="4" t="s">
        <v>89</v>
      </c>
      <c r="E1069" s="3"/>
      <c r="F1069" s="3" t="s">
        <v>69</v>
      </c>
      <c r="G1069" s="4">
        <v>11</v>
      </c>
      <c r="H1069" s="4">
        <v>10</v>
      </c>
      <c r="I1069" s="4">
        <v>17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68</v>
      </c>
      <c r="U1069" s="1" t="e">
        <f>VLOOKUP(data[[#This Row],[Material]],'[1]Hoja para mrp'!$A:$Z,26,0)</f>
        <v>#N/A</v>
      </c>
      <c r="V1069" s="1" t="e">
        <f>VLOOKUP(data[[#This Row],[Material]],'[1]Hoja para mrp'!$A:$Z,25,0)</f>
        <v>#N/A</v>
      </c>
    </row>
    <row r="1070" spans="2:22" x14ac:dyDescent="0.25">
      <c r="B1070" s="4">
        <v>30036426</v>
      </c>
      <c r="C1070" s="1" t="s">
        <v>1057</v>
      </c>
      <c r="D1070" s="4" t="s">
        <v>89</v>
      </c>
      <c r="E1070" s="3"/>
      <c r="F1070" s="3" t="s">
        <v>69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 t="e">
        <f>VLOOKUP(data[[#This Row],[Material]],'[1]Hoja para mrp'!$A:$Z,26,0)</f>
        <v>#N/A</v>
      </c>
      <c r="V1070" s="1" t="e">
        <f>VLOOKUP(data[[#This Row],[Material]],'[1]Hoja para mrp'!$A:$Z,25,0)</f>
        <v>#N/A</v>
      </c>
    </row>
    <row r="1071" spans="2:22" x14ac:dyDescent="0.25">
      <c r="B1071" s="4">
        <v>30036576</v>
      </c>
      <c r="C1071" s="1" t="s">
        <v>643</v>
      </c>
      <c r="D1071" s="4" t="s">
        <v>89</v>
      </c>
      <c r="E1071" s="3"/>
      <c r="F1071" s="3" t="s">
        <v>69</v>
      </c>
      <c r="G1071" s="4">
        <v>60</v>
      </c>
      <c r="H1071" s="4">
        <v>80</v>
      </c>
      <c r="I1071" s="4">
        <v>114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 t="e">
        <f>VLOOKUP(data[[#This Row],[Material]],'[1]Hoja para mrp'!$A:$Z,26,0)</f>
        <v>#N/A</v>
      </c>
      <c r="V1071" s="1" t="e">
        <f>VLOOKUP(data[[#This Row],[Material]],'[1]Hoja para mrp'!$A:$Z,25,0)</f>
        <v>#N/A</v>
      </c>
    </row>
    <row r="1072" spans="2:22" x14ac:dyDescent="0.25">
      <c r="B1072" s="4">
        <v>30037793</v>
      </c>
      <c r="C1072" s="1" t="s">
        <v>644</v>
      </c>
      <c r="D1072" s="4" t="s">
        <v>89</v>
      </c>
      <c r="E1072" s="3"/>
      <c r="F1072" s="3" t="s">
        <v>69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66</v>
      </c>
      <c r="U1072" s="1" t="e">
        <f>VLOOKUP(data[[#This Row],[Material]],'[1]Hoja para mrp'!$A:$Z,26,0)</f>
        <v>#N/A</v>
      </c>
      <c r="V1072" s="1" t="e">
        <f>VLOOKUP(data[[#This Row],[Material]],'[1]Hoja para mrp'!$A:$Z,25,0)</f>
        <v>#N/A</v>
      </c>
    </row>
    <row r="1073" spans="2:23" x14ac:dyDescent="0.25">
      <c r="B1073" s="4">
        <v>30037797</v>
      </c>
      <c r="C1073" s="1" t="s">
        <v>1058</v>
      </c>
      <c r="D1073" s="4" t="s">
        <v>89</v>
      </c>
      <c r="E1073" s="3"/>
      <c r="F1073" s="3" t="s">
        <v>105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74</v>
      </c>
      <c r="U1073" s="1" t="e">
        <f>VLOOKUP(data[[#This Row],[Material]],'[1]Hoja para mrp'!$A:$Z,26,0)</f>
        <v>#N/A</v>
      </c>
      <c r="V1073" s="1" t="e">
        <f>VLOOKUP(data[[#This Row],[Material]],'[1]Hoja para mrp'!$A:$Z,25,0)</f>
        <v>#N/A</v>
      </c>
    </row>
    <row r="1074" spans="2:23" x14ac:dyDescent="0.25">
      <c r="B1074" s="4">
        <v>30037859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73</v>
      </c>
      <c r="U1074" s="1" t="e">
        <f>VLOOKUP(data[[#This Row],[Material]],'[1]Hoja para mrp'!$A:$Z,26,0)</f>
        <v>#N/A</v>
      </c>
      <c r="V1074" s="1" t="e">
        <f>VLOOKUP(data[[#This Row],[Material]],'[1]Hoja para mrp'!$A:$Z,25,0)</f>
        <v>#N/A</v>
      </c>
    </row>
    <row r="1075" spans="2:23" x14ac:dyDescent="0.25">
      <c r="B1075" s="4">
        <v>30037868</v>
      </c>
      <c r="C1075" s="1" t="s">
        <v>646</v>
      </c>
      <c r="D1075" s="4" t="s">
        <v>89</v>
      </c>
      <c r="E1075" s="3"/>
      <c r="F1075" s="3" t="s">
        <v>69</v>
      </c>
      <c r="G1075" s="4">
        <v>2</v>
      </c>
      <c r="H1075" s="4">
        <v>2</v>
      </c>
      <c r="I1075" s="4">
        <v>3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67</v>
      </c>
      <c r="U1075" s="1" t="e">
        <f>VLOOKUP(data[[#This Row],[Material]],'[1]Hoja para mrp'!$A:$Z,26,0)</f>
        <v>#N/A</v>
      </c>
      <c r="V1075" s="1" t="e">
        <f>VLOOKUP(data[[#This Row],[Material]],'[1]Hoja para mrp'!$A:$Z,25,0)</f>
        <v>#N/A</v>
      </c>
    </row>
    <row r="1076" spans="2:23" x14ac:dyDescent="0.25">
      <c r="B1076" s="4">
        <v>30037869</v>
      </c>
      <c r="C1076" s="1" t="s">
        <v>647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1</v>
      </c>
      <c r="J1076" s="4" t="s">
        <v>8</v>
      </c>
      <c r="K1076" s="4" t="s">
        <v>9</v>
      </c>
      <c r="L1076" s="11" t="s">
        <v>1659</v>
      </c>
      <c r="M1076" s="3"/>
      <c r="N1076"/>
      <c r="O1076" s="4"/>
      <c r="P1076" s="1"/>
      <c r="Q1076" s="22"/>
      <c r="R1076"/>
      <c r="S1076" s="11" t="s">
        <v>1614</v>
      </c>
      <c r="T1076" s="4" t="s">
        <v>67</v>
      </c>
      <c r="U1076" s="1" t="e">
        <f>VLOOKUP(data[[#This Row],[Material]],'[1]Hoja para mrp'!$A:$Z,26,0)</f>
        <v>#N/A</v>
      </c>
      <c r="V1076" s="1" t="e">
        <f>VLOOKUP(data[[#This Row],[Material]],'[1]Hoja para mrp'!$A:$Z,25,0)</f>
        <v>#N/A</v>
      </c>
    </row>
    <row r="1077" spans="2:23" x14ac:dyDescent="0.25">
      <c r="B1077" s="4">
        <v>30037870</v>
      </c>
      <c r="C1077" s="1" t="s">
        <v>648</v>
      </c>
      <c r="D1077" s="4" t="s">
        <v>89</v>
      </c>
      <c r="E1077" s="3"/>
      <c r="F1077" s="3" t="s">
        <v>69</v>
      </c>
      <c r="G1077" s="4">
        <v>3</v>
      </c>
      <c r="H1077" s="4">
        <v>5</v>
      </c>
      <c r="I1077" s="4">
        <v>0</v>
      </c>
      <c r="J1077" s="4" t="s">
        <v>8</v>
      </c>
      <c r="K1077" s="4" t="s">
        <v>13</v>
      </c>
      <c r="L1077" s="11"/>
      <c r="M1077" s="3"/>
      <c r="N1077">
        <v>4502669999</v>
      </c>
      <c r="O1077" s="4">
        <v>8</v>
      </c>
      <c r="P1077" s="1" t="s">
        <v>1425</v>
      </c>
      <c r="Q1077" s="22">
        <v>46181</v>
      </c>
      <c r="R1077"/>
      <c r="S1077" s="11"/>
      <c r="T1077" s="4" t="s">
        <v>67</v>
      </c>
      <c r="U1077" s="1" t="e">
        <f>VLOOKUP(data[[#This Row],[Material]],'[1]Hoja para mrp'!$A:$Z,26,0)</f>
        <v>#N/A</v>
      </c>
      <c r="V1077" s="1" t="e">
        <f>VLOOKUP(data[[#This Row],[Material]],'[1]Hoja para mrp'!$A:$Z,25,0)</f>
        <v>#N/A</v>
      </c>
      <c r="W1077" s="1" t="s">
        <v>1672</v>
      </c>
    </row>
    <row r="1078" spans="2:23" x14ac:dyDescent="0.25">
      <c r="B1078" s="4">
        <v>30038088</v>
      </c>
      <c r="C1078" s="1" t="s">
        <v>1258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2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s="4" t="s">
        <v>67</v>
      </c>
      <c r="U1078" s="1" t="e">
        <f>VLOOKUP(data[[#This Row],[Material]],'[1]Hoja para mrp'!$A:$Z,26,0)</f>
        <v>#N/A</v>
      </c>
      <c r="V1078" s="1" t="e">
        <f>VLOOKUP(data[[#This Row],[Material]],'[1]Hoja para mrp'!$A:$Z,25,0)</f>
        <v>#N/A</v>
      </c>
    </row>
    <row r="1079" spans="2:23" x14ac:dyDescent="0.25">
      <c r="B1079" s="4">
        <v>30038349</v>
      </c>
      <c r="C1079" s="1" t="s">
        <v>1170</v>
      </c>
      <c r="D1079" s="4" t="s">
        <v>89</v>
      </c>
      <c r="E1079" s="3"/>
      <c r="F1079" s="3" t="s">
        <v>105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66</v>
      </c>
      <c r="U1079" s="1" t="e">
        <f>VLOOKUP(data[[#This Row],[Material]],'[1]Hoja para mrp'!$A:$Z,26,0)</f>
        <v>#N/A</v>
      </c>
      <c r="V1079" s="1" t="e">
        <f>VLOOKUP(data[[#This Row],[Material]],'[1]Hoja para mrp'!$A:$Z,25,0)</f>
        <v>#N/A</v>
      </c>
    </row>
    <row r="1080" spans="2:23" x14ac:dyDescent="0.25">
      <c r="B1080" s="4">
        <v>30038358</v>
      </c>
      <c r="C1080" s="1" t="s">
        <v>1512</v>
      </c>
      <c r="D1080" s="4" t="s">
        <v>89</v>
      </c>
      <c r="E1080" s="3"/>
      <c r="F1080" s="3" t="s">
        <v>69</v>
      </c>
      <c r="G1080" s="4">
        <v>6</v>
      </c>
      <c r="H1080" s="4">
        <v>6</v>
      </c>
      <c r="I1080" s="4">
        <v>6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66</v>
      </c>
      <c r="U1080" s="1" t="e">
        <f>VLOOKUP(data[[#This Row],[Material]],'[1]Hoja para mrp'!$A:$Z,26,0)</f>
        <v>#N/A</v>
      </c>
      <c r="V1080" s="1" t="e">
        <f>VLOOKUP(data[[#This Row],[Material]],'[1]Hoja para mrp'!$A:$Z,25,0)</f>
        <v>#N/A</v>
      </c>
    </row>
    <row r="1081" spans="2:23" x14ac:dyDescent="0.25">
      <c r="B1081" s="4">
        <v>30038374</v>
      </c>
      <c r="C1081" s="1" t="s">
        <v>863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 t="str">
        <f>VLOOKUP(data[[#This Row],[Material]],'[1]Hoja para mrp'!$A:$Z,26,0)</f>
        <v>2da compra</v>
      </c>
      <c r="V1081" s="1">
        <f>VLOOKUP(data[[#This Row],[Material]],'[1]Hoja para mrp'!$A:$Z,25,0)</f>
        <v>2</v>
      </c>
    </row>
    <row r="1082" spans="2:23" x14ac:dyDescent="0.25">
      <c r="B1082" s="4">
        <v>30038441</v>
      </c>
      <c r="C1082" s="1" t="s">
        <v>649</v>
      </c>
      <c r="D1082" s="4" t="s">
        <v>89</v>
      </c>
      <c r="E1082" s="3"/>
      <c r="F1082" s="3" t="s">
        <v>69</v>
      </c>
      <c r="G1082" s="4">
        <v>4000</v>
      </c>
      <c r="H1082" s="4">
        <v>4000</v>
      </c>
      <c r="I1082" s="4">
        <v>3725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2875</v>
      </c>
      <c r="P1082" s="1" t="s">
        <v>1509</v>
      </c>
      <c r="Q1082" s="22">
        <v>46115</v>
      </c>
      <c r="R1082"/>
      <c r="S1082" s="11" t="s">
        <v>1605</v>
      </c>
      <c r="T1082" s="4" t="s">
        <v>74</v>
      </c>
      <c r="U1082" s="1" t="e">
        <f>VLOOKUP(data[[#This Row],[Material]],'[1]Hoja para mrp'!$A:$Z,26,0)</f>
        <v>#N/A</v>
      </c>
      <c r="V1082" s="1" t="e">
        <f>VLOOKUP(data[[#This Row],[Material]],'[1]Hoja para mrp'!$A:$Z,25,0)</f>
        <v>#N/A</v>
      </c>
      <c r="W1082" s="1" t="s">
        <v>1689</v>
      </c>
    </row>
    <row r="1083" spans="2:23" x14ac:dyDescent="0.25">
      <c r="B1083" s="4">
        <v>30038471</v>
      </c>
      <c r="C1083" s="1" t="s">
        <v>1321</v>
      </c>
      <c r="D1083" s="4" t="s">
        <v>89</v>
      </c>
      <c r="E1083" s="3"/>
      <c r="F1083" s="3" t="s">
        <v>69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67</v>
      </c>
      <c r="U1083" s="1" t="e">
        <f>VLOOKUP(data[[#This Row],[Material]],'[1]Hoja para mrp'!$A:$Z,26,0)</f>
        <v>#N/A</v>
      </c>
      <c r="V1083" s="1" t="e">
        <f>VLOOKUP(data[[#This Row],[Material]],'[1]Hoja para mrp'!$A:$Z,25,0)</f>
        <v>#N/A</v>
      </c>
    </row>
    <row r="1084" spans="2:23" x14ac:dyDescent="0.25">
      <c r="B1084" s="4">
        <v>30038497</v>
      </c>
      <c r="C1084" s="1" t="s">
        <v>650</v>
      </c>
      <c r="D1084" s="4" t="s">
        <v>89</v>
      </c>
      <c r="E1084" s="3"/>
      <c r="F1084" s="3" t="s">
        <v>69</v>
      </c>
      <c r="G1084" s="4">
        <v>12</v>
      </c>
      <c r="H1084" s="4">
        <v>20</v>
      </c>
      <c r="I1084" s="4">
        <v>18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68</v>
      </c>
      <c r="U1084" s="1" t="e">
        <f>VLOOKUP(data[[#This Row],[Material]],'[1]Hoja para mrp'!$A:$Z,26,0)</f>
        <v>#N/A</v>
      </c>
      <c r="V1084" s="1" t="e">
        <f>VLOOKUP(data[[#This Row],[Material]],'[1]Hoja para mrp'!$A:$Z,25,0)</f>
        <v>#N/A</v>
      </c>
    </row>
    <row r="1085" spans="2:23" x14ac:dyDescent="0.25">
      <c r="B1085" s="4">
        <v>30038525</v>
      </c>
      <c r="C1085" s="1" t="s">
        <v>651</v>
      </c>
      <c r="D1085" s="4" t="s">
        <v>89</v>
      </c>
      <c r="E1085" s="3"/>
      <c r="F1085" s="3" t="s">
        <v>69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 t="e">
        <f>VLOOKUP(data[[#This Row],[Material]],'[1]Hoja para mrp'!$A:$Z,26,0)</f>
        <v>#N/A</v>
      </c>
      <c r="V1085" s="1" t="e">
        <f>VLOOKUP(data[[#This Row],[Material]],'[1]Hoja para mrp'!$A:$Z,25,0)</f>
        <v>#N/A</v>
      </c>
    </row>
    <row r="1086" spans="2:23" x14ac:dyDescent="0.25">
      <c r="B1086" s="4">
        <v>30038526</v>
      </c>
      <c r="C1086" s="1" t="s">
        <v>652</v>
      </c>
      <c r="D1086" s="4" t="s">
        <v>89</v>
      </c>
      <c r="E1086" s="3"/>
      <c r="F1086" s="3" t="s">
        <v>69</v>
      </c>
      <c r="G1086" s="4">
        <v>7</v>
      </c>
      <c r="H1086" s="4">
        <v>12</v>
      </c>
      <c r="I1086" s="4">
        <v>9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71</v>
      </c>
      <c r="U1086" s="1" t="e">
        <f>VLOOKUP(data[[#This Row],[Material]],'[1]Hoja para mrp'!$A:$Z,26,0)</f>
        <v>#N/A</v>
      </c>
      <c r="V1086" s="1" t="e">
        <f>VLOOKUP(data[[#This Row],[Material]],'[1]Hoja para mrp'!$A:$Z,25,0)</f>
        <v>#N/A</v>
      </c>
    </row>
    <row r="1087" spans="2:23" x14ac:dyDescent="0.25">
      <c r="B1087" s="4">
        <v>30039030</v>
      </c>
      <c r="C1087" s="1" t="s">
        <v>1343</v>
      </c>
      <c r="D1087" s="4" t="s">
        <v>89</v>
      </c>
      <c r="E1087" s="3"/>
      <c r="F1087" s="3" t="s">
        <v>69</v>
      </c>
      <c r="G1087" s="4">
        <v>4</v>
      </c>
      <c r="H1087" s="4">
        <v>6</v>
      </c>
      <c r="I1087" s="4">
        <v>6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73</v>
      </c>
      <c r="U1087" s="1" t="e">
        <f>VLOOKUP(data[[#This Row],[Material]],'[1]Hoja para mrp'!$A:$Z,26,0)</f>
        <v>#N/A</v>
      </c>
      <c r="V1087" s="1" t="e">
        <f>VLOOKUP(data[[#This Row],[Material]],'[1]Hoja para mrp'!$A:$Z,25,0)</f>
        <v>#N/A</v>
      </c>
    </row>
    <row r="1088" spans="2:23" x14ac:dyDescent="0.25">
      <c r="B1088" s="4">
        <v>30039031</v>
      </c>
      <c r="C1088" s="1" t="s">
        <v>654</v>
      </c>
      <c r="D1088" s="4" t="s">
        <v>89</v>
      </c>
      <c r="E1088" s="3"/>
      <c r="F1088" s="3" t="s">
        <v>69</v>
      </c>
      <c r="G1088" s="4">
        <v>2</v>
      </c>
      <c r="H1088" s="4">
        <v>1</v>
      </c>
      <c r="I1088" s="4">
        <v>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73</v>
      </c>
      <c r="U1088" s="1" t="e">
        <f>VLOOKUP(data[[#This Row],[Material]],'[1]Hoja para mrp'!$A:$Z,26,0)</f>
        <v>#N/A</v>
      </c>
      <c r="V1088" s="1" t="e">
        <f>VLOOKUP(data[[#This Row],[Material]],'[1]Hoja para mrp'!$A:$Z,25,0)</f>
        <v>#N/A</v>
      </c>
    </row>
    <row r="1089" spans="2:23" x14ac:dyDescent="0.25">
      <c r="B1089" s="4">
        <v>30039035</v>
      </c>
      <c r="C1089" s="1" t="s">
        <v>655</v>
      </c>
      <c r="D1089" s="4" t="s">
        <v>89</v>
      </c>
      <c r="E1089" s="3"/>
      <c r="F1089" s="3" t="s">
        <v>69</v>
      </c>
      <c r="G1089" s="4">
        <v>2</v>
      </c>
      <c r="H1089" s="4">
        <v>4</v>
      </c>
      <c r="I1089" s="4">
        <v>0</v>
      </c>
      <c r="J1089" s="4" t="s">
        <v>8</v>
      </c>
      <c r="K1089" s="4" t="s">
        <v>13</v>
      </c>
      <c r="L1089" s="11"/>
      <c r="M1089" s="3"/>
      <c r="N1089">
        <v>4502511982</v>
      </c>
      <c r="O1089" s="4">
        <v>4</v>
      </c>
      <c r="P1089" s="1" t="s">
        <v>1399</v>
      </c>
      <c r="Q1089" s="22">
        <v>45743</v>
      </c>
      <c r="R1089"/>
      <c r="S1089" s="11" t="s">
        <v>1613</v>
      </c>
      <c r="T1089" s="4" t="s">
        <v>66</v>
      </c>
      <c r="U1089" s="1" t="e">
        <f>VLOOKUP(data[[#This Row],[Material]],'[1]Hoja para mrp'!$A:$Z,26,0)</f>
        <v>#N/A</v>
      </c>
      <c r="V1089" s="1" t="e">
        <f>VLOOKUP(data[[#This Row],[Material]],'[1]Hoja para mrp'!$A:$Z,25,0)</f>
        <v>#N/A</v>
      </c>
      <c r="W1089" s="1" t="s">
        <v>1676</v>
      </c>
    </row>
    <row r="1090" spans="2:23" x14ac:dyDescent="0.25">
      <c r="B1090" s="4">
        <v>30039144</v>
      </c>
      <c r="C1090" s="1" t="s">
        <v>864</v>
      </c>
      <c r="D1090" s="4" t="s">
        <v>89</v>
      </c>
      <c r="E1090" s="3"/>
      <c r="F1090" s="3" t="s">
        <v>105</v>
      </c>
      <c r="G1090" s="4">
        <v>1</v>
      </c>
      <c r="H1090" s="4">
        <v>2</v>
      </c>
      <c r="I1090" s="4">
        <v>3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74</v>
      </c>
      <c r="U1090" s="1" t="e">
        <f>VLOOKUP(data[[#This Row],[Material]],'[1]Hoja para mrp'!$A:$Z,26,0)</f>
        <v>#N/A</v>
      </c>
      <c r="V1090" s="1" t="e">
        <f>VLOOKUP(data[[#This Row],[Material]],'[1]Hoja para mrp'!$A:$Z,25,0)</f>
        <v>#N/A</v>
      </c>
    </row>
    <row r="1091" spans="2:23" x14ac:dyDescent="0.25">
      <c r="B1091" s="4">
        <v>30039193</v>
      </c>
      <c r="C1091" s="1" t="s">
        <v>917</v>
      </c>
      <c r="D1091" s="4" t="s">
        <v>89</v>
      </c>
      <c r="E1091" s="3" t="s">
        <v>1228</v>
      </c>
      <c r="F1091" s="3" t="s">
        <v>105</v>
      </c>
      <c r="G1091" s="4">
        <v>2</v>
      </c>
      <c r="H1091" s="4">
        <v>2</v>
      </c>
      <c r="I1091" s="4">
        <v>0</v>
      </c>
      <c r="J1091" s="4" t="s">
        <v>8</v>
      </c>
      <c r="K1091" s="4" t="s">
        <v>13</v>
      </c>
      <c r="L1091" s="11" t="s">
        <v>1659</v>
      </c>
      <c r="M1091" s="3"/>
      <c r="N1091"/>
      <c r="O1091" s="4"/>
      <c r="P1091" s="1"/>
      <c r="Q1091" s="22"/>
      <c r="R1091"/>
      <c r="S1091" s="11" t="s">
        <v>1603</v>
      </c>
      <c r="T1091" s="4" t="s">
        <v>67</v>
      </c>
      <c r="U1091" s="1" t="e">
        <f>VLOOKUP(data[[#This Row],[Material]],'[1]Hoja para mrp'!$A:$Z,26,0)</f>
        <v>#N/A</v>
      </c>
      <c r="V1091" s="1" t="e">
        <f>VLOOKUP(data[[#This Row],[Material]],'[1]Hoja para mrp'!$A:$Z,25,0)</f>
        <v>#N/A</v>
      </c>
    </row>
    <row r="1092" spans="2:23" x14ac:dyDescent="0.25">
      <c r="B1092" s="4">
        <v>30039344</v>
      </c>
      <c r="C1092" s="1" t="s">
        <v>1421</v>
      </c>
      <c r="D1092" s="4" t="s">
        <v>89</v>
      </c>
      <c r="E1092" s="3"/>
      <c r="F1092" s="3" t="s">
        <v>69</v>
      </c>
      <c r="G1092" s="4">
        <v>1</v>
      </c>
      <c r="H1092" s="4">
        <v>2</v>
      </c>
      <c r="I1092" s="4">
        <v>4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s="4" t="s">
        <v>67</v>
      </c>
      <c r="U1092" s="1" t="e">
        <f>VLOOKUP(data[[#This Row],[Material]],'[1]Hoja para mrp'!$A:$Z,26,0)</f>
        <v>#N/A</v>
      </c>
      <c r="V1092" s="1" t="e">
        <f>VLOOKUP(data[[#This Row],[Material]],'[1]Hoja para mrp'!$A:$Z,25,0)</f>
        <v>#N/A</v>
      </c>
    </row>
    <row r="1093" spans="2:23" x14ac:dyDescent="0.25">
      <c r="B1093" s="4">
        <v>30039698</v>
      </c>
      <c r="C1093" s="1" t="s">
        <v>656</v>
      </c>
      <c r="D1093" s="4" t="s">
        <v>89</v>
      </c>
      <c r="E1093" s="3"/>
      <c r="F1093" s="3" t="s">
        <v>69</v>
      </c>
      <c r="G1093" s="4">
        <v>2</v>
      </c>
      <c r="H1093" s="4">
        <v>3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s="4" t="s">
        <v>73</v>
      </c>
      <c r="U1093" s="1" t="e">
        <f>VLOOKUP(data[[#This Row],[Material]],'[1]Hoja para mrp'!$A:$Z,26,0)</f>
        <v>#N/A</v>
      </c>
      <c r="V1093" s="1" t="e">
        <f>VLOOKUP(data[[#This Row],[Material]],'[1]Hoja para mrp'!$A:$Z,25,0)</f>
        <v>#N/A</v>
      </c>
    </row>
    <row r="1094" spans="2:23" x14ac:dyDescent="0.25">
      <c r="B1094" s="4">
        <v>30039710</v>
      </c>
      <c r="C1094" s="1" t="s">
        <v>657</v>
      </c>
      <c r="D1094" s="4" t="s">
        <v>89</v>
      </c>
      <c r="E1094" s="3"/>
      <c r="F1094" s="3" t="s">
        <v>69</v>
      </c>
      <c r="G1094" s="4">
        <v>4</v>
      </c>
      <c r="H1094" s="4">
        <v>7</v>
      </c>
      <c r="I1094" s="4">
        <v>7</v>
      </c>
      <c r="J1094" s="4" t="s">
        <v>8</v>
      </c>
      <c r="K1094" s="4" t="s">
        <v>7</v>
      </c>
      <c r="L1094" s="11"/>
      <c r="M1094" s="3"/>
      <c r="N1094">
        <v>4502682357</v>
      </c>
      <c r="O1094" s="4">
        <v>3</v>
      </c>
      <c r="P1094" s="1" t="s">
        <v>1522</v>
      </c>
      <c r="Q1094" s="22">
        <v>46224</v>
      </c>
      <c r="R1094"/>
      <c r="S1094" s="11"/>
      <c r="T1094" s="4" t="s">
        <v>73</v>
      </c>
      <c r="U1094" s="1" t="e">
        <f>VLOOKUP(data[[#This Row],[Material]],'[1]Hoja para mrp'!$A:$Z,26,0)</f>
        <v>#N/A</v>
      </c>
      <c r="V1094" s="1" t="e">
        <f>VLOOKUP(data[[#This Row],[Material]],'[1]Hoja para mrp'!$A:$Z,25,0)</f>
        <v>#N/A</v>
      </c>
    </row>
    <row r="1095" spans="2:23" x14ac:dyDescent="0.25">
      <c r="B1095" s="4">
        <v>30039711</v>
      </c>
      <c r="C1095" s="1" t="s">
        <v>658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 t="e">
        <f>VLOOKUP(data[[#This Row],[Material]],'[1]Hoja para mrp'!$A:$Z,26,0)</f>
        <v>#N/A</v>
      </c>
      <c r="V1095" s="1" t="e">
        <f>VLOOKUP(data[[#This Row],[Material]],'[1]Hoja para mrp'!$A:$Z,25,0)</f>
        <v>#N/A</v>
      </c>
    </row>
    <row r="1096" spans="2:23" x14ac:dyDescent="0.25">
      <c r="B1096" s="4">
        <v>30039714</v>
      </c>
      <c r="C1096" s="1" t="s">
        <v>659</v>
      </c>
      <c r="D1096" s="4" t="s">
        <v>89</v>
      </c>
      <c r="E1096" s="3"/>
      <c r="F1096" s="3" t="s">
        <v>69</v>
      </c>
      <c r="G1096" s="4">
        <v>10</v>
      </c>
      <c r="H1096" s="4">
        <v>6</v>
      </c>
      <c r="I1096" s="4">
        <v>9</v>
      </c>
      <c r="J1096" s="4" t="s">
        <v>8</v>
      </c>
      <c r="K1096" s="4" t="s">
        <v>9</v>
      </c>
      <c r="L1096" s="11">
        <v>1002637281</v>
      </c>
      <c r="M1096" s="3">
        <v>6</v>
      </c>
      <c r="N1096">
        <v>4502682357</v>
      </c>
      <c r="O1096" s="4">
        <v>20</v>
      </c>
      <c r="P1096" s="1" t="s">
        <v>1522</v>
      </c>
      <c r="Q1096" s="22">
        <v>46224</v>
      </c>
      <c r="R1096"/>
      <c r="S1096" s="11"/>
      <c r="T1096" s="4" t="s">
        <v>73</v>
      </c>
      <c r="U1096" s="1" t="e">
        <f>VLOOKUP(data[[#This Row],[Material]],'[1]Hoja para mrp'!$A:$Z,26,0)</f>
        <v>#N/A</v>
      </c>
      <c r="V1096" s="1" t="e">
        <f>VLOOKUP(data[[#This Row],[Material]],'[1]Hoja para mrp'!$A:$Z,25,0)</f>
        <v>#N/A</v>
      </c>
    </row>
    <row r="1097" spans="2:23" x14ac:dyDescent="0.25">
      <c r="B1097" s="4">
        <v>30039715</v>
      </c>
      <c r="C1097" s="1" t="s">
        <v>660</v>
      </c>
      <c r="D1097" s="4" t="s">
        <v>89</v>
      </c>
      <c r="E1097" s="3"/>
      <c r="F1097" s="3" t="s">
        <v>69</v>
      </c>
      <c r="G1097" s="4">
        <v>3</v>
      </c>
      <c r="H1097" s="4">
        <v>5</v>
      </c>
      <c r="I1097" s="4">
        <v>3</v>
      </c>
      <c r="J1097" s="4" t="s">
        <v>8</v>
      </c>
      <c r="K1097" s="4" t="s">
        <v>7</v>
      </c>
      <c r="L1097" s="11"/>
      <c r="M1097" s="3"/>
      <c r="N1097">
        <v>4502682357</v>
      </c>
      <c r="O1097" s="4">
        <v>7</v>
      </c>
      <c r="P1097" s="1" t="s">
        <v>1522</v>
      </c>
      <c r="Q1097" s="22">
        <v>46224</v>
      </c>
      <c r="R1097"/>
      <c r="S1097" s="11"/>
      <c r="T1097" s="4" t="s">
        <v>73</v>
      </c>
      <c r="U1097" s="1" t="e">
        <f>VLOOKUP(data[[#This Row],[Material]],'[1]Hoja para mrp'!$A:$Z,26,0)</f>
        <v>#N/A</v>
      </c>
      <c r="V1097" s="1" t="e">
        <f>VLOOKUP(data[[#This Row],[Material]],'[1]Hoja para mrp'!$A:$Z,25,0)</f>
        <v>#N/A</v>
      </c>
    </row>
    <row r="1098" spans="2:23" x14ac:dyDescent="0.25">
      <c r="B1098" s="4">
        <v>30039716</v>
      </c>
      <c r="C1098" s="1" t="s">
        <v>661</v>
      </c>
      <c r="D1098" s="4" t="s">
        <v>89</v>
      </c>
      <c r="E1098" s="3"/>
      <c r="F1098" s="3" t="s">
        <v>69</v>
      </c>
      <c r="G1098" s="4">
        <v>5</v>
      </c>
      <c r="H1098" s="4">
        <v>10</v>
      </c>
      <c r="I1098" s="4">
        <v>6</v>
      </c>
      <c r="J1098" s="4" t="s">
        <v>8</v>
      </c>
      <c r="K1098" s="4" t="s">
        <v>7</v>
      </c>
      <c r="L1098" s="64"/>
      <c r="M1098" s="3"/>
      <c r="N1098">
        <v>4502682357</v>
      </c>
      <c r="O1098" s="4">
        <v>6</v>
      </c>
      <c r="P1098" s="1" t="s">
        <v>1522</v>
      </c>
      <c r="Q1098" s="22">
        <v>46224</v>
      </c>
      <c r="R1098"/>
      <c r="S1098" s="11"/>
      <c r="T1098" s="4" t="s">
        <v>73</v>
      </c>
      <c r="U1098" s="1" t="e">
        <f>VLOOKUP(data[[#This Row],[Material]],'[1]Hoja para mrp'!$A:$Z,26,0)</f>
        <v>#N/A</v>
      </c>
      <c r="V1098" s="1" t="e">
        <f>VLOOKUP(data[[#This Row],[Material]],'[1]Hoja para mrp'!$A:$Z,25,0)</f>
        <v>#N/A</v>
      </c>
    </row>
    <row r="1099" spans="2:23" x14ac:dyDescent="0.25">
      <c r="B1099" s="4">
        <v>30039717</v>
      </c>
      <c r="C1099" s="1" t="s">
        <v>662</v>
      </c>
      <c r="D1099" s="4" t="s">
        <v>89</v>
      </c>
      <c r="E1099" s="3"/>
      <c r="F1099" s="3" t="s">
        <v>69</v>
      </c>
      <c r="G1099" s="4">
        <v>7</v>
      </c>
      <c r="H1099" s="4">
        <v>12</v>
      </c>
      <c r="I1099" s="4">
        <v>12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 t="e">
        <f>VLOOKUP(data[[#This Row],[Material]],'[1]Hoja para mrp'!$A:$Z,26,0)</f>
        <v>#N/A</v>
      </c>
      <c r="V1099" s="1" t="e">
        <f>VLOOKUP(data[[#This Row],[Material]],'[1]Hoja para mrp'!$A:$Z,25,0)</f>
        <v>#N/A</v>
      </c>
    </row>
    <row r="1100" spans="2:23" x14ac:dyDescent="0.25">
      <c r="B1100" s="4">
        <v>30039718</v>
      </c>
      <c r="C1100" s="1" t="s">
        <v>663</v>
      </c>
      <c r="D1100" s="4" t="s">
        <v>89</v>
      </c>
      <c r="E1100" s="3"/>
      <c r="F1100" s="3" t="s">
        <v>69</v>
      </c>
      <c r="G1100" s="4">
        <v>3</v>
      </c>
      <c r="H1100" s="4">
        <v>5</v>
      </c>
      <c r="I1100" s="4">
        <v>3</v>
      </c>
      <c r="J1100" s="4" t="s">
        <v>8</v>
      </c>
      <c r="K1100" s="4" t="s">
        <v>7</v>
      </c>
      <c r="L1100" s="11"/>
      <c r="M1100" s="3"/>
      <c r="N1100">
        <v>4502682357</v>
      </c>
      <c r="O1100" s="4">
        <v>20</v>
      </c>
      <c r="P1100" s="1" t="s">
        <v>1522</v>
      </c>
      <c r="Q1100" s="22">
        <v>46224</v>
      </c>
      <c r="R1100"/>
      <c r="S1100" s="11"/>
      <c r="T1100" s="4" t="s">
        <v>73</v>
      </c>
      <c r="U1100" s="1" t="e">
        <f>VLOOKUP(data[[#This Row],[Material]],'[1]Hoja para mrp'!$A:$Z,26,0)</f>
        <v>#N/A</v>
      </c>
      <c r="V1100" s="1" t="e">
        <f>VLOOKUP(data[[#This Row],[Material]],'[1]Hoja para mrp'!$A:$Z,25,0)</f>
        <v>#N/A</v>
      </c>
    </row>
    <row r="1101" spans="2:23" x14ac:dyDescent="0.25">
      <c r="B1101" s="4">
        <v>30039719</v>
      </c>
      <c r="C1101" s="1" t="s">
        <v>1271</v>
      </c>
      <c r="D1101" s="4" t="s">
        <v>89</v>
      </c>
      <c r="E1101" s="3"/>
      <c r="F1101" s="3" t="s">
        <v>69</v>
      </c>
      <c r="G1101" s="4">
        <v>5</v>
      </c>
      <c r="H1101" s="4">
        <v>8</v>
      </c>
      <c r="I1101" s="4">
        <v>0</v>
      </c>
      <c r="J1101" s="4" t="s">
        <v>8</v>
      </c>
      <c r="K1101" s="4" t="s">
        <v>13</v>
      </c>
      <c r="L1101" s="11"/>
      <c r="M1101" s="3"/>
      <c r="N1101">
        <v>4502682357</v>
      </c>
      <c r="O1101" s="4">
        <v>6</v>
      </c>
      <c r="P1101" s="1" t="s">
        <v>1522</v>
      </c>
      <c r="Q1101" s="22">
        <v>46224</v>
      </c>
      <c r="R1101"/>
      <c r="S1101" s="11"/>
      <c r="T1101" s="4" t="s">
        <v>73</v>
      </c>
      <c r="U1101" s="1" t="e">
        <f>VLOOKUP(data[[#This Row],[Material]],'[1]Hoja para mrp'!$A:$Z,26,0)</f>
        <v>#N/A</v>
      </c>
      <c r="V1101" s="1" t="e">
        <f>VLOOKUP(data[[#This Row],[Material]],'[1]Hoja para mrp'!$A:$Z,25,0)</f>
        <v>#N/A</v>
      </c>
    </row>
    <row r="1102" spans="2:23" x14ac:dyDescent="0.25">
      <c r="B1102" s="4">
        <v>30039720</v>
      </c>
      <c r="C1102" s="1" t="s">
        <v>664</v>
      </c>
      <c r="D1102" s="4" t="s">
        <v>89</v>
      </c>
      <c r="E1102" s="3"/>
      <c r="F1102" s="3" t="s">
        <v>69</v>
      </c>
      <c r="G1102" s="4">
        <v>4</v>
      </c>
      <c r="H1102" s="4">
        <v>7</v>
      </c>
      <c r="I1102" s="4">
        <v>22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 t="e">
        <f>VLOOKUP(data[[#This Row],[Material]],'[1]Hoja para mrp'!$A:$Z,26,0)</f>
        <v>#N/A</v>
      </c>
      <c r="V1102" s="1" t="e">
        <f>VLOOKUP(data[[#This Row],[Material]],'[1]Hoja para mrp'!$A:$Z,25,0)</f>
        <v>#N/A</v>
      </c>
    </row>
    <row r="1103" spans="2:23" x14ac:dyDescent="0.25">
      <c r="B1103" s="4">
        <v>30039721</v>
      </c>
      <c r="C1103" s="1" t="s">
        <v>665</v>
      </c>
      <c r="D1103" s="4" t="s">
        <v>89</v>
      </c>
      <c r="E1103" s="3"/>
      <c r="F1103" s="3" t="s">
        <v>69</v>
      </c>
      <c r="G1103" s="4">
        <v>10</v>
      </c>
      <c r="H1103" s="4">
        <v>6</v>
      </c>
      <c r="I1103" s="4">
        <v>9</v>
      </c>
      <c r="J1103" s="4" t="s">
        <v>8</v>
      </c>
      <c r="K1103" s="4" t="s">
        <v>9</v>
      </c>
      <c r="L1103" s="11"/>
      <c r="M1103" s="3"/>
      <c r="N1103">
        <v>4502682357</v>
      </c>
      <c r="O1103" s="4">
        <v>20</v>
      </c>
      <c r="P1103" s="1" t="s">
        <v>1522</v>
      </c>
      <c r="Q1103" s="22">
        <v>46224</v>
      </c>
      <c r="R1103"/>
      <c r="S1103" s="11"/>
      <c r="T1103" s="4" t="s">
        <v>73</v>
      </c>
      <c r="U1103" s="1" t="e">
        <f>VLOOKUP(data[[#This Row],[Material]],'[1]Hoja para mrp'!$A:$Z,26,0)</f>
        <v>#N/A</v>
      </c>
      <c r="V1103" s="1" t="e">
        <f>VLOOKUP(data[[#This Row],[Material]],'[1]Hoja para mrp'!$A:$Z,25,0)</f>
        <v>#N/A</v>
      </c>
    </row>
    <row r="1104" spans="2:23" x14ac:dyDescent="0.25">
      <c r="B1104" s="4">
        <v>30039722</v>
      </c>
      <c r="C1104" s="1" t="s">
        <v>666</v>
      </c>
      <c r="D1104" s="4" t="s">
        <v>89</v>
      </c>
      <c r="E1104" s="3"/>
      <c r="F1104" s="3" t="s">
        <v>69</v>
      </c>
      <c r="G1104" s="4">
        <v>8</v>
      </c>
      <c r="H1104" s="4">
        <v>8</v>
      </c>
      <c r="I1104" s="4">
        <v>9</v>
      </c>
      <c r="J1104" s="4" t="s">
        <v>8</v>
      </c>
      <c r="K1104" s="4" t="s">
        <v>7</v>
      </c>
      <c r="L1104" s="64"/>
      <c r="M1104" s="3"/>
      <c r="N1104">
        <v>4502682357</v>
      </c>
      <c r="O1104" s="4">
        <v>20</v>
      </c>
      <c r="P1104" s="1" t="s">
        <v>1522</v>
      </c>
      <c r="Q1104" s="22">
        <v>46224</v>
      </c>
      <c r="R1104"/>
      <c r="S1104" s="11"/>
      <c r="T1104" s="4" t="s">
        <v>73</v>
      </c>
      <c r="U1104" s="1" t="e">
        <f>VLOOKUP(data[[#This Row],[Material]],'[1]Hoja para mrp'!$A:$Z,26,0)</f>
        <v>#N/A</v>
      </c>
      <c r="V1104" s="1" t="e">
        <f>VLOOKUP(data[[#This Row],[Material]],'[1]Hoja para mrp'!$A:$Z,25,0)</f>
        <v>#N/A</v>
      </c>
    </row>
    <row r="1105" spans="2:22" x14ac:dyDescent="0.25">
      <c r="B1105" s="4">
        <v>30039723</v>
      </c>
      <c r="C1105" s="1" t="s">
        <v>667</v>
      </c>
      <c r="D1105" s="4" t="s">
        <v>89</v>
      </c>
      <c r="E1105" s="3"/>
      <c r="F1105" s="3" t="s">
        <v>69</v>
      </c>
      <c r="G1105" s="4">
        <v>15</v>
      </c>
      <c r="H1105" s="4">
        <v>20</v>
      </c>
      <c r="I1105" s="4">
        <v>31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73</v>
      </c>
      <c r="U1105" s="1" t="e">
        <f>VLOOKUP(data[[#This Row],[Material]],'[1]Hoja para mrp'!$A:$Z,26,0)</f>
        <v>#N/A</v>
      </c>
      <c r="V1105" s="1" t="e">
        <f>VLOOKUP(data[[#This Row],[Material]],'[1]Hoja para mrp'!$A:$Z,25,0)</f>
        <v>#N/A</v>
      </c>
    </row>
    <row r="1106" spans="2:22" x14ac:dyDescent="0.25">
      <c r="B1106" s="4">
        <v>30039724</v>
      </c>
      <c r="C1106" s="1" t="s">
        <v>668</v>
      </c>
      <c r="D1106" s="4" t="s">
        <v>89</v>
      </c>
      <c r="E1106" s="3"/>
      <c r="F1106" s="3" t="s">
        <v>69</v>
      </c>
      <c r="G1106" s="4">
        <v>15</v>
      </c>
      <c r="H1106" s="4">
        <v>20</v>
      </c>
      <c r="I1106" s="4">
        <v>32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73</v>
      </c>
      <c r="U1106" s="1" t="e">
        <f>VLOOKUP(data[[#This Row],[Material]],'[1]Hoja para mrp'!$A:$Z,26,0)</f>
        <v>#N/A</v>
      </c>
      <c r="V1106" s="1" t="e">
        <f>VLOOKUP(data[[#This Row],[Material]],'[1]Hoja para mrp'!$A:$Z,25,0)</f>
        <v>#N/A</v>
      </c>
    </row>
    <row r="1107" spans="2:22" x14ac:dyDescent="0.25">
      <c r="B1107" s="4">
        <v>30039725</v>
      </c>
      <c r="C1107" s="1" t="s">
        <v>669</v>
      </c>
      <c r="D1107" s="4" t="s">
        <v>89</v>
      </c>
      <c r="E1107" s="3"/>
      <c r="F1107" s="3" t="s">
        <v>69</v>
      </c>
      <c r="G1107" s="4">
        <v>8</v>
      </c>
      <c r="H1107" s="4">
        <v>8</v>
      </c>
      <c r="I1107" s="4">
        <v>12</v>
      </c>
      <c r="J1107" s="4" t="s">
        <v>8</v>
      </c>
      <c r="K1107" s="4" t="s">
        <v>7</v>
      </c>
      <c r="L1107" s="11"/>
      <c r="M1107" s="3"/>
      <c r="N1107">
        <v>4502682357</v>
      </c>
      <c r="O1107" s="4">
        <v>20</v>
      </c>
      <c r="P1107" s="1" t="s">
        <v>1522</v>
      </c>
      <c r="Q1107" s="22">
        <v>46224</v>
      </c>
      <c r="R1107"/>
      <c r="S1107" s="11"/>
      <c r="T1107" s="4" t="s">
        <v>73</v>
      </c>
      <c r="U1107" s="1" t="e">
        <f>VLOOKUP(data[[#This Row],[Material]],'[1]Hoja para mrp'!$A:$Z,26,0)</f>
        <v>#N/A</v>
      </c>
      <c r="V1107" s="1" t="e">
        <f>VLOOKUP(data[[#This Row],[Material]],'[1]Hoja para mrp'!$A:$Z,25,0)</f>
        <v>#N/A</v>
      </c>
    </row>
    <row r="1108" spans="2:22" x14ac:dyDescent="0.25">
      <c r="B1108" s="4">
        <v>30039857</v>
      </c>
      <c r="C1108" s="1" t="s">
        <v>670</v>
      </c>
      <c r="D1108" s="4" t="s">
        <v>89</v>
      </c>
      <c r="E1108" s="3"/>
      <c r="F1108" s="3" t="s">
        <v>69</v>
      </c>
      <c r="G1108" s="4">
        <v>30</v>
      </c>
      <c r="H1108" s="4">
        <v>50</v>
      </c>
      <c r="I1108" s="4">
        <v>185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s="4" t="s">
        <v>66</v>
      </c>
      <c r="U1108" s="1" t="e">
        <f>VLOOKUP(data[[#This Row],[Material]],'[1]Hoja para mrp'!$A:$Z,26,0)</f>
        <v>#N/A</v>
      </c>
      <c r="V1108" s="1" t="e">
        <f>VLOOKUP(data[[#This Row],[Material]],'[1]Hoja para mrp'!$A:$Z,25,0)</f>
        <v>#N/A</v>
      </c>
    </row>
    <row r="1109" spans="2:22" x14ac:dyDescent="0.25">
      <c r="B1109" s="4">
        <v>30040054</v>
      </c>
      <c r="C1109" s="1" t="s">
        <v>671</v>
      </c>
      <c r="D1109" s="4" t="s">
        <v>89</v>
      </c>
      <c r="E1109" s="3"/>
      <c r="F1109" s="3" t="s">
        <v>69</v>
      </c>
      <c r="G1109" s="4">
        <v>30</v>
      </c>
      <c r="H1109" s="4">
        <v>50</v>
      </c>
      <c r="I1109" s="4">
        <v>16</v>
      </c>
      <c r="J1109" s="4" t="s">
        <v>8</v>
      </c>
      <c r="K1109" s="4" t="s">
        <v>9</v>
      </c>
      <c r="L1109" s="11"/>
      <c r="M1109" s="3"/>
      <c r="N1109">
        <v>4502688873</v>
      </c>
      <c r="O1109" s="4">
        <v>60</v>
      </c>
      <c r="P1109" s="1" t="s">
        <v>1572</v>
      </c>
      <c r="Q1109" s="22">
        <v>46186</v>
      </c>
      <c r="R1109"/>
      <c r="S1109" s="11"/>
      <c r="T1109" s="4" t="s">
        <v>71</v>
      </c>
      <c r="U1109" s="1" t="e">
        <f>VLOOKUP(data[[#This Row],[Material]],'[1]Hoja para mrp'!$A:$Z,26,0)</f>
        <v>#N/A</v>
      </c>
      <c r="V1109" s="1" t="e">
        <f>VLOOKUP(data[[#This Row],[Material]],'[1]Hoja para mrp'!$A:$Z,25,0)</f>
        <v>#N/A</v>
      </c>
    </row>
    <row r="1110" spans="2:22" x14ac:dyDescent="0.25">
      <c r="B1110" s="4">
        <v>30040061</v>
      </c>
      <c r="C1110" s="1" t="s">
        <v>672</v>
      </c>
      <c r="D1110" s="4" t="s">
        <v>89</v>
      </c>
      <c r="E1110" s="3"/>
      <c r="F1110" s="3" t="s">
        <v>69</v>
      </c>
      <c r="G1110" s="4">
        <v>10</v>
      </c>
      <c r="H1110" s="4">
        <v>10</v>
      </c>
      <c r="I1110" s="4">
        <v>16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s="4" t="s">
        <v>73</v>
      </c>
      <c r="U1110" s="1" t="e">
        <f>VLOOKUP(data[[#This Row],[Material]],'[1]Hoja para mrp'!$A:$Z,26,0)</f>
        <v>#N/A</v>
      </c>
      <c r="V1110" s="1" t="e">
        <f>VLOOKUP(data[[#This Row],[Material]],'[1]Hoja para mrp'!$A:$Z,25,0)</f>
        <v>#N/A</v>
      </c>
    </row>
    <row r="1111" spans="2:22" x14ac:dyDescent="0.25">
      <c r="B1111" s="4">
        <v>30040066</v>
      </c>
      <c r="C1111" s="1" t="s">
        <v>673</v>
      </c>
      <c r="D1111" s="4" t="s">
        <v>89</v>
      </c>
      <c r="E1111" s="3"/>
      <c r="F1111" s="3" t="s">
        <v>69</v>
      </c>
      <c r="G1111" s="4">
        <v>2</v>
      </c>
      <c r="H1111" s="4">
        <v>2</v>
      </c>
      <c r="I1111" s="4">
        <v>1</v>
      </c>
      <c r="J1111" s="4" t="s">
        <v>8</v>
      </c>
      <c r="K1111" s="4" t="s">
        <v>9</v>
      </c>
      <c r="L1111" s="11"/>
      <c r="M1111" s="3"/>
      <c r="N1111">
        <v>4502675200</v>
      </c>
      <c r="O1111" s="4">
        <v>2</v>
      </c>
      <c r="P1111" s="1" t="s">
        <v>1575</v>
      </c>
      <c r="Q1111" s="22">
        <v>46219</v>
      </c>
      <c r="R1111"/>
      <c r="S1111" s="11"/>
      <c r="T1111" s="4" t="s">
        <v>73</v>
      </c>
      <c r="U1111" s="1" t="e">
        <f>VLOOKUP(data[[#This Row],[Material]],'[1]Hoja para mrp'!$A:$Z,26,0)</f>
        <v>#N/A</v>
      </c>
      <c r="V1111" s="1" t="e">
        <f>VLOOKUP(data[[#This Row],[Material]],'[1]Hoja para mrp'!$A:$Z,25,0)</f>
        <v>#N/A</v>
      </c>
    </row>
    <row r="1112" spans="2:22" x14ac:dyDescent="0.25">
      <c r="B1112" s="4">
        <v>30040334</v>
      </c>
      <c r="C1112" s="1" t="s">
        <v>674</v>
      </c>
      <c r="D1112" s="4" t="s">
        <v>89</v>
      </c>
      <c r="E1112" s="3"/>
      <c r="F1112" s="3" t="s">
        <v>69</v>
      </c>
      <c r="G1112" s="4">
        <v>2</v>
      </c>
      <c r="H1112" s="4">
        <v>2</v>
      </c>
      <c r="I1112" s="4">
        <v>4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74</v>
      </c>
      <c r="U1112" s="1" t="e">
        <f>VLOOKUP(data[[#This Row],[Material]],'[1]Hoja para mrp'!$A:$Z,26,0)</f>
        <v>#N/A</v>
      </c>
      <c r="V1112" s="1" t="e">
        <f>VLOOKUP(data[[#This Row],[Material]],'[1]Hoja para mrp'!$A:$Z,25,0)</f>
        <v>#N/A</v>
      </c>
    </row>
    <row r="1113" spans="2:22" x14ac:dyDescent="0.25">
      <c r="B1113" s="4">
        <v>30040335</v>
      </c>
      <c r="C1113" s="1" t="s">
        <v>675</v>
      </c>
      <c r="D1113" s="4" t="s">
        <v>89</v>
      </c>
      <c r="E1113" s="3"/>
      <c r="F1113" s="3" t="s">
        <v>69</v>
      </c>
      <c r="G1113" s="4">
        <v>6</v>
      </c>
      <c r="H1113" s="4">
        <v>10</v>
      </c>
      <c r="I1113" s="4">
        <v>12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74</v>
      </c>
      <c r="U1113" s="1" t="e">
        <f>VLOOKUP(data[[#This Row],[Material]],'[1]Hoja para mrp'!$A:$Z,26,0)</f>
        <v>#N/A</v>
      </c>
      <c r="V1113" s="1" t="e">
        <f>VLOOKUP(data[[#This Row],[Material]],'[1]Hoja para mrp'!$A:$Z,25,0)</f>
        <v>#N/A</v>
      </c>
    </row>
    <row r="1114" spans="2:22" x14ac:dyDescent="0.25">
      <c r="B1114" s="4">
        <v>30040399</v>
      </c>
      <c r="C1114" s="1" t="s">
        <v>676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10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67</v>
      </c>
      <c r="U1114" s="1" t="e">
        <f>VLOOKUP(data[[#This Row],[Material]],'[1]Hoja para mrp'!$A:$Z,26,0)</f>
        <v>#N/A</v>
      </c>
      <c r="V1114" s="1" t="e">
        <f>VLOOKUP(data[[#This Row],[Material]],'[1]Hoja para mrp'!$A:$Z,25,0)</f>
        <v>#N/A</v>
      </c>
    </row>
    <row r="1115" spans="2:22" x14ac:dyDescent="0.25">
      <c r="B1115" s="4">
        <v>30040401</v>
      </c>
      <c r="C1115" s="1" t="s">
        <v>677</v>
      </c>
      <c r="D1115" s="4" t="s">
        <v>89</v>
      </c>
      <c r="E1115" s="3"/>
      <c r="F1115" s="3" t="s">
        <v>69</v>
      </c>
      <c r="G1115" s="4">
        <v>2</v>
      </c>
      <c r="H1115" s="4">
        <v>3</v>
      </c>
      <c r="I1115" s="4">
        <v>4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73</v>
      </c>
      <c r="U1115" s="1" t="e">
        <f>VLOOKUP(data[[#This Row],[Material]],'[1]Hoja para mrp'!$A:$Z,26,0)</f>
        <v>#N/A</v>
      </c>
      <c r="V1115" s="1" t="e">
        <f>VLOOKUP(data[[#This Row],[Material]],'[1]Hoja para mrp'!$A:$Z,25,0)</f>
        <v>#N/A</v>
      </c>
    </row>
    <row r="1116" spans="2:22" x14ac:dyDescent="0.25">
      <c r="B1116" s="4">
        <v>30040531</v>
      </c>
      <c r="C1116" s="1" t="s">
        <v>678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25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73</v>
      </c>
      <c r="U1116" s="1" t="e">
        <f>VLOOKUP(data[[#This Row],[Material]],'[1]Hoja para mrp'!$A:$Z,26,0)</f>
        <v>#N/A</v>
      </c>
      <c r="V1116" s="1" t="e">
        <f>VLOOKUP(data[[#This Row],[Material]],'[1]Hoja para mrp'!$A:$Z,25,0)</f>
        <v>#N/A</v>
      </c>
    </row>
    <row r="1117" spans="2:22" x14ac:dyDescent="0.25">
      <c r="B1117" s="4">
        <v>30040533</v>
      </c>
      <c r="C1117" s="1" t="s">
        <v>679</v>
      </c>
      <c r="D1117" s="4" t="s">
        <v>89</v>
      </c>
      <c r="E1117" s="3"/>
      <c r="F1117" s="3" t="s">
        <v>69</v>
      </c>
      <c r="G1117" s="4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73</v>
      </c>
      <c r="U1117" s="1" t="e">
        <f>VLOOKUP(data[[#This Row],[Material]],'[1]Hoja para mrp'!$A:$Z,26,0)</f>
        <v>#N/A</v>
      </c>
      <c r="V1117" s="1" t="e">
        <f>VLOOKUP(data[[#This Row],[Material]],'[1]Hoja para mrp'!$A:$Z,25,0)</f>
        <v>#N/A</v>
      </c>
    </row>
    <row r="1118" spans="2:22" x14ac:dyDescent="0.25">
      <c r="B1118" s="4">
        <v>30040586</v>
      </c>
      <c r="C1118" s="1" t="s">
        <v>59</v>
      </c>
      <c r="D1118" s="4" t="s">
        <v>89</v>
      </c>
      <c r="E1118" s="3"/>
      <c r="F1118" s="3" t="s">
        <v>69</v>
      </c>
      <c r="G1118" s="4">
        <v>5</v>
      </c>
      <c r="H1118" s="4">
        <v>4</v>
      </c>
      <c r="I1118" s="4">
        <v>6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 t="e">
        <f>VLOOKUP(data[[#This Row],[Material]],'[1]Hoja para mrp'!$A:$Z,26,0)</f>
        <v>#N/A</v>
      </c>
      <c r="V1118" s="1" t="e">
        <f>VLOOKUP(data[[#This Row],[Material]],'[1]Hoja para mrp'!$A:$Z,25,0)</f>
        <v>#N/A</v>
      </c>
    </row>
    <row r="1119" spans="2:22" x14ac:dyDescent="0.25">
      <c r="B1119" s="4">
        <v>30040587</v>
      </c>
      <c r="C1119" s="1" t="s">
        <v>60</v>
      </c>
      <c r="D1119" s="4" t="s">
        <v>89</v>
      </c>
      <c r="E1119" s="3"/>
      <c r="F1119" s="3" t="s">
        <v>69</v>
      </c>
      <c r="G1119" s="4">
        <v>5</v>
      </c>
      <c r="H1119" s="4">
        <v>4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 t="e">
        <f>VLOOKUP(data[[#This Row],[Material]],'[1]Hoja para mrp'!$A:$Z,26,0)</f>
        <v>#N/A</v>
      </c>
      <c r="V1119" s="1" t="e">
        <f>VLOOKUP(data[[#This Row],[Material]],'[1]Hoja para mrp'!$A:$Z,25,0)</f>
        <v>#N/A</v>
      </c>
    </row>
    <row r="1120" spans="2:22" x14ac:dyDescent="0.25">
      <c r="B1120" s="4">
        <v>30040717</v>
      </c>
      <c r="C1120" s="1" t="s">
        <v>680</v>
      </c>
      <c r="D1120" s="4" t="s">
        <v>89</v>
      </c>
      <c r="E1120" s="3"/>
      <c r="F1120" s="3" t="s">
        <v>69</v>
      </c>
      <c r="G1120" s="4">
        <v>2</v>
      </c>
      <c r="H1120" s="4">
        <v>2</v>
      </c>
      <c r="I1120" s="4">
        <v>8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 t="e">
        <f>VLOOKUP(data[[#This Row],[Material]],'[1]Hoja para mrp'!$A:$Z,26,0)</f>
        <v>#N/A</v>
      </c>
      <c r="V1120" s="1" t="e">
        <f>VLOOKUP(data[[#This Row],[Material]],'[1]Hoja para mrp'!$A:$Z,25,0)</f>
        <v>#N/A</v>
      </c>
    </row>
    <row r="1121" spans="2:23" x14ac:dyDescent="0.25">
      <c r="B1121" s="4">
        <v>30040761</v>
      </c>
      <c r="C1121" s="1" t="s">
        <v>681</v>
      </c>
      <c r="D1121" s="4" t="s">
        <v>89</v>
      </c>
      <c r="E1121" s="3"/>
      <c r="F1121" s="3" t="s">
        <v>69</v>
      </c>
      <c r="G1121" s="4">
        <v>3</v>
      </c>
      <c r="H1121" s="4">
        <v>5</v>
      </c>
      <c r="I1121" s="4">
        <v>7</v>
      </c>
      <c r="J1121" s="4" t="s">
        <v>8</v>
      </c>
      <c r="K1121" s="4" t="s">
        <v>7</v>
      </c>
      <c r="L1121" s="11"/>
      <c r="M1121" s="3"/>
      <c r="N1121">
        <v>4502682357</v>
      </c>
      <c r="O1121" s="4">
        <v>10</v>
      </c>
      <c r="P1121" s="1" t="s">
        <v>1522</v>
      </c>
      <c r="Q1121" s="22">
        <v>46224</v>
      </c>
      <c r="R1121"/>
      <c r="S1121" s="11"/>
      <c r="T1121" s="4" t="s">
        <v>73</v>
      </c>
      <c r="U1121" s="1" t="e">
        <f>VLOOKUP(data[[#This Row],[Material]],'[1]Hoja para mrp'!$A:$Z,26,0)</f>
        <v>#N/A</v>
      </c>
      <c r="V1121" s="1" t="e">
        <f>VLOOKUP(data[[#This Row],[Material]],'[1]Hoja para mrp'!$A:$Z,25,0)</f>
        <v>#N/A</v>
      </c>
    </row>
    <row r="1122" spans="2:23" x14ac:dyDescent="0.25">
      <c r="B1122" s="4">
        <v>30040762</v>
      </c>
      <c r="C1122" s="1" t="s">
        <v>682</v>
      </c>
      <c r="D1122" s="4" t="s">
        <v>89</v>
      </c>
      <c r="E1122" s="3"/>
      <c r="F1122" s="3" t="s">
        <v>69</v>
      </c>
      <c r="G1122" s="4">
        <v>2</v>
      </c>
      <c r="H1122" s="4">
        <v>3</v>
      </c>
      <c r="I1122" s="4">
        <v>4</v>
      </c>
      <c r="J1122" s="4" t="s">
        <v>8</v>
      </c>
      <c r="K1122" s="4" t="s">
        <v>7</v>
      </c>
      <c r="L1122" s="11"/>
      <c r="M1122" s="3"/>
      <c r="N1122">
        <v>4502682357</v>
      </c>
      <c r="O1122" s="4">
        <v>6</v>
      </c>
      <c r="P1122" s="1" t="s">
        <v>1522</v>
      </c>
      <c r="Q1122" s="22">
        <v>46224</v>
      </c>
      <c r="R1122"/>
      <c r="S1122" s="11"/>
      <c r="T1122" s="4" t="s">
        <v>73</v>
      </c>
      <c r="U1122" s="1" t="e">
        <f>VLOOKUP(data[[#This Row],[Material]],'[1]Hoja para mrp'!$A:$Z,26,0)</f>
        <v>#N/A</v>
      </c>
      <c r="V1122" s="1" t="e">
        <f>VLOOKUP(data[[#This Row],[Material]],'[1]Hoja para mrp'!$A:$Z,25,0)</f>
        <v>#N/A</v>
      </c>
    </row>
    <row r="1123" spans="2:23" x14ac:dyDescent="0.25">
      <c r="B1123" s="4">
        <v>30040974</v>
      </c>
      <c r="C1123" s="1" t="s">
        <v>683</v>
      </c>
      <c r="D1123" s="4" t="s">
        <v>89</v>
      </c>
      <c r="E1123" s="3"/>
      <c r="F1123" s="3" t="s">
        <v>69</v>
      </c>
      <c r="G1123" s="4">
        <v>15</v>
      </c>
      <c r="H1123" s="4">
        <v>25</v>
      </c>
      <c r="I1123" s="4">
        <v>15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73</v>
      </c>
      <c r="U1123" s="1" t="e">
        <f>VLOOKUP(data[[#This Row],[Material]],'[1]Hoja para mrp'!$A:$Z,26,0)</f>
        <v>#N/A</v>
      </c>
      <c r="V1123" s="1" t="e">
        <f>VLOOKUP(data[[#This Row],[Material]],'[1]Hoja para mrp'!$A:$Z,25,0)</f>
        <v>#N/A</v>
      </c>
    </row>
    <row r="1124" spans="2:23" x14ac:dyDescent="0.25">
      <c r="B1124" s="4">
        <v>30040976</v>
      </c>
      <c r="C1124" s="1" t="s">
        <v>684</v>
      </c>
      <c r="D1124" s="4" t="s">
        <v>89</v>
      </c>
      <c r="E1124" s="3"/>
      <c r="F1124" s="3" t="s">
        <v>69</v>
      </c>
      <c r="G1124" s="4">
        <v>6</v>
      </c>
      <c r="H1124" s="4">
        <v>6</v>
      </c>
      <c r="I1124" s="4">
        <v>9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 t="e">
        <f>VLOOKUP(data[[#This Row],[Material]],'[1]Hoja para mrp'!$A:$Z,26,0)</f>
        <v>#N/A</v>
      </c>
      <c r="V1124" s="1" t="e">
        <f>VLOOKUP(data[[#This Row],[Material]],'[1]Hoja para mrp'!$A:$Z,25,0)</f>
        <v>#N/A</v>
      </c>
    </row>
    <row r="1125" spans="2:23" x14ac:dyDescent="0.25">
      <c r="B1125" s="4">
        <v>30041021</v>
      </c>
      <c r="C1125" s="1" t="s">
        <v>685</v>
      </c>
      <c r="D1125" s="4" t="s">
        <v>89</v>
      </c>
      <c r="E1125" s="3"/>
      <c r="F1125" s="3" t="s">
        <v>69</v>
      </c>
      <c r="G1125" s="4">
        <v>2</v>
      </c>
      <c r="H1125" s="4">
        <v>2</v>
      </c>
      <c r="I1125" s="4">
        <v>2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 t="e">
        <f>VLOOKUP(data[[#This Row],[Material]],'[1]Hoja para mrp'!$A:$Z,26,0)</f>
        <v>#N/A</v>
      </c>
      <c r="V1125" s="1" t="e">
        <f>VLOOKUP(data[[#This Row],[Material]],'[1]Hoja para mrp'!$A:$Z,25,0)</f>
        <v>#N/A</v>
      </c>
    </row>
    <row r="1126" spans="2:23" x14ac:dyDescent="0.25">
      <c r="B1126" s="4">
        <v>30041025</v>
      </c>
      <c r="C1126" s="1" t="s">
        <v>1542</v>
      </c>
      <c r="D1126" s="4" t="s">
        <v>89</v>
      </c>
      <c r="E1126" s="3"/>
      <c r="F1126" s="3" t="s">
        <v>69</v>
      </c>
      <c r="G1126" s="4">
        <v>2</v>
      </c>
      <c r="H1126" s="4">
        <v>1</v>
      </c>
      <c r="I1126" s="4">
        <v>3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73</v>
      </c>
      <c r="U1126" s="1" t="e">
        <f>VLOOKUP(data[[#This Row],[Material]],'[1]Hoja para mrp'!$A:$Z,26,0)</f>
        <v>#N/A</v>
      </c>
      <c r="V1126" s="1" t="e">
        <f>VLOOKUP(data[[#This Row],[Material]],'[1]Hoja para mrp'!$A:$Z,25,0)</f>
        <v>#N/A</v>
      </c>
    </row>
    <row r="1127" spans="2:23" x14ac:dyDescent="0.25">
      <c r="B1127" s="4">
        <v>30041026</v>
      </c>
      <c r="C1127" s="1" t="s">
        <v>1543</v>
      </c>
      <c r="D1127" s="4" t="s">
        <v>89</v>
      </c>
      <c r="E1127" s="3"/>
      <c r="F1127" s="3" t="s">
        <v>69</v>
      </c>
      <c r="G1127" s="4">
        <v>10</v>
      </c>
      <c r="H1127" s="4">
        <v>5</v>
      </c>
      <c r="I1127" s="4">
        <v>15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 t="e">
        <f>VLOOKUP(data[[#This Row],[Material]],'[1]Hoja para mrp'!$A:$Z,26,0)</f>
        <v>#N/A</v>
      </c>
      <c r="V1127" s="1" t="e">
        <f>VLOOKUP(data[[#This Row],[Material]],'[1]Hoja para mrp'!$A:$Z,25,0)</f>
        <v>#N/A</v>
      </c>
    </row>
    <row r="1128" spans="2:23" x14ac:dyDescent="0.25">
      <c r="B1128" s="4">
        <v>30041029</v>
      </c>
      <c r="C1128" s="1" t="s">
        <v>686</v>
      </c>
      <c r="D1128" s="4" t="s">
        <v>89</v>
      </c>
      <c r="E1128" s="3"/>
      <c r="F1128" s="3" t="s">
        <v>69</v>
      </c>
      <c r="G1128" s="4">
        <v>20</v>
      </c>
      <c r="H1128" s="4">
        <v>10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4502503608</v>
      </c>
      <c r="O1128" s="4">
        <v>20</v>
      </c>
      <c r="P1128" s="1" t="s">
        <v>1522</v>
      </c>
      <c r="Q1128" s="22">
        <v>45758</v>
      </c>
      <c r="R1128"/>
      <c r="S1128" s="11" t="s">
        <v>1615</v>
      </c>
      <c r="T1128" s="4" t="s">
        <v>73</v>
      </c>
      <c r="U1128" s="1" t="e">
        <f>VLOOKUP(data[[#This Row],[Material]],'[1]Hoja para mrp'!$A:$Z,26,0)</f>
        <v>#N/A</v>
      </c>
      <c r="V1128" s="1" t="e">
        <f>VLOOKUP(data[[#This Row],[Material]],'[1]Hoja para mrp'!$A:$Z,25,0)</f>
        <v>#N/A</v>
      </c>
      <c r="W1128" s="1" t="s">
        <v>1690</v>
      </c>
    </row>
    <row r="1129" spans="2:23" x14ac:dyDescent="0.25">
      <c r="B1129" s="70">
        <v>30041335</v>
      </c>
      <c r="C1129" s="71" t="s">
        <v>1526</v>
      </c>
      <c r="D1129" s="4" t="s">
        <v>89</v>
      </c>
      <c r="E1129" s="3"/>
      <c r="F1129" s="3" t="s">
        <v>69</v>
      </c>
      <c r="G1129" s="4">
        <v>4</v>
      </c>
      <c r="H1129" s="4">
        <v>2</v>
      </c>
      <c r="I1129" s="4">
        <v>1</v>
      </c>
      <c r="J1129" s="4" t="s">
        <v>8</v>
      </c>
      <c r="K1129" s="4" t="s">
        <v>9</v>
      </c>
      <c r="L1129" s="11"/>
      <c r="M1129" s="3"/>
      <c r="N1129">
        <v>4502677977</v>
      </c>
      <c r="O1129" s="4">
        <v>3</v>
      </c>
      <c r="P1129" s="1" t="s">
        <v>1626</v>
      </c>
      <c r="Q1129" s="22">
        <v>46230</v>
      </c>
      <c r="R1129"/>
      <c r="S1129" s="11"/>
      <c r="T1129" s="4" t="s">
        <v>67</v>
      </c>
      <c r="U1129" s="1" t="e">
        <f>VLOOKUP(data[[#This Row],[Material]],'[1]Hoja para mrp'!$A:$Z,26,0)</f>
        <v>#N/A</v>
      </c>
      <c r="V1129" s="1" t="e">
        <f>VLOOKUP(data[[#This Row],[Material]],'[1]Hoja para mrp'!$A:$Z,25,0)</f>
        <v>#N/A</v>
      </c>
    </row>
    <row r="1130" spans="2:23" x14ac:dyDescent="0.25">
      <c r="B1130" s="4">
        <v>30041344</v>
      </c>
      <c r="C1130" s="1" t="s">
        <v>687</v>
      </c>
      <c r="D1130" s="4" t="s">
        <v>89</v>
      </c>
      <c r="E1130" s="3"/>
      <c r="F1130" s="3" t="s">
        <v>69</v>
      </c>
      <c r="G1130" s="4">
        <v>2</v>
      </c>
      <c r="H1130" s="4">
        <v>3</v>
      </c>
      <c r="I1130" s="4">
        <v>7</v>
      </c>
      <c r="J1130" s="4" t="s">
        <v>8</v>
      </c>
      <c r="K1130" s="4" t="s">
        <v>14</v>
      </c>
      <c r="L1130" s="11"/>
      <c r="M1130" s="3"/>
      <c r="N1130"/>
      <c r="O1130" s="4"/>
      <c r="P1130" s="1"/>
      <c r="Q1130" s="22"/>
      <c r="R1130"/>
      <c r="S1130" s="11"/>
      <c r="T1130" s="4" t="s">
        <v>73</v>
      </c>
      <c r="U1130" s="1" t="e">
        <f>VLOOKUP(data[[#This Row],[Material]],'[1]Hoja para mrp'!$A:$Z,26,0)</f>
        <v>#N/A</v>
      </c>
      <c r="V1130" s="1" t="e">
        <f>VLOOKUP(data[[#This Row],[Material]],'[1]Hoja para mrp'!$A:$Z,25,0)</f>
        <v>#N/A</v>
      </c>
    </row>
    <row r="1131" spans="2:23" x14ac:dyDescent="0.25">
      <c r="B1131" s="4">
        <v>30041725</v>
      </c>
      <c r="C1131" s="1" t="s">
        <v>688</v>
      </c>
      <c r="D1131" s="4" t="s">
        <v>89</v>
      </c>
      <c r="E1131" s="3"/>
      <c r="F1131" s="3" t="s">
        <v>69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73</v>
      </c>
      <c r="U1131" s="1" t="e">
        <f>VLOOKUP(data[[#This Row],[Material]],'[1]Hoja para mrp'!$A:$Z,26,0)</f>
        <v>#N/A</v>
      </c>
      <c r="V1131" s="1" t="e">
        <f>VLOOKUP(data[[#This Row],[Material]],'[1]Hoja para mrp'!$A:$Z,25,0)</f>
        <v>#N/A</v>
      </c>
    </row>
    <row r="1132" spans="2:23" x14ac:dyDescent="0.25">
      <c r="B1132" s="4">
        <v>30041726</v>
      </c>
      <c r="C1132" s="1" t="s">
        <v>689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 t="e">
        <f>VLOOKUP(data[[#This Row],[Material]],'[1]Hoja para mrp'!$A:$Z,26,0)</f>
        <v>#N/A</v>
      </c>
      <c r="V1132" s="1" t="e">
        <f>VLOOKUP(data[[#This Row],[Material]],'[1]Hoja para mrp'!$A:$Z,25,0)</f>
        <v>#N/A</v>
      </c>
    </row>
    <row r="1133" spans="2:23" x14ac:dyDescent="0.25">
      <c r="B1133" s="4">
        <v>30041727</v>
      </c>
      <c r="C1133" s="1" t="s">
        <v>690</v>
      </c>
      <c r="D1133" s="4" t="s">
        <v>89</v>
      </c>
      <c r="E1133" s="3"/>
      <c r="F1133" s="3" t="s">
        <v>69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 t="e">
        <f>VLOOKUP(data[[#This Row],[Material]],'[1]Hoja para mrp'!$A:$Z,26,0)</f>
        <v>#N/A</v>
      </c>
      <c r="V1133" s="1" t="e">
        <f>VLOOKUP(data[[#This Row],[Material]],'[1]Hoja para mrp'!$A:$Z,25,0)</f>
        <v>#N/A</v>
      </c>
    </row>
    <row r="1134" spans="2:23" x14ac:dyDescent="0.25">
      <c r="B1134" s="4">
        <v>30041798</v>
      </c>
      <c r="C1134" s="1" t="s">
        <v>691</v>
      </c>
      <c r="D1134" s="4" t="s">
        <v>89</v>
      </c>
      <c r="E1134" s="3"/>
      <c r="F1134" s="3" t="s">
        <v>69</v>
      </c>
      <c r="G1134" s="4">
        <v>10</v>
      </c>
      <c r="H1134" s="4">
        <v>15</v>
      </c>
      <c r="I1134" s="4">
        <v>14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71</v>
      </c>
      <c r="U1134" s="1" t="e">
        <f>VLOOKUP(data[[#This Row],[Material]],'[1]Hoja para mrp'!$A:$Z,26,0)</f>
        <v>#N/A</v>
      </c>
      <c r="V1134" s="1" t="e">
        <f>VLOOKUP(data[[#This Row],[Material]],'[1]Hoja para mrp'!$A:$Z,25,0)</f>
        <v>#N/A</v>
      </c>
    </row>
    <row r="1135" spans="2:23" x14ac:dyDescent="0.25">
      <c r="B1135" s="4">
        <v>30041812</v>
      </c>
      <c r="C1135" s="1" t="s">
        <v>692</v>
      </c>
      <c r="D1135" s="4" t="s">
        <v>89</v>
      </c>
      <c r="E1135" s="3"/>
      <c r="F1135" s="3" t="s">
        <v>69</v>
      </c>
      <c r="G1135" s="4">
        <v>12</v>
      </c>
      <c r="H1135" s="4">
        <v>20</v>
      </c>
      <c r="I1135" s="4">
        <v>50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67</v>
      </c>
      <c r="U1135" s="1" t="e">
        <f>VLOOKUP(data[[#This Row],[Material]],'[1]Hoja para mrp'!$A:$Z,26,0)</f>
        <v>#N/A</v>
      </c>
      <c r="V1135" s="1" t="e">
        <f>VLOOKUP(data[[#This Row],[Material]],'[1]Hoja para mrp'!$A:$Z,25,0)</f>
        <v>#N/A</v>
      </c>
    </row>
    <row r="1136" spans="2:23" x14ac:dyDescent="0.25">
      <c r="B1136" s="4">
        <v>30042073</v>
      </c>
      <c r="C1136" s="1" t="s">
        <v>693</v>
      </c>
      <c r="D1136" s="4" t="s">
        <v>89</v>
      </c>
      <c r="E1136" s="3"/>
      <c r="F1136" s="3" t="s">
        <v>69</v>
      </c>
      <c r="G1136" s="4">
        <v>1</v>
      </c>
      <c r="H1136" s="4">
        <v>1</v>
      </c>
      <c r="I1136" s="4">
        <v>1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73</v>
      </c>
      <c r="U1136" s="1" t="e">
        <f>VLOOKUP(data[[#This Row],[Material]],'[1]Hoja para mrp'!$A:$Z,26,0)</f>
        <v>#N/A</v>
      </c>
      <c r="V1136" s="1" t="e">
        <f>VLOOKUP(data[[#This Row],[Material]],'[1]Hoja para mrp'!$A:$Z,25,0)</f>
        <v>#N/A</v>
      </c>
    </row>
    <row r="1137" spans="2:23" x14ac:dyDescent="0.25">
      <c r="B1137" s="4">
        <v>30042134</v>
      </c>
      <c r="C1137" s="1" t="s">
        <v>1263</v>
      </c>
      <c r="D1137" s="4" t="s">
        <v>89</v>
      </c>
      <c r="E1137" s="3" t="s">
        <v>1228</v>
      </c>
      <c r="F1137" s="3" t="s">
        <v>105</v>
      </c>
      <c r="G1137" s="4">
        <v>4</v>
      </c>
      <c r="H1137" s="4">
        <v>3</v>
      </c>
      <c r="I1137" s="4">
        <v>2</v>
      </c>
      <c r="J1137" s="4" t="s">
        <v>8</v>
      </c>
      <c r="K1137" s="4" t="s">
        <v>9</v>
      </c>
      <c r="L1137" s="69"/>
      <c r="M1137" s="3"/>
      <c r="N1137">
        <v>4700160563</v>
      </c>
      <c r="O1137" s="4">
        <v>3</v>
      </c>
      <c r="P1137" s="1" t="s">
        <v>1571</v>
      </c>
      <c r="Q1137" s="22">
        <v>46157</v>
      </c>
      <c r="R1137"/>
      <c r="S1137" s="11"/>
      <c r="T1137" s="4" t="s">
        <v>74</v>
      </c>
      <c r="U1137" s="1" t="e">
        <f>VLOOKUP(data[[#This Row],[Material]],'[1]Hoja para mrp'!$A:$Z,26,0)</f>
        <v>#N/A</v>
      </c>
      <c r="V1137" s="1" t="e">
        <f>VLOOKUP(data[[#This Row],[Material]],'[1]Hoja para mrp'!$A:$Z,25,0)</f>
        <v>#N/A</v>
      </c>
      <c r="W1137" s="1" t="s">
        <v>1691</v>
      </c>
    </row>
    <row r="1138" spans="2:23" x14ac:dyDescent="0.25">
      <c r="B1138" s="4">
        <v>30042139</v>
      </c>
      <c r="C1138" s="1" t="s">
        <v>694</v>
      </c>
      <c r="D1138" s="4" t="s">
        <v>89</v>
      </c>
      <c r="E1138" s="3"/>
      <c r="F1138" s="3" t="s">
        <v>69</v>
      </c>
      <c r="G1138" s="4">
        <v>5</v>
      </c>
      <c r="H1138" s="4">
        <v>8</v>
      </c>
      <c r="I1138" s="4">
        <v>134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 t="e">
        <f>VLOOKUP(data[[#This Row],[Material]],'[1]Hoja para mrp'!$A:$Z,26,0)</f>
        <v>#N/A</v>
      </c>
      <c r="V1138" s="1" t="e">
        <f>VLOOKUP(data[[#This Row],[Material]],'[1]Hoja para mrp'!$A:$Z,25,0)</f>
        <v>#N/A</v>
      </c>
    </row>
    <row r="1139" spans="2:23" x14ac:dyDescent="0.25">
      <c r="B1139" s="4">
        <v>30042699</v>
      </c>
      <c r="C1139" s="1" t="s">
        <v>794</v>
      </c>
      <c r="D1139" s="4" t="s">
        <v>89</v>
      </c>
      <c r="E1139" s="3"/>
      <c r="F1139" s="3" t="s">
        <v>69</v>
      </c>
      <c r="G1139" s="4">
        <v>20</v>
      </c>
      <c r="H1139" s="4">
        <v>30</v>
      </c>
      <c r="I1139" s="4">
        <v>46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66</v>
      </c>
      <c r="U1139" s="1" t="e">
        <f>VLOOKUP(data[[#This Row],[Material]],'[1]Hoja para mrp'!$A:$Z,26,0)</f>
        <v>#N/A</v>
      </c>
      <c r="V1139" s="1" t="e">
        <f>VLOOKUP(data[[#This Row],[Material]],'[1]Hoja para mrp'!$A:$Z,25,0)</f>
        <v>#N/A</v>
      </c>
    </row>
    <row r="1140" spans="2:23" x14ac:dyDescent="0.25">
      <c r="B1140" s="4">
        <v>30042701</v>
      </c>
      <c r="C1140" s="1" t="s">
        <v>695</v>
      </c>
      <c r="D1140" s="4" t="s">
        <v>89</v>
      </c>
      <c r="E1140" s="3"/>
      <c r="F1140" s="3" t="s">
        <v>69</v>
      </c>
      <c r="G1140" s="4">
        <v>4</v>
      </c>
      <c r="H1140" s="4">
        <v>10</v>
      </c>
      <c r="I1140" s="4">
        <v>9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 t="e">
        <f>VLOOKUP(data[[#This Row],[Material]],'[1]Hoja para mrp'!$A:$Z,26,0)</f>
        <v>#N/A</v>
      </c>
      <c r="V1140" s="1" t="e">
        <f>VLOOKUP(data[[#This Row],[Material]],'[1]Hoja para mrp'!$A:$Z,25,0)</f>
        <v>#N/A</v>
      </c>
    </row>
    <row r="1141" spans="2:23" x14ac:dyDescent="0.25">
      <c r="B1141" s="4">
        <v>30042934</v>
      </c>
      <c r="C1141" s="1" t="s">
        <v>696</v>
      </c>
      <c r="D1141" s="4" t="s">
        <v>89</v>
      </c>
      <c r="E1141" s="3"/>
      <c r="F1141" s="3" t="s">
        <v>69</v>
      </c>
      <c r="G1141" s="4">
        <v>3</v>
      </c>
      <c r="H1141" s="4">
        <v>2</v>
      </c>
      <c r="I1141" s="4">
        <v>1</v>
      </c>
      <c r="J1141" s="4" t="s">
        <v>8</v>
      </c>
      <c r="K1141" s="4" t="s">
        <v>9</v>
      </c>
      <c r="L1141" s="11">
        <v>1002631449</v>
      </c>
      <c r="M1141" s="3">
        <v>3</v>
      </c>
      <c r="N1141"/>
      <c r="O1141" s="4"/>
      <c r="P1141" s="1"/>
      <c r="Q1141" s="22"/>
      <c r="R1141"/>
      <c r="S1141" s="11"/>
      <c r="T1141" s="4" t="s">
        <v>73</v>
      </c>
      <c r="U1141" s="1" t="e">
        <f>VLOOKUP(data[[#This Row],[Material]],'[1]Hoja para mrp'!$A:$Z,26,0)</f>
        <v>#N/A</v>
      </c>
      <c r="V1141" s="1" t="e">
        <f>VLOOKUP(data[[#This Row],[Material]],'[1]Hoja para mrp'!$A:$Z,25,0)</f>
        <v>#N/A</v>
      </c>
    </row>
    <row r="1142" spans="2:23" x14ac:dyDescent="0.25">
      <c r="B1142" s="4">
        <v>30042935</v>
      </c>
      <c r="C1142" s="1" t="s">
        <v>697</v>
      </c>
      <c r="D1142" s="4" t="s">
        <v>89</v>
      </c>
      <c r="E1142" s="3"/>
      <c r="F1142" s="3" t="s">
        <v>69</v>
      </c>
      <c r="G1142" s="4">
        <v>2</v>
      </c>
      <c r="H1142" s="4">
        <v>1</v>
      </c>
      <c r="I1142" s="4">
        <v>5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 t="e">
        <f>VLOOKUP(data[[#This Row],[Material]],'[1]Hoja para mrp'!$A:$Z,26,0)</f>
        <v>#N/A</v>
      </c>
      <c r="V1142" s="1" t="e">
        <f>VLOOKUP(data[[#This Row],[Material]],'[1]Hoja para mrp'!$A:$Z,25,0)</f>
        <v>#N/A</v>
      </c>
    </row>
    <row r="1143" spans="2:23" x14ac:dyDescent="0.25">
      <c r="B1143" s="4">
        <v>30042937</v>
      </c>
      <c r="C1143" s="1" t="s">
        <v>1544</v>
      </c>
      <c r="D1143" s="4" t="s">
        <v>89</v>
      </c>
      <c r="E1143" s="3"/>
      <c r="F1143" s="3" t="s">
        <v>69</v>
      </c>
      <c r="G1143" s="4">
        <v>2</v>
      </c>
      <c r="H1143" s="4">
        <v>1</v>
      </c>
      <c r="I1143" s="4">
        <v>4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73</v>
      </c>
      <c r="U1143" s="1" t="e">
        <f>VLOOKUP(data[[#This Row],[Material]],'[1]Hoja para mrp'!$A:$Z,26,0)</f>
        <v>#N/A</v>
      </c>
      <c r="V1143" s="1" t="e">
        <f>VLOOKUP(data[[#This Row],[Material]],'[1]Hoja para mrp'!$A:$Z,25,0)</f>
        <v>#N/A</v>
      </c>
    </row>
    <row r="1144" spans="2:23" x14ac:dyDescent="0.25">
      <c r="B1144" s="4">
        <v>30042938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 t="e">
        <f>VLOOKUP(data[[#This Row],[Material]],'[1]Hoja para mrp'!$A:$Z,26,0)</f>
        <v>#N/A</v>
      </c>
      <c r="V1144" s="1" t="e">
        <f>VLOOKUP(data[[#This Row],[Material]],'[1]Hoja para mrp'!$A:$Z,25,0)</f>
        <v>#N/A</v>
      </c>
    </row>
    <row r="1145" spans="2:23" x14ac:dyDescent="0.25">
      <c r="B1145" s="4">
        <v>30042939</v>
      </c>
      <c r="C1145" s="1" t="s">
        <v>699</v>
      </c>
      <c r="D1145" s="4" t="s">
        <v>89</v>
      </c>
      <c r="E1145" s="3"/>
      <c r="F1145" s="3" t="s">
        <v>69</v>
      </c>
      <c r="G1145" s="4">
        <v>2</v>
      </c>
      <c r="H1145" s="4">
        <v>3</v>
      </c>
      <c r="I1145" s="4">
        <v>5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 t="e">
        <f>VLOOKUP(data[[#This Row],[Material]],'[1]Hoja para mrp'!$A:$Z,26,0)</f>
        <v>#N/A</v>
      </c>
      <c r="V1145" s="1" t="e">
        <f>VLOOKUP(data[[#This Row],[Material]],'[1]Hoja para mrp'!$A:$Z,25,0)</f>
        <v>#N/A</v>
      </c>
    </row>
    <row r="1146" spans="2:23" x14ac:dyDescent="0.25">
      <c r="B1146" s="4">
        <v>30042940</v>
      </c>
      <c r="C1146" s="1" t="s">
        <v>1545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11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 t="e">
        <f>VLOOKUP(data[[#This Row],[Material]],'[1]Hoja para mrp'!$A:$Z,26,0)</f>
        <v>#N/A</v>
      </c>
      <c r="V1146" s="1" t="e">
        <f>VLOOKUP(data[[#This Row],[Material]],'[1]Hoja para mrp'!$A:$Z,25,0)</f>
        <v>#N/A</v>
      </c>
    </row>
    <row r="1147" spans="2:23" x14ac:dyDescent="0.25">
      <c r="B1147" s="4">
        <v>30042942</v>
      </c>
      <c r="C1147" s="1" t="s">
        <v>1546</v>
      </c>
      <c r="D1147" s="4" t="s">
        <v>89</v>
      </c>
      <c r="E1147" s="3"/>
      <c r="F1147" s="3" t="s">
        <v>69</v>
      </c>
      <c r="G1147" s="4">
        <v>2</v>
      </c>
      <c r="H1147" s="4">
        <v>1</v>
      </c>
      <c r="I1147" s="4">
        <v>20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73</v>
      </c>
      <c r="U1147" s="1" t="e">
        <f>VLOOKUP(data[[#This Row],[Material]],'[1]Hoja para mrp'!$A:$Z,26,0)</f>
        <v>#N/A</v>
      </c>
      <c r="V1147" s="1" t="e">
        <f>VLOOKUP(data[[#This Row],[Material]],'[1]Hoja para mrp'!$A:$Z,25,0)</f>
        <v>#N/A</v>
      </c>
    </row>
    <row r="1148" spans="2:23" x14ac:dyDescent="0.25">
      <c r="B1148" s="4">
        <v>30042943</v>
      </c>
      <c r="C1148" s="1" t="s">
        <v>61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29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 t="e">
        <f>VLOOKUP(data[[#This Row],[Material]],'[1]Hoja para mrp'!$A:$Z,26,0)</f>
        <v>#N/A</v>
      </c>
      <c r="V1148" s="1" t="e">
        <f>VLOOKUP(data[[#This Row],[Material]],'[1]Hoja para mrp'!$A:$Z,25,0)</f>
        <v>#N/A</v>
      </c>
    </row>
    <row r="1149" spans="2:23" x14ac:dyDescent="0.25">
      <c r="B1149" s="4">
        <v>30042944</v>
      </c>
      <c r="C1149" s="1" t="s">
        <v>1272</v>
      </c>
      <c r="D1149" s="4" t="s">
        <v>89</v>
      </c>
      <c r="E1149" s="3"/>
      <c r="F1149" s="3" t="s">
        <v>69</v>
      </c>
      <c r="G1149" s="4">
        <v>5</v>
      </c>
      <c r="H1149" s="4">
        <v>3</v>
      </c>
      <c r="I1149" s="4">
        <v>10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 t="s">
        <v>1616</v>
      </c>
      <c r="T1149" s="4" t="s">
        <v>73</v>
      </c>
      <c r="U1149" s="1" t="e">
        <f>VLOOKUP(data[[#This Row],[Material]],'[1]Hoja para mrp'!$A:$Z,26,0)</f>
        <v>#N/A</v>
      </c>
      <c r="V1149" s="1" t="e">
        <f>VLOOKUP(data[[#This Row],[Material]],'[1]Hoja para mrp'!$A:$Z,25,0)</f>
        <v>#N/A</v>
      </c>
    </row>
    <row r="1150" spans="2:23" x14ac:dyDescent="0.25">
      <c r="B1150" s="4">
        <v>30042945</v>
      </c>
      <c r="C1150" s="1" t="s">
        <v>700</v>
      </c>
      <c r="D1150" s="4" t="s">
        <v>89</v>
      </c>
      <c r="E1150" s="3"/>
      <c r="F1150" s="3" t="s">
        <v>69</v>
      </c>
      <c r="G1150" s="4">
        <v>2</v>
      </c>
      <c r="H1150" s="4">
        <v>3</v>
      </c>
      <c r="I1150" s="4">
        <v>8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 t="e">
        <f>VLOOKUP(data[[#This Row],[Material]],'[1]Hoja para mrp'!$A:$Z,26,0)</f>
        <v>#N/A</v>
      </c>
      <c r="V1150" s="1" t="e">
        <f>VLOOKUP(data[[#This Row],[Material]],'[1]Hoja para mrp'!$A:$Z,25,0)</f>
        <v>#N/A</v>
      </c>
    </row>
    <row r="1151" spans="2:23" x14ac:dyDescent="0.25">
      <c r="B1151" s="4">
        <v>30042946</v>
      </c>
      <c r="C1151" s="1" t="s">
        <v>701</v>
      </c>
      <c r="D1151" s="4" t="s">
        <v>89</v>
      </c>
      <c r="E1151" s="3"/>
      <c r="F1151" s="3" t="s">
        <v>69</v>
      </c>
      <c r="G1151" s="4">
        <v>3</v>
      </c>
      <c r="H1151" s="4">
        <v>5</v>
      </c>
      <c r="I1151" s="4">
        <v>9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73</v>
      </c>
      <c r="U1151" s="1" t="e">
        <f>VLOOKUP(data[[#This Row],[Material]],'[1]Hoja para mrp'!$A:$Z,26,0)</f>
        <v>#N/A</v>
      </c>
      <c r="V1151" s="1" t="e">
        <f>VLOOKUP(data[[#This Row],[Material]],'[1]Hoja para mrp'!$A:$Z,25,0)</f>
        <v>#N/A</v>
      </c>
    </row>
    <row r="1152" spans="2:23" x14ac:dyDescent="0.25">
      <c r="B1152" s="4">
        <v>30042947</v>
      </c>
      <c r="C1152" s="1" t="s">
        <v>62</v>
      </c>
      <c r="D1152" s="4" t="s">
        <v>89</v>
      </c>
      <c r="E1152" s="3"/>
      <c r="F1152" s="3" t="s">
        <v>69</v>
      </c>
      <c r="G1152" s="4">
        <v>2</v>
      </c>
      <c r="H1152" s="4">
        <v>1</v>
      </c>
      <c r="I1152" s="4">
        <v>7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 t="e">
        <f>VLOOKUP(data[[#This Row],[Material]],'[1]Hoja para mrp'!$A:$Z,26,0)</f>
        <v>#N/A</v>
      </c>
      <c r="V1152" s="1" t="e">
        <f>VLOOKUP(data[[#This Row],[Material]],'[1]Hoja para mrp'!$A:$Z,25,0)</f>
        <v>#N/A</v>
      </c>
    </row>
    <row r="1153" spans="2:22" x14ac:dyDescent="0.25">
      <c r="B1153" s="4">
        <v>30042948</v>
      </c>
      <c r="C1153" s="1" t="s">
        <v>1547</v>
      </c>
      <c r="D1153" s="4" t="s">
        <v>89</v>
      </c>
      <c r="E1153" s="3"/>
      <c r="F1153" s="3" t="s">
        <v>69</v>
      </c>
      <c r="G1153" s="4">
        <v>2</v>
      </c>
      <c r="H1153" s="4">
        <v>1</v>
      </c>
      <c r="I1153" s="4">
        <v>16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 t="e">
        <f>VLOOKUP(data[[#This Row],[Material]],'[1]Hoja para mrp'!$A:$Z,26,0)</f>
        <v>#N/A</v>
      </c>
      <c r="V1153" s="1" t="e">
        <f>VLOOKUP(data[[#This Row],[Material]],'[1]Hoja para mrp'!$A:$Z,25,0)</f>
        <v>#N/A</v>
      </c>
    </row>
    <row r="1154" spans="2:22" x14ac:dyDescent="0.25">
      <c r="B1154" s="4">
        <v>30042949</v>
      </c>
      <c r="C1154" s="1" t="s">
        <v>702</v>
      </c>
      <c r="D1154" s="4" t="s">
        <v>89</v>
      </c>
      <c r="E1154" s="3"/>
      <c r="F1154" s="3" t="s">
        <v>69</v>
      </c>
      <c r="G1154" s="4">
        <v>2</v>
      </c>
      <c r="H1154" s="4">
        <v>3</v>
      </c>
      <c r="I1154" s="4">
        <v>5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 t="e">
        <f>VLOOKUP(data[[#This Row],[Material]],'[1]Hoja para mrp'!$A:$Z,26,0)</f>
        <v>#N/A</v>
      </c>
      <c r="V1154" s="1" t="e">
        <f>VLOOKUP(data[[#This Row],[Material]],'[1]Hoja para mrp'!$A:$Z,25,0)</f>
        <v>#N/A</v>
      </c>
    </row>
    <row r="1155" spans="2:22" x14ac:dyDescent="0.25">
      <c r="B1155" s="4">
        <v>30042950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 t="e">
        <f>VLOOKUP(data[[#This Row],[Material]],'[1]Hoja para mrp'!$A:$Z,26,0)</f>
        <v>#N/A</v>
      </c>
      <c r="V1155" s="1" t="e">
        <f>VLOOKUP(data[[#This Row],[Material]],'[1]Hoja para mrp'!$A:$Z,25,0)</f>
        <v>#N/A</v>
      </c>
    </row>
    <row r="1156" spans="2:22" x14ac:dyDescent="0.25">
      <c r="B1156" s="4">
        <v>30042951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1</v>
      </c>
      <c r="I1156" s="4">
        <v>9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 t="s">
        <v>1617</v>
      </c>
      <c r="T1156" s="4" t="s">
        <v>73</v>
      </c>
      <c r="U1156" s="1" t="e">
        <f>VLOOKUP(data[[#This Row],[Material]],'[1]Hoja para mrp'!$A:$Z,26,0)</f>
        <v>#N/A</v>
      </c>
      <c r="V1156" s="1" t="e">
        <f>VLOOKUP(data[[#This Row],[Material]],'[1]Hoja para mrp'!$A:$Z,25,0)</f>
        <v>#N/A</v>
      </c>
    </row>
    <row r="1157" spans="2:22" x14ac:dyDescent="0.25">
      <c r="B1157" s="4">
        <v>30042953</v>
      </c>
      <c r="C1157" s="1" t="s">
        <v>63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3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 t="e">
        <f>VLOOKUP(data[[#This Row],[Material]],'[1]Hoja para mrp'!$A:$Z,26,0)</f>
        <v>#N/A</v>
      </c>
      <c r="V1157" s="1" t="e">
        <f>VLOOKUP(data[[#This Row],[Material]],'[1]Hoja para mrp'!$A:$Z,25,0)</f>
        <v>#N/A</v>
      </c>
    </row>
    <row r="1158" spans="2:22" x14ac:dyDescent="0.25">
      <c r="B1158" s="4">
        <v>30042954</v>
      </c>
      <c r="C1158" s="1" t="s">
        <v>1549</v>
      </c>
      <c r="D1158" s="4" t="s">
        <v>89</v>
      </c>
      <c r="E1158" s="3"/>
      <c r="F1158" s="3" t="s">
        <v>69</v>
      </c>
      <c r="G1158" s="4">
        <v>4</v>
      </c>
      <c r="H1158" s="4">
        <v>2</v>
      </c>
      <c r="I1158" s="4">
        <v>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73</v>
      </c>
      <c r="U1158" s="1" t="e">
        <f>VLOOKUP(data[[#This Row],[Material]],'[1]Hoja para mrp'!$A:$Z,26,0)</f>
        <v>#N/A</v>
      </c>
      <c r="V1158" s="1" t="e">
        <f>VLOOKUP(data[[#This Row],[Material]],'[1]Hoja para mrp'!$A:$Z,25,0)</f>
        <v>#N/A</v>
      </c>
    </row>
    <row r="1159" spans="2:22" x14ac:dyDescent="0.25">
      <c r="B1159" s="4">
        <v>30042955</v>
      </c>
      <c r="C1159" s="1" t="s">
        <v>704</v>
      </c>
      <c r="D1159" s="4" t="s">
        <v>89</v>
      </c>
      <c r="E1159" s="3"/>
      <c r="F1159" s="3" t="s">
        <v>69</v>
      </c>
      <c r="G1159" s="4">
        <v>3</v>
      </c>
      <c r="H1159" s="4">
        <v>5</v>
      </c>
      <c r="I1159" s="4">
        <v>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73</v>
      </c>
      <c r="U1159" s="1" t="e">
        <f>VLOOKUP(data[[#This Row],[Material]],'[1]Hoja para mrp'!$A:$Z,26,0)</f>
        <v>#N/A</v>
      </c>
      <c r="V1159" s="1" t="e">
        <f>VLOOKUP(data[[#This Row],[Material]],'[1]Hoja para mrp'!$A:$Z,25,0)</f>
        <v>#N/A</v>
      </c>
    </row>
    <row r="1160" spans="2:22" x14ac:dyDescent="0.25">
      <c r="B1160" s="4">
        <v>30042956</v>
      </c>
      <c r="C1160" s="1" t="s">
        <v>705</v>
      </c>
      <c r="D1160" s="4" t="s">
        <v>89</v>
      </c>
      <c r="E1160" s="3"/>
      <c r="F1160" s="3" t="s">
        <v>69</v>
      </c>
      <c r="G1160" s="4">
        <v>3</v>
      </c>
      <c r="H1160" s="4">
        <v>5</v>
      </c>
      <c r="I1160" s="4">
        <v>8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 t="e">
        <f>VLOOKUP(data[[#This Row],[Material]],'[1]Hoja para mrp'!$A:$Z,26,0)</f>
        <v>#N/A</v>
      </c>
      <c r="V1160" s="1" t="e">
        <f>VLOOKUP(data[[#This Row],[Material]],'[1]Hoja para mrp'!$A:$Z,25,0)</f>
        <v>#N/A</v>
      </c>
    </row>
    <row r="1161" spans="2:22" x14ac:dyDescent="0.25">
      <c r="B1161" s="4">
        <v>30042957</v>
      </c>
      <c r="C1161" s="1" t="s">
        <v>1550</v>
      </c>
      <c r="D1161" s="4" t="s">
        <v>89</v>
      </c>
      <c r="E1161" s="3"/>
      <c r="F1161" s="3" t="s">
        <v>69</v>
      </c>
      <c r="G1161" s="4">
        <v>4</v>
      </c>
      <c r="H1161" s="4">
        <v>2</v>
      </c>
      <c r="I1161" s="4">
        <v>9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73</v>
      </c>
      <c r="U1161" s="1" t="e">
        <f>VLOOKUP(data[[#This Row],[Material]],'[1]Hoja para mrp'!$A:$Z,26,0)</f>
        <v>#N/A</v>
      </c>
      <c r="V1161" s="1" t="e">
        <f>VLOOKUP(data[[#This Row],[Material]],'[1]Hoja para mrp'!$A:$Z,25,0)</f>
        <v>#N/A</v>
      </c>
    </row>
    <row r="1162" spans="2:22" x14ac:dyDescent="0.25">
      <c r="B1162" s="4">
        <v>30043014</v>
      </c>
      <c r="C1162" s="1" t="s">
        <v>706</v>
      </c>
      <c r="D1162" s="4" t="s">
        <v>89</v>
      </c>
      <c r="E1162" s="3"/>
      <c r="F1162" s="3" t="s">
        <v>69</v>
      </c>
      <c r="G1162" s="4">
        <v>2</v>
      </c>
      <c r="H1162" s="4">
        <v>1</v>
      </c>
      <c r="I1162" s="4">
        <v>21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 t="e">
        <f>VLOOKUP(data[[#This Row],[Material]],'[1]Hoja para mrp'!$A:$Z,26,0)</f>
        <v>#N/A</v>
      </c>
      <c r="V1162" s="1" t="e">
        <f>VLOOKUP(data[[#This Row],[Material]],'[1]Hoja para mrp'!$A:$Z,25,0)</f>
        <v>#N/A</v>
      </c>
    </row>
    <row r="1163" spans="2:22" x14ac:dyDescent="0.25">
      <c r="B1163" s="4">
        <v>30043017</v>
      </c>
      <c r="C1163" s="1" t="s">
        <v>707</v>
      </c>
      <c r="D1163" s="4" t="s">
        <v>89</v>
      </c>
      <c r="E1163" s="3"/>
      <c r="F1163" s="3" t="s">
        <v>69</v>
      </c>
      <c r="G1163" s="4">
        <v>2</v>
      </c>
      <c r="H1163" s="4">
        <v>2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 t="e">
        <f>VLOOKUP(data[[#This Row],[Material]],'[1]Hoja para mrp'!$A:$Z,26,0)</f>
        <v>#N/A</v>
      </c>
      <c r="V1163" s="1" t="e">
        <f>VLOOKUP(data[[#This Row],[Material]],'[1]Hoja para mrp'!$A:$Z,25,0)</f>
        <v>#N/A</v>
      </c>
    </row>
    <row r="1164" spans="2:22" x14ac:dyDescent="0.25">
      <c r="B1164" s="4">
        <v>30043067</v>
      </c>
      <c r="C1164" s="1" t="s">
        <v>708</v>
      </c>
      <c r="D1164" s="4" t="s">
        <v>89</v>
      </c>
      <c r="E1164" s="3"/>
      <c r="F1164" s="3" t="s">
        <v>69</v>
      </c>
      <c r="G1164" s="4">
        <v>4</v>
      </c>
      <c r="H1164" s="4">
        <v>6</v>
      </c>
      <c r="I1164" s="4">
        <v>6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71</v>
      </c>
      <c r="U1164" s="1" t="e">
        <f>VLOOKUP(data[[#This Row],[Material]],'[1]Hoja para mrp'!$A:$Z,26,0)</f>
        <v>#N/A</v>
      </c>
      <c r="V1164" s="1" t="e">
        <f>VLOOKUP(data[[#This Row],[Material]],'[1]Hoja para mrp'!$A:$Z,25,0)</f>
        <v>#N/A</v>
      </c>
    </row>
    <row r="1165" spans="2:22" x14ac:dyDescent="0.25">
      <c r="B1165" s="4">
        <v>30043291</v>
      </c>
      <c r="C1165" s="1" t="s">
        <v>709</v>
      </c>
      <c r="D1165" s="4" t="s">
        <v>89</v>
      </c>
      <c r="E1165" s="3"/>
      <c r="F1165" s="3" t="s">
        <v>69</v>
      </c>
      <c r="G1165" s="4">
        <v>5</v>
      </c>
      <c r="H1165" s="4">
        <v>2</v>
      </c>
      <c r="I1165" s="4">
        <v>3</v>
      </c>
      <c r="J1165" s="4" t="s">
        <v>8</v>
      </c>
      <c r="K1165" s="4" t="s">
        <v>9</v>
      </c>
      <c r="L1165" s="11">
        <v>1002653864</v>
      </c>
      <c r="M1165" s="3">
        <v>4</v>
      </c>
      <c r="N1165"/>
      <c r="O1165" s="4"/>
      <c r="P1165" s="1"/>
      <c r="Q1165" s="22"/>
      <c r="R1165"/>
      <c r="S1165" s="11"/>
      <c r="T1165" s="4" t="s">
        <v>73</v>
      </c>
      <c r="U1165" s="1" t="e">
        <f>VLOOKUP(data[[#This Row],[Material]],'[1]Hoja para mrp'!$A:$Z,26,0)</f>
        <v>#N/A</v>
      </c>
      <c r="V1165" s="1" t="e">
        <f>VLOOKUP(data[[#This Row],[Material]],'[1]Hoja para mrp'!$A:$Z,25,0)</f>
        <v>#N/A</v>
      </c>
    </row>
    <row r="1166" spans="2:22" x14ac:dyDescent="0.25">
      <c r="B1166" s="4">
        <v>30043292</v>
      </c>
      <c r="C1166" s="1" t="s">
        <v>710</v>
      </c>
      <c r="D1166" s="4" t="s">
        <v>89</v>
      </c>
      <c r="E1166" s="3"/>
      <c r="F1166" s="3" t="s">
        <v>69</v>
      </c>
      <c r="G1166" s="4">
        <v>2</v>
      </c>
      <c r="H1166" s="4">
        <v>2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 t="e">
        <f>VLOOKUP(data[[#This Row],[Material]],'[1]Hoja para mrp'!$A:$Z,26,0)</f>
        <v>#N/A</v>
      </c>
      <c r="V1166" s="1" t="e">
        <f>VLOOKUP(data[[#This Row],[Material]],'[1]Hoja para mrp'!$A:$Z,25,0)</f>
        <v>#N/A</v>
      </c>
    </row>
    <row r="1167" spans="2:22" x14ac:dyDescent="0.25">
      <c r="B1167" s="4">
        <v>30043306</v>
      </c>
      <c r="C1167" s="1" t="s">
        <v>711</v>
      </c>
      <c r="D1167" s="4" t="s">
        <v>89</v>
      </c>
      <c r="E1167" s="3"/>
      <c r="F1167" s="3" t="s">
        <v>69</v>
      </c>
      <c r="G1167" s="4">
        <v>1</v>
      </c>
      <c r="H1167" s="4">
        <v>1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73</v>
      </c>
      <c r="U1167" s="1" t="e">
        <f>VLOOKUP(data[[#This Row],[Material]],'[1]Hoja para mrp'!$A:$Z,26,0)</f>
        <v>#N/A</v>
      </c>
      <c r="V1167" s="1" t="e">
        <f>VLOOKUP(data[[#This Row],[Material]],'[1]Hoja para mrp'!$A:$Z,25,0)</f>
        <v>#N/A</v>
      </c>
    </row>
    <row r="1168" spans="2:22" x14ac:dyDescent="0.25">
      <c r="B1168" s="4">
        <v>30043323</v>
      </c>
      <c r="C1168" s="1" t="s">
        <v>712</v>
      </c>
      <c r="D1168" s="4" t="s">
        <v>89</v>
      </c>
      <c r="E1168" s="3"/>
      <c r="F1168" s="3" t="s">
        <v>69</v>
      </c>
      <c r="G1168" s="4">
        <v>12</v>
      </c>
      <c r="H1168" s="4">
        <v>4</v>
      </c>
      <c r="I1168" s="4">
        <v>40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 t="e">
        <f>VLOOKUP(data[[#This Row],[Material]],'[1]Hoja para mrp'!$A:$Z,26,0)</f>
        <v>#N/A</v>
      </c>
      <c r="V1168" s="1" t="e">
        <f>VLOOKUP(data[[#This Row],[Material]],'[1]Hoja para mrp'!$A:$Z,25,0)</f>
        <v>#N/A</v>
      </c>
    </row>
    <row r="1169" spans="2:23" x14ac:dyDescent="0.25">
      <c r="B1169" s="4">
        <v>30043361</v>
      </c>
      <c r="C1169" s="1" t="s">
        <v>713</v>
      </c>
      <c r="D1169" s="4" t="s">
        <v>89</v>
      </c>
      <c r="E1169" s="3"/>
      <c r="F1169" s="3" t="s">
        <v>69</v>
      </c>
      <c r="G1169" s="4">
        <v>2</v>
      </c>
      <c r="H1169" s="4">
        <v>2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 t="e">
        <f>VLOOKUP(data[[#This Row],[Material]],'[1]Hoja para mrp'!$A:$Z,26,0)</f>
        <v>#N/A</v>
      </c>
      <c r="V1169" s="1" t="e">
        <f>VLOOKUP(data[[#This Row],[Material]],'[1]Hoja para mrp'!$A:$Z,25,0)</f>
        <v>#N/A</v>
      </c>
    </row>
    <row r="1170" spans="2:23" x14ac:dyDescent="0.25">
      <c r="B1170" s="4">
        <v>30043362</v>
      </c>
      <c r="C1170" s="1" t="s">
        <v>714</v>
      </c>
      <c r="D1170" s="4" t="s">
        <v>89</v>
      </c>
      <c r="E1170" s="3"/>
      <c r="F1170" s="3" t="s">
        <v>69</v>
      </c>
      <c r="G1170" s="4">
        <v>2</v>
      </c>
      <c r="H1170" s="4">
        <v>2</v>
      </c>
      <c r="I1170" s="4">
        <v>1</v>
      </c>
      <c r="J1170" s="4" t="s">
        <v>8</v>
      </c>
      <c r="K1170" s="4" t="s">
        <v>9</v>
      </c>
      <c r="L1170" s="11">
        <v>1002542940</v>
      </c>
      <c r="M1170" s="3">
        <v>3</v>
      </c>
      <c r="N1170"/>
      <c r="O1170" s="4"/>
      <c r="P1170" s="1"/>
      <c r="Q1170" s="22"/>
      <c r="R1170"/>
      <c r="S1170" s="11"/>
      <c r="T1170" s="4" t="s">
        <v>73</v>
      </c>
      <c r="U1170" s="1" t="e">
        <f>VLOOKUP(data[[#This Row],[Material]],'[1]Hoja para mrp'!$A:$Z,26,0)</f>
        <v>#N/A</v>
      </c>
      <c r="V1170" s="1" t="e">
        <f>VLOOKUP(data[[#This Row],[Material]],'[1]Hoja para mrp'!$A:$Z,25,0)</f>
        <v>#N/A</v>
      </c>
    </row>
    <row r="1171" spans="2:23" x14ac:dyDescent="0.25">
      <c r="B1171" s="4">
        <v>30043478</v>
      </c>
      <c r="C1171" s="1" t="s">
        <v>715</v>
      </c>
      <c r="D1171" s="4" t="s">
        <v>89</v>
      </c>
      <c r="E1171" s="3"/>
      <c r="F1171" s="3" t="s">
        <v>69</v>
      </c>
      <c r="G1171" s="4">
        <v>3</v>
      </c>
      <c r="H1171" s="4">
        <v>5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 t="e">
        <f>VLOOKUP(data[[#This Row],[Material]],'[1]Hoja para mrp'!$A:$Z,26,0)</f>
        <v>#N/A</v>
      </c>
      <c r="V1171" s="1" t="e">
        <f>VLOOKUP(data[[#This Row],[Material]],'[1]Hoja para mrp'!$A:$Z,25,0)</f>
        <v>#N/A</v>
      </c>
    </row>
    <row r="1172" spans="2:23" x14ac:dyDescent="0.25">
      <c r="B1172" s="4">
        <v>30043585</v>
      </c>
      <c r="C1172" s="1" t="s">
        <v>716</v>
      </c>
      <c r="D1172" s="4" t="s">
        <v>89</v>
      </c>
      <c r="E1172" s="3"/>
      <c r="F1172" s="3" t="s">
        <v>69</v>
      </c>
      <c r="G1172" s="4">
        <v>3</v>
      </c>
      <c r="H1172" s="4">
        <v>5</v>
      </c>
      <c r="I1172" s="4">
        <v>2</v>
      </c>
      <c r="J1172" s="4" t="s">
        <v>8</v>
      </c>
      <c r="K1172" s="4" t="s">
        <v>9</v>
      </c>
      <c r="L1172" s="11"/>
      <c r="M1172" s="3"/>
      <c r="N1172">
        <v>4502676871</v>
      </c>
      <c r="O1172" s="4">
        <v>5</v>
      </c>
      <c r="P1172" s="1" t="s">
        <v>1639</v>
      </c>
      <c r="Q1172" s="22">
        <v>46192</v>
      </c>
      <c r="R1172"/>
      <c r="S1172" s="11"/>
      <c r="T1172" s="4" t="s">
        <v>74</v>
      </c>
      <c r="U1172" s="1" t="e">
        <f>VLOOKUP(data[[#This Row],[Material]],'[1]Hoja para mrp'!$A:$Z,26,0)</f>
        <v>#N/A</v>
      </c>
      <c r="V1172" s="1" t="e">
        <f>VLOOKUP(data[[#This Row],[Material]],'[1]Hoja para mrp'!$A:$Z,25,0)</f>
        <v>#N/A</v>
      </c>
    </row>
    <row r="1173" spans="2:23" x14ac:dyDescent="0.25">
      <c r="B1173" s="4">
        <v>30043588</v>
      </c>
      <c r="C1173" s="1" t="s">
        <v>717</v>
      </c>
      <c r="D1173" s="4" t="s">
        <v>89</v>
      </c>
      <c r="E1173" s="3"/>
      <c r="F1173" s="3" t="s">
        <v>69</v>
      </c>
      <c r="G1173" s="4">
        <v>2</v>
      </c>
      <c r="H1173" s="4">
        <v>1</v>
      </c>
      <c r="I1173" s="4">
        <v>11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 t="e">
        <f>VLOOKUP(data[[#This Row],[Material]],'[1]Hoja para mrp'!$A:$Z,26,0)</f>
        <v>#N/A</v>
      </c>
      <c r="V1173" s="1" t="e">
        <f>VLOOKUP(data[[#This Row],[Material]],'[1]Hoja para mrp'!$A:$Z,25,0)</f>
        <v>#N/A</v>
      </c>
    </row>
    <row r="1174" spans="2:23" x14ac:dyDescent="0.25">
      <c r="B1174" s="4">
        <v>30043637</v>
      </c>
      <c r="C1174" s="1" t="s">
        <v>920</v>
      </c>
      <c r="D1174" s="4" t="s">
        <v>89</v>
      </c>
      <c r="E1174" s="3" t="s">
        <v>1228</v>
      </c>
      <c r="F1174" s="3" t="s">
        <v>105</v>
      </c>
      <c r="G1174" s="4">
        <v>2</v>
      </c>
      <c r="H1174" s="4">
        <v>2</v>
      </c>
      <c r="I1174" s="4">
        <v>2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 t="e">
        <f>VLOOKUP(data[[#This Row],[Material]],'[1]Hoja para mrp'!$A:$Z,26,0)</f>
        <v>#N/A</v>
      </c>
      <c r="V1174" s="1" t="e">
        <f>VLOOKUP(data[[#This Row],[Material]],'[1]Hoja para mrp'!$A:$Z,25,0)</f>
        <v>#N/A</v>
      </c>
    </row>
    <row r="1175" spans="2:23" x14ac:dyDescent="0.25">
      <c r="B1175" s="4">
        <v>30043639</v>
      </c>
      <c r="C1175" s="1" t="s">
        <v>718</v>
      </c>
      <c r="D1175" s="4" t="s">
        <v>89</v>
      </c>
      <c r="E1175" s="3"/>
      <c r="F1175" s="3" t="s">
        <v>69</v>
      </c>
      <c r="G1175" s="4">
        <v>3</v>
      </c>
      <c r="H1175" s="4">
        <v>5</v>
      </c>
      <c r="I1175" s="4">
        <v>40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 t="e">
        <f>VLOOKUP(data[[#This Row],[Material]],'[1]Hoja para mrp'!$A:$Z,26,0)</f>
        <v>#N/A</v>
      </c>
      <c r="V1175" s="1" t="e">
        <f>VLOOKUP(data[[#This Row],[Material]],'[1]Hoja para mrp'!$A:$Z,25,0)</f>
        <v>#N/A</v>
      </c>
    </row>
    <row r="1176" spans="2:23" x14ac:dyDescent="0.25">
      <c r="B1176" s="4">
        <v>30043647</v>
      </c>
      <c r="C1176" s="1" t="s">
        <v>865</v>
      </c>
      <c r="D1176" s="4" t="s">
        <v>89</v>
      </c>
      <c r="E1176" s="3"/>
      <c r="F1176" s="3" t="s">
        <v>105</v>
      </c>
      <c r="G1176" s="4">
        <v>12</v>
      </c>
      <c r="H1176" s="4">
        <v>8</v>
      </c>
      <c r="I1176" s="4">
        <v>20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" t="e">
        <f>VLOOKUP(data[[#This Row],[Material]],'[1]Hoja para mrp'!$A:$Z,26,0)</f>
        <v>#N/A</v>
      </c>
      <c r="V1176" s="1" t="e">
        <f>VLOOKUP(data[[#This Row],[Material]],'[1]Hoja para mrp'!$A:$Z,25,0)</f>
        <v>#N/A</v>
      </c>
    </row>
    <row r="1177" spans="2:23" x14ac:dyDescent="0.25">
      <c r="B1177" s="4">
        <v>30043656</v>
      </c>
      <c r="C1177" s="1" t="s">
        <v>719</v>
      </c>
      <c r="D1177" s="4" t="s">
        <v>89</v>
      </c>
      <c r="E1177" s="3"/>
      <c r="F1177" s="3" t="s">
        <v>69</v>
      </c>
      <c r="G1177" s="4">
        <v>1</v>
      </c>
      <c r="H1177" s="4">
        <v>1</v>
      </c>
      <c r="I1177" s="4">
        <v>1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66</v>
      </c>
      <c r="U1177" s="1" t="e">
        <f>VLOOKUP(data[[#This Row],[Material]],'[1]Hoja para mrp'!$A:$Z,26,0)</f>
        <v>#N/A</v>
      </c>
      <c r="V1177" s="1" t="e">
        <f>VLOOKUP(data[[#This Row],[Material]],'[1]Hoja para mrp'!$A:$Z,25,0)</f>
        <v>#N/A</v>
      </c>
    </row>
    <row r="1178" spans="2:23" x14ac:dyDescent="0.25">
      <c r="B1178" s="4">
        <v>30043661</v>
      </c>
      <c r="C1178" s="1" t="s">
        <v>720</v>
      </c>
      <c r="D1178" s="4" t="s">
        <v>89</v>
      </c>
      <c r="E1178" s="3"/>
      <c r="F1178" s="3" t="s">
        <v>69</v>
      </c>
      <c r="G1178" s="4">
        <v>2</v>
      </c>
      <c r="H1178" s="4">
        <v>1</v>
      </c>
      <c r="I1178" s="4">
        <v>0</v>
      </c>
      <c r="J1178" s="4" t="s">
        <v>8</v>
      </c>
      <c r="K1178" s="4" t="s">
        <v>13</v>
      </c>
      <c r="L1178" s="11"/>
      <c r="M1178" s="3"/>
      <c r="N1178">
        <v>4502662897</v>
      </c>
      <c r="O1178" s="4">
        <v>2</v>
      </c>
      <c r="P1178" s="1" t="s">
        <v>1583</v>
      </c>
      <c r="Q1178" s="22">
        <v>46161</v>
      </c>
      <c r="R1178"/>
      <c r="S1178" s="11" t="s">
        <v>1618</v>
      </c>
      <c r="T1178" s="4" t="s">
        <v>67</v>
      </c>
      <c r="U1178" s="1" t="e">
        <f>VLOOKUP(data[[#This Row],[Material]],'[1]Hoja para mrp'!$A:$Z,26,0)</f>
        <v>#N/A</v>
      </c>
      <c r="V1178" s="1" t="e">
        <f>VLOOKUP(data[[#This Row],[Material]],'[1]Hoja para mrp'!$A:$Z,25,0)</f>
        <v>#N/A</v>
      </c>
      <c r="W1178" s="1" t="s">
        <v>1676</v>
      </c>
    </row>
    <row r="1179" spans="2:23" x14ac:dyDescent="0.25">
      <c r="B1179" s="4">
        <v>30043663</v>
      </c>
      <c r="C1179" s="1" t="s">
        <v>721</v>
      </c>
      <c r="D1179" s="4" t="s">
        <v>89</v>
      </c>
      <c r="E1179" s="3"/>
      <c r="F1179" s="3" t="s">
        <v>69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73</v>
      </c>
      <c r="U1179" s="1" t="e">
        <f>VLOOKUP(data[[#This Row],[Material]],'[1]Hoja para mrp'!$A:$Z,26,0)</f>
        <v>#N/A</v>
      </c>
      <c r="V1179" s="1" t="e">
        <f>VLOOKUP(data[[#This Row],[Material]],'[1]Hoja para mrp'!$A:$Z,25,0)</f>
        <v>#N/A</v>
      </c>
    </row>
    <row r="1180" spans="2:23" x14ac:dyDescent="0.25">
      <c r="B1180" s="4">
        <v>30043665</v>
      </c>
      <c r="C1180" s="1" t="s">
        <v>722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73</v>
      </c>
      <c r="U1180" s="1" t="e">
        <f>VLOOKUP(data[[#This Row],[Material]],'[1]Hoja para mrp'!$A:$Z,26,0)</f>
        <v>#N/A</v>
      </c>
      <c r="V1180" s="1" t="e">
        <f>VLOOKUP(data[[#This Row],[Material]],'[1]Hoja para mrp'!$A:$Z,25,0)</f>
        <v>#N/A</v>
      </c>
    </row>
    <row r="1181" spans="2:23" x14ac:dyDescent="0.25">
      <c r="B1181" s="4">
        <v>30043667</v>
      </c>
      <c r="C1181" s="1" t="s">
        <v>723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4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" t="e">
        <f>VLOOKUP(data[[#This Row],[Material]],'[1]Hoja para mrp'!$A:$Z,26,0)</f>
        <v>#N/A</v>
      </c>
      <c r="V1181" s="1" t="e">
        <f>VLOOKUP(data[[#This Row],[Material]],'[1]Hoja para mrp'!$A:$Z,25,0)</f>
        <v>#N/A</v>
      </c>
    </row>
    <row r="1182" spans="2:23" x14ac:dyDescent="0.25">
      <c r="B1182" s="4">
        <v>30043762</v>
      </c>
      <c r="C1182" s="1" t="s">
        <v>724</v>
      </c>
      <c r="D1182" s="4" t="s">
        <v>89</v>
      </c>
      <c r="E1182" s="3"/>
      <c r="F1182" s="3" t="s">
        <v>69</v>
      </c>
      <c r="G1182" s="4">
        <v>3</v>
      </c>
      <c r="H1182" s="4">
        <v>5</v>
      </c>
      <c r="I1182" s="4">
        <v>0</v>
      </c>
      <c r="J1182" s="4" t="s">
        <v>8</v>
      </c>
      <c r="K1182" s="4" t="s">
        <v>13</v>
      </c>
      <c r="L1182" s="11">
        <v>1002663550</v>
      </c>
      <c r="M1182" s="3">
        <v>8</v>
      </c>
      <c r="N1182"/>
      <c r="O1182" s="4"/>
      <c r="P1182" s="1"/>
      <c r="Q1182" s="22"/>
      <c r="R1182"/>
      <c r="S1182" s="11"/>
      <c r="T1182" s="4" t="s">
        <v>73</v>
      </c>
      <c r="U1182" s="1" t="e">
        <f>VLOOKUP(data[[#This Row],[Material]],'[1]Hoja para mrp'!$A:$Z,26,0)</f>
        <v>#N/A</v>
      </c>
      <c r="V1182" s="1" t="e">
        <f>VLOOKUP(data[[#This Row],[Material]],'[1]Hoja para mrp'!$A:$Z,25,0)</f>
        <v>#N/A</v>
      </c>
    </row>
    <row r="1183" spans="2:23" x14ac:dyDescent="0.25">
      <c r="B1183" s="4">
        <v>30043767</v>
      </c>
      <c r="C1183" s="1" t="s">
        <v>725</v>
      </c>
      <c r="D1183" s="4" t="s">
        <v>89</v>
      </c>
      <c r="E1183" s="3"/>
      <c r="F1183" s="3" t="s">
        <v>69</v>
      </c>
      <c r="G1183" s="4">
        <v>4</v>
      </c>
      <c r="H1183" s="4">
        <v>4</v>
      </c>
      <c r="I1183" s="4">
        <v>6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" t="e">
        <f>VLOOKUP(data[[#This Row],[Material]],'[1]Hoja para mrp'!$A:$Z,26,0)</f>
        <v>#N/A</v>
      </c>
      <c r="V1183" s="1" t="e">
        <f>VLOOKUP(data[[#This Row],[Material]],'[1]Hoja para mrp'!$A:$Z,25,0)</f>
        <v>#N/A</v>
      </c>
    </row>
    <row r="1184" spans="2:23" x14ac:dyDescent="0.25">
      <c r="B1184" s="4">
        <v>30043820</v>
      </c>
      <c r="C1184" s="1" t="s">
        <v>726</v>
      </c>
      <c r="D1184" s="4" t="s">
        <v>89</v>
      </c>
      <c r="E1184" s="3"/>
      <c r="F1184" s="3" t="s">
        <v>69</v>
      </c>
      <c r="G1184" s="4">
        <v>2</v>
      </c>
      <c r="H1184" s="4">
        <v>2</v>
      </c>
      <c r="I1184" s="4">
        <v>5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" t="e">
        <f>VLOOKUP(data[[#This Row],[Material]],'[1]Hoja para mrp'!$A:$Z,26,0)</f>
        <v>#N/A</v>
      </c>
      <c r="V1184" s="1" t="e">
        <f>VLOOKUP(data[[#This Row],[Material]],'[1]Hoja para mrp'!$A:$Z,25,0)</f>
        <v>#N/A</v>
      </c>
    </row>
    <row r="1185" spans="2:22" x14ac:dyDescent="0.25">
      <c r="B1185" s="4">
        <v>30043856</v>
      </c>
      <c r="C1185" s="1" t="s">
        <v>727</v>
      </c>
      <c r="D1185" s="4" t="s">
        <v>89</v>
      </c>
      <c r="E1185" s="3"/>
      <c r="F1185" s="3" t="s">
        <v>69</v>
      </c>
      <c r="G1185" s="4">
        <v>5</v>
      </c>
      <c r="H1185" s="4">
        <v>5</v>
      </c>
      <c r="I1185" s="4">
        <v>4</v>
      </c>
      <c r="J1185" s="4" t="s">
        <v>8</v>
      </c>
      <c r="K1185" s="4" t="s">
        <v>9</v>
      </c>
      <c r="L1185" s="11" t="s">
        <v>1660</v>
      </c>
      <c r="M1185" s="3"/>
      <c r="N1185"/>
      <c r="O1185" s="4"/>
      <c r="P1185" s="1"/>
      <c r="Q1185" s="22"/>
      <c r="R1185"/>
      <c r="S1185" s="11" t="s">
        <v>1619</v>
      </c>
      <c r="T1185" s="4" t="s">
        <v>73</v>
      </c>
      <c r="U1185" s="1" t="e">
        <f>VLOOKUP(data[[#This Row],[Material]],'[1]Hoja para mrp'!$A:$Z,26,0)</f>
        <v>#N/A</v>
      </c>
      <c r="V1185" s="1" t="e">
        <f>VLOOKUP(data[[#This Row],[Material]],'[1]Hoja para mrp'!$A:$Z,25,0)</f>
        <v>#N/A</v>
      </c>
    </row>
    <row r="1186" spans="2:22" x14ac:dyDescent="0.25">
      <c r="B1186" s="4">
        <v>30043879</v>
      </c>
      <c r="C1186" s="1" t="s">
        <v>728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" t="e">
        <f>VLOOKUP(data[[#This Row],[Material]],'[1]Hoja para mrp'!$A:$Z,26,0)</f>
        <v>#N/A</v>
      </c>
      <c r="V1186" s="1" t="e">
        <f>VLOOKUP(data[[#This Row],[Material]],'[1]Hoja para mrp'!$A:$Z,25,0)</f>
        <v>#N/A</v>
      </c>
    </row>
    <row r="1187" spans="2:22" x14ac:dyDescent="0.25">
      <c r="B1187" s="4">
        <v>30043884</v>
      </c>
      <c r="C1187" s="1" t="s">
        <v>729</v>
      </c>
      <c r="D1187" s="4" t="s">
        <v>89</v>
      </c>
      <c r="E1187" s="3"/>
      <c r="F1187" s="3" t="s">
        <v>69</v>
      </c>
      <c r="G1187" s="4">
        <v>2</v>
      </c>
      <c r="H1187" s="4">
        <v>2</v>
      </c>
      <c r="I1187" s="4">
        <v>5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73</v>
      </c>
      <c r="U1187" s="1" t="e">
        <f>VLOOKUP(data[[#This Row],[Material]],'[1]Hoja para mrp'!$A:$Z,26,0)</f>
        <v>#N/A</v>
      </c>
      <c r="V1187" s="1" t="e">
        <f>VLOOKUP(data[[#This Row],[Material]],'[1]Hoja para mrp'!$A:$Z,25,0)</f>
        <v>#N/A</v>
      </c>
    </row>
    <row r="1188" spans="2:22" x14ac:dyDescent="0.25">
      <c r="B1188" s="4">
        <v>30044002</v>
      </c>
      <c r="C1188" s="1" t="s">
        <v>730</v>
      </c>
      <c r="D1188" s="4" t="s">
        <v>89</v>
      </c>
      <c r="E1188" s="3"/>
      <c r="F1188" s="3" t="s">
        <v>69</v>
      </c>
      <c r="G1188" s="4">
        <v>2</v>
      </c>
      <c r="H1188" s="4">
        <v>1</v>
      </c>
      <c r="I1188" s="4">
        <v>23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" t="e">
        <f>VLOOKUP(data[[#This Row],[Material]],'[1]Hoja para mrp'!$A:$Z,26,0)</f>
        <v>#N/A</v>
      </c>
      <c r="V1188" s="1" t="e">
        <f>VLOOKUP(data[[#This Row],[Material]],'[1]Hoja para mrp'!$A:$Z,25,0)</f>
        <v>#N/A</v>
      </c>
    </row>
    <row r="1189" spans="2:22" x14ac:dyDescent="0.25">
      <c r="B1189" s="4">
        <v>30045704</v>
      </c>
      <c r="C1189" s="1" t="s">
        <v>731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" t="e">
        <f>VLOOKUP(data[[#This Row],[Material]],'[1]Hoja para mrp'!$A:$Z,26,0)</f>
        <v>#N/A</v>
      </c>
      <c r="V1189" s="1" t="e">
        <f>VLOOKUP(data[[#This Row],[Material]],'[1]Hoja para mrp'!$A:$Z,25,0)</f>
        <v>#N/A</v>
      </c>
    </row>
    <row r="1190" spans="2:22" x14ac:dyDescent="0.25">
      <c r="B1190" s="4">
        <v>30046862</v>
      </c>
      <c r="C1190" s="1" t="s">
        <v>732</v>
      </c>
      <c r="D1190" s="4" t="s">
        <v>89</v>
      </c>
      <c r="E1190" s="3"/>
      <c r="F1190" s="3" t="s">
        <v>69</v>
      </c>
      <c r="G1190" s="4">
        <v>2</v>
      </c>
      <c r="H1190" s="4">
        <v>2</v>
      </c>
      <c r="I1190" s="4">
        <v>1</v>
      </c>
      <c r="J1190" s="4" t="s">
        <v>8</v>
      </c>
      <c r="K1190" s="4" t="s">
        <v>9</v>
      </c>
      <c r="L1190" s="11" t="s">
        <v>1660</v>
      </c>
      <c r="M1190" s="3"/>
      <c r="N1190"/>
      <c r="O1190" s="4"/>
      <c r="P1190" s="1"/>
      <c r="Q1190" s="22"/>
      <c r="R1190"/>
      <c r="S1190" s="11" t="s">
        <v>1620</v>
      </c>
      <c r="T1190" s="4" t="s">
        <v>73</v>
      </c>
      <c r="U1190" s="1" t="e">
        <f>VLOOKUP(data[[#This Row],[Material]],'[1]Hoja para mrp'!$A:$Z,26,0)</f>
        <v>#N/A</v>
      </c>
      <c r="V1190" s="1" t="e">
        <f>VLOOKUP(data[[#This Row],[Material]],'[1]Hoja para mrp'!$A:$Z,25,0)</f>
        <v>#N/A</v>
      </c>
    </row>
    <row r="1191" spans="2:22" x14ac:dyDescent="0.25">
      <c r="B1191" s="4">
        <v>30048788</v>
      </c>
      <c r="C1191" s="1" t="s">
        <v>733</v>
      </c>
      <c r="D1191" s="4" t="s">
        <v>89</v>
      </c>
      <c r="E1191" s="3"/>
      <c r="F1191" s="3" t="s">
        <v>69</v>
      </c>
      <c r="G1191" s="4">
        <v>22</v>
      </c>
      <c r="H1191" s="4">
        <v>37</v>
      </c>
      <c r="I1191" s="4">
        <v>30</v>
      </c>
      <c r="J1191" s="4" t="s">
        <v>10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66</v>
      </c>
      <c r="U1191" s="1" t="e">
        <f>VLOOKUP(data[[#This Row],[Material]],'[1]Hoja para mrp'!$A:$Z,26,0)</f>
        <v>#N/A</v>
      </c>
      <c r="V1191" s="1" t="e">
        <f>VLOOKUP(data[[#This Row],[Material]],'[1]Hoja para mrp'!$A:$Z,25,0)</f>
        <v>#N/A</v>
      </c>
    </row>
    <row r="1192" spans="2:22" x14ac:dyDescent="0.25">
      <c r="B1192" s="4">
        <v>30050566</v>
      </c>
      <c r="C1192" s="1" t="s">
        <v>734</v>
      </c>
      <c r="D1192" s="4" t="s">
        <v>89</v>
      </c>
      <c r="E1192" s="3"/>
      <c r="F1192" s="3" t="s">
        <v>69</v>
      </c>
      <c r="G1192" s="4">
        <v>2</v>
      </c>
      <c r="H1192" s="4">
        <v>1</v>
      </c>
      <c r="I1192" s="4">
        <v>2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73</v>
      </c>
      <c r="U1192" s="1" t="e">
        <f>VLOOKUP(data[[#This Row],[Material]],'[1]Hoja para mrp'!$A:$Z,26,0)</f>
        <v>#N/A</v>
      </c>
      <c r="V1192" s="1" t="e">
        <f>VLOOKUP(data[[#This Row],[Material]],'[1]Hoja para mrp'!$A:$Z,25,0)</f>
        <v>#N/A</v>
      </c>
    </row>
    <row r="1193" spans="2:22" x14ac:dyDescent="0.25">
      <c r="B1193" s="4">
        <v>30050573</v>
      </c>
      <c r="C1193" s="1" t="s">
        <v>1092</v>
      </c>
      <c r="D1193" s="4" t="s">
        <v>89</v>
      </c>
      <c r="E1193" s="3"/>
      <c r="F1193" s="3" t="s">
        <v>105</v>
      </c>
      <c r="G1193" s="4">
        <v>73</v>
      </c>
      <c r="H1193" s="4">
        <v>72</v>
      </c>
      <c r="I1193" s="4">
        <v>239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s="4" t="s">
        <v>74</v>
      </c>
      <c r="U1193" s="1" t="e">
        <f>VLOOKUP(data[[#This Row],[Material]],'[1]Hoja para mrp'!$A:$Z,26,0)</f>
        <v>#N/A</v>
      </c>
      <c r="V1193" s="1" t="e">
        <f>VLOOKUP(data[[#This Row],[Material]],'[1]Hoja para mrp'!$A:$Z,25,0)</f>
        <v>#N/A</v>
      </c>
    </row>
    <row r="1194" spans="2:22" x14ac:dyDescent="0.25">
      <c r="B1194" s="4">
        <v>30050574</v>
      </c>
      <c r="C1194" s="1" t="s">
        <v>735</v>
      </c>
      <c r="D1194" s="4" t="s">
        <v>89</v>
      </c>
      <c r="E1194" s="3"/>
      <c r="F1194" s="3" t="s">
        <v>69</v>
      </c>
      <c r="G1194" s="4">
        <v>8</v>
      </c>
      <c r="H1194" s="4">
        <v>15</v>
      </c>
      <c r="I1194" s="4">
        <v>9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" t="e">
        <f>VLOOKUP(data[[#This Row],[Material]],'[1]Hoja para mrp'!$A:$Z,26,0)</f>
        <v>#N/A</v>
      </c>
      <c r="V1194" s="1" t="e">
        <f>VLOOKUP(data[[#This Row],[Material]],'[1]Hoja para mrp'!$A:$Z,25,0)</f>
        <v>#N/A</v>
      </c>
    </row>
    <row r="1195" spans="2:22" x14ac:dyDescent="0.25">
      <c r="B1195" s="4">
        <v>30050579</v>
      </c>
      <c r="C1195" s="1" t="s">
        <v>736</v>
      </c>
      <c r="D1195" s="4" t="s">
        <v>89</v>
      </c>
      <c r="E1195" s="3"/>
      <c r="F1195" s="3" t="s">
        <v>69</v>
      </c>
      <c r="G1195" s="4">
        <v>3</v>
      </c>
      <c r="H1195" s="4">
        <v>5</v>
      </c>
      <c r="I1195" s="4">
        <v>34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73</v>
      </c>
      <c r="U1195" s="1" t="e">
        <f>VLOOKUP(data[[#This Row],[Material]],'[1]Hoja para mrp'!$A:$Z,26,0)</f>
        <v>#N/A</v>
      </c>
      <c r="V1195" s="1" t="e">
        <f>VLOOKUP(data[[#This Row],[Material]],'[1]Hoja para mrp'!$A:$Z,25,0)</f>
        <v>#N/A</v>
      </c>
    </row>
    <row r="1196" spans="2:22" x14ac:dyDescent="0.25">
      <c r="B1196" s="4">
        <v>30050583</v>
      </c>
      <c r="C1196" s="1" t="s">
        <v>737</v>
      </c>
      <c r="D1196" s="4" t="s">
        <v>89</v>
      </c>
      <c r="E1196" s="3"/>
      <c r="F1196" s="3" t="s">
        <v>69</v>
      </c>
      <c r="G1196" s="4">
        <v>2</v>
      </c>
      <c r="H1196" s="4">
        <v>3</v>
      </c>
      <c r="I1196" s="4">
        <v>2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" t="e">
        <f>VLOOKUP(data[[#This Row],[Material]],'[1]Hoja para mrp'!$A:$Z,26,0)</f>
        <v>#N/A</v>
      </c>
      <c r="V1196" s="1" t="e">
        <f>VLOOKUP(data[[#This Row],[Material]],'[1]Hoja para mrp'!$A:$Z,25,0)</f>
        <v>#N/A</v>
      </c>
    </row>
    <row r="1197" spans="2:22" x14ac:dyDescent="0.25">
      <c r="B1197" s="4">
        <v>30050586</v>
      </c>
      <c r="C1197" s="1" t="s">
        <v>1093</v>
      </c>
      <c r="D1197" s="4" t="s">
        <v>89</v>
      </c>
      <c r="E1197" s="3"/>
      <c r="F1197" s="3" t="s">
        <v>105</v>
      </c>
      <c r="G1197" s="4">
        <v>17</v>
      </c>
      <c r="H1197" s="4">
        <v>16</v>
      </c>
      <c r="I1197" s="4">
        <v>26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" t="e">
        <f>VLOOKUP(data[[#This Row],[Material]],'[1]Hoja para mrp'!$A:$Z,26,0)</f>
        <v>#N/A</v>
      </c>
      <c r="V1197" s="1" t="e">
        <f>VLOOKUP(data[[#This Row],[Material]],'[1]Hoja para mrp'!$A:$Z,25,0)</f>
        <v>#N/A</v>
      </c>
    </row>
    <row r="1198" spans="2:22" x14ac:dyDescent="0.25">
      <c r="B1198" s="4">
        <v>30050731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2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" t="e">
        <f>VLOOKUP(data[[#This Row],[Material]],'[1]Hoja para mrp'!$A:$Z,26,0)</f>
        <v>#N/A</v>
      </c>
      <c r="V1198" s="1" t="e">
        <f>VLOOKUP(data[[#This Row],[Material]],'[1]Hoja para mrp'!$A:$Z,25,0)</f>
        <v>#N/A</v>
      </c>
    </row>
    <row r="1199" spans="2:22" x14ac:dyDescent="0.25">
      <c r="B1199" s="4">
        <v>30050757</v>
      </c>
      <c r="C1199" s="1" t="s">
        <v>1094</v>
      </c>
      <c r="D1199" s="4" t="s">
        <v>89</v>
      </c>
      <c r="E1199" s="3"/>
      <c r="F1199" s="3" t="s">
        <v>69</v>
      </c>
      <c r="G1199" s="4">
        <v>3</v>
      </c>
      <c r="H1199" s="4">
        <v>2</v>
      </c>
      <c r="I1199" s="4">
        <v>1</v>
      </c>
      <c r="J1199" s="4" t="s">
        <v>8</v>
      </c>
      <c r="K1199" s="4" t="s">
        <v>9</v>
      </c>
      <c r="L1199" s="11" t="s">
        <v>1660</v>
      </c>
      <c r="M1199" s="3"/>
      <c r="N1199"/>
      <c r="O1199" s="4"/>
      <c r="P1199" s="1"/>
      <c r="Q1199" s="22"/>
      <c r="R1199"/>
      <c r="S1199" s="11" t="s">
        <v>1621</v>
      </c>
      <c r="T1199" s="4" t="s">
        <v>68</v>
      </c>
      <c r="U1199" s="1" t="e">
        <f>VLOOKUP(data[[#This Row],[Material]],'[1]Hoja para mrp'!$A:$Z,26,0)</f>
        <v>#N/A</v>
      </c>
      <c r="V1199" s="1" t="e">
        <f>VLOOKUP(data[[#This Row],[Material]],'[1]Hoja para mrp'!$A:$Z,25,0)</f>
        <v>#N/A</v>
      </c>
    </row>
    <row r="1200" spans="2:22" x14ac:dyDescent="0.25">
      <c r="B1200" s="4">
        <v>30050887</v>
      </c>
      <c r="C1200" s="1" t="s">
        <v>866</v>
      </c>
      <c r="D1200" s="4" t="s">
        <v>89</v>
      </c>
      <c r="E1200" s="3"/>
      <c r="F1200" s="3" t="s">
        <v>105</v>
      </c>
      <c r="G1200" s="4">
        <v>2</v>
      </c>
      <c r="H1200" s="4">
        <v>4</v>
      </c>
      <c r="I1200" s="4">
        <v>10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" t="e">
        <f>VLOOKUP(data[[#This Row],[Material]],'[1]Hoja para mrp'!$A:$Z,26,0)</f>
        <v>#N/A</v>
      </c>
      <c r="V1200" s="1" t="e">
        <f>VLOOKUP(data[[#This Row],[Material]],'[1]Hoja para mrp'!$A:$Z,25,0)</f>
        <v>#N/A</v>
      </c>
    </row>
    <row r="1201" spans="2:22" x14ac:dyDescent="0.25">
      <c r="B1201" s="4">
        <v>30050889</v>
      </c>
      <c r="C1201" s="1" t="s">
        <v>867</v>
      </c>
      <c r="D1201" s="4" t="s">
        <v>89</v>
      </c>
      <c r="E1201" s="3"/>
      <c r="F1201" s="3" t="s">
        <v>105</v>
      </c>
      <c r="G1201" s="4">
        <v>1</v>
      </c>
      <c r="H1201" s="4">
        <v>2</v>
      </c>
      <c r="I1201" s="4">
        <v>2</v>
      </c>
      <c r="J1201" s="4" t="s">
        <v>8</v>
      </c>
      <c r="K1201" s="4" t="s">
        <v>7</v>
      </c>
      <c r="L1201" s="11">
        <v>1002666229</v>
      </c>
      <c r="M1201" s="3">
        <v>3</v>
      </c>
      <c r="N1201"/>
      <c r="O1201" s="4"/>
      <c r="P1201" s="1"/>
      <c r="Q1201" s="22"/>
      <c r="R1201"/>
      <c r="S1201" s="11"/>
      <c r="T1201" s="4" t="s">
        <v>73</v>
      </c>
      <c r="U1201" s="1" t="str">
        <f>VLOOKUP(data[[#This Row],[Material]],'[1]Hoja para mrp'!$A:$Z,26,0)</f>
        <v>1ra compra</v>
      </c>
      <c r="V1201" s="1">
        <f>VLOOKUP(data[[#This Row],[Material]],'[1]Hoja para mrp'!$A:$Z,25,0)</f>
        <v>3</v>
      </c>
    </row>
    <row r="1202" spans="2:22" x14ac:dyDescent="0.25">
      <c r="B1202" s="4">
        <v>30050922</v>
      </c>
      <c r="C1202" s="1" t="s">
        <v>921</v>
      </c>
      <c r="D1202" s="4" t="s">
        <v>89</v>
      </c>
      <c r="E1202" s="3"/>
      <c r="F1202" s="3" t="s">
        <v>105</v>
      </c>
      <c r="G1202" s="4">
        <v>5</v>
      </c>
      <c r="H1202" s="4">
        <v>4</v>
      </c>
      <c r="I1202" s="4">
        <v>9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66</v>
      </c>
      <c r="U1202" s="1" t="e">
        <f>VLOOKUP(data[[#This Row],[Material]],'[1]Hoja para mrp'!$A:$Z,26,0)</f>
        <v>#N/A</v>
      </c>
      <c r="V1202" s="1" t="e">
        <f>VLOOKUP(data[[#This Row],[Material]],'[1]Hoja para mrp'!$A:$Z,25,0)</f>
        <v>#N/A</v>
      </c>
    </row>
    <row r="1203" spans="2:22" x14ac:dyDescent="0.25">
      <c r="B1203" s="4">
        <v>30050978</v>
      </c>
      <c r="C1203" s="1" t="s">
        <v>739</v>
      </c>
      <c r="D1203" s="4" t="s">
        <v>89</v>
      </c>
      <c r="E1203" s="3"/>
      <c r="F1203" s="3" t="s">
        <v>69</v>
      </c>
      <c r="G1203" s="4">
        <v>2</v>
      </c>
      <c r="H1203" s="4">
        <v>1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" t="e">
        <f>VLOOKUP(data[[#This Row],[Material]],'[1]Hoja para mrp'!$A:$Z,26,0)</f>
        <v>#N/A</v>
      </c>
      <c r="V1203" s="1" t="e">
        <f>VLOOKUP(data[[#This Row],[Material]],'[1]Hoja para mrp'!$A:$Z,25,0)</f>
        <v>#N/A</v>
      </c>
    </row>
    <row r="1204" spans="2:22" x14ac:dyDescent="0.25">
      <c r="B1204" s="4">
        <v>30050979</v>
      </c>
      <c r="C1204" s="1" t="s">
        <v>740</v>
      </c>
      <c r="D1204" s="4" t="s">
        <v>89</v>
      </c>
      <c r="E1204" s="3"/>
      <c r="F1204" s="3" t="s">
        <v>69</v>
      </c>
      <c r="G1204" s="4">
        <v>2</v>
      </c>
      <c r="H1204" s="4">
        <v>2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73</v>
      </c>
      <c r="U1204" s="1" t="e">
        <f>VLOOKUP(data[[#This Row],[Material]],'[1]Hoja para mrp'!$A:$Z,26,0)</f>
        <v>#N/A</v>
      </c>
      <c r="V1204" s="1" t="e">
        <f>VLOOKUP(data[[#This Row],[Material]],'[1]Hoja para mrp'!$A:$Z,25,0)</f>
        <v>#N/A</v>
      </c>
    </row>
    <row r="1205" spans="2:22" x14ac:dyDescent="0.25">
      <c r="B1205" s="4">
        <v>30050981</v>
      </c>
      <c r="C1205" s="1" t="s">
        <v>742</v>
      </c>
      <c r="D1205" s="4" t="s">
        <v>89</v>
      </c>
      <c r="E1205" s="3"/>
      <c r="F1205" s="3" t="s">
        <v>69</v>
      </c>
      <c r="G1205" s="4">
        <v>1</v>
      </c>
      <c r="H1205" s="4">
        <v>1</v>
      </c>
      <c r="I1205" s="4">
        <v>1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" t="e">
        <f>VLOOKUP(data[[#This Row],[Material]],'[1]Hoja para mrp'!$A:$Z,26,0)</f>
        <v>#N/A</v>
      </c>
      <c r="V1205" s="1" t="e">
        <f>VLOOKUP(data[[#This Row],[Material]],'[1]Hoja para mrp'!$A:$Z,25,0)</f>
        <v>#N/A</v>
      </c>
    </row>
    <row r="1206" spans="2:22" x14ac:dyDescent="0.25">
      <c r="B1206" s="4">
        <v>30051087</v>
      </c>
      <c r="C1206" s="1" t="s">
        <v>743</v>
      </c>
      <c r="D1206" s="4" t="s">
        <v>89</v>
      </c>
      <c r="E1206" s="72"/>
      <c r="F1206" s="3" t="s">
        <v>69</v>
      </c>
      <c r="G1206" s="4">
        <v>6</v>
      </c>
      <c r="H1206" s="4">
        <v>4</v>
      </c>
      <c r="I1206" s="4">
        <v>7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" t="e">
        <f>VLOOKUP(data[[#This Row],[Material]],'[1]Hoja para mrp'!$A:$Z,26,0)</f>
        <v>#N/A</v>
      </c>
      <c r="V1206" s="1" t="e">
        <f>VLOOKUP(data[[#This Row],[Material]],'[1]Hoja para mrp'!$A:$Z,25,0)</f>
        <v>#N/A</v>
      </c>
    </row>
    <row r="1207" spans="2:22" x14ac:dyDescent="0.25">
      <c r="B1207" s="4">
        <v>30051088</v>
      </c>
      <c r="C1207" s="1" t="s">
        <v>744</v>
      </c>
      <c r="D1207" s="4" t="s">
        <v>89</v>
      </c>
      <c r="E1207" s="3"/>
      <c r="F1207" s="3" t="s">
        <v>69</v>
      </c>
      <c r="G1207" s="4">
        <v>5</v>
      </c>
      <c r="H1207" s="4">
        <v>3</v>
      </c>
      <c r="I1207" s="4">
        <v>6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74</v>
      </c>
      <c r="U1207" s="1" t="e">
        <f>VLOOKUP(data[[#This Row],[Material]],'[1]Hoja para mrp'!$A:$Z,26,0)</f>
        <v>#N/A</v>
      </c>
      <c r="V1207" s="1" t="e">
        <f>VLOOKUP(data[[#This Row],[Material]],'[1]Hoja para mrp'!$A:$Z,25,0)</f>
        <v>#N/A</v>
      </c>
    </row>
    <row r="1208" spans="2:22" x14ac:dyDescent="0.25">
      <c r="B1208" s="4">
        <v>30051089</v>
      </c>
      <c r="C1208" s="1" t="s">
        <v>745</v>
      </c>
      <c r="D1208" s="4" t="s">
        <v>89</v>
      </c>
      <c r="E1208" s="3"/>
      <c r="F1208" s="3" t="s">
        <v>69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" t="e">
        <f>VLOOKUP(data[[#This Row],[Material]],'[1]Hoja para mrp'!$A:$Z,26,0)</f>
        <v>#N/A</v>
      </c>
      <c r="V1208" s="1" t="e">
        <f>VLOOKUP(data[[#This Row],[Material]],'[1]Hoja para mrp'!$A:$Z,25,0)</f>
        <v>#N/A</v>
      </c>
    </row>
    <row r="1209" spans="2:22" x14ac:dyDescent="0.25">
      <c r="B1209" s="4">
        <v>30051090</v>
      </c>
      <c r="C1209" s="1" t="s">
        <v>746</v>
      </c>
      <c r="D1209" s="4" t="s">
        <v>89</v>
      </c>
      <c r="E1209" s="3"/>
      <c r="F1209" s="3" t="s">
        <v>69</v>
      </c>
      <c r="G1209" s="4">
        <v>7</v>
      </c>
      <c r="H1209" s="4">
        <v>4</v>
      </c>
      <c r="I1209" s="4">
        <v>5</v>
      </c>
      <c r="J1209" s="4" t="s">
        <v>8</v>
      </c>
      <c r="K1209" s="4" t="s">
        <v>9</v>
      </c>
      <c r="L1209" s="11">
        <v>1002637281</v>
      </c>
      <c r="M1209" s="3">
        <v>4</v>
      </c>
      <c r="N1209"/>
      <c r="O1209" s="4"/>
      <c r="P1209" s="1"/>
      <c r="Q1209" s="22"/>
      <c r="R1209"/>
      <c r="S1209" s="11"/>
      <c r="T1209" s="4" t="s">
        <v>73</v>
      </c>
      <c r="U1209" s="1" t="e">
        <f>VLOOKUP(data[[#This Row],[Material]],'[1]Hoja para mrp'!$A:$Z,26,0)</f>
        <v>#N/A</v>
      </c>
      <c r="V1209" s="1" t="e">
        <f>VLOOKUP(data[[#This Row],[Material]],'[1]Hoja para mrp'!$A:$Z,25,0)</f>
        <v>#N/A</v>
      </c>
    </row>
    <row r="1210" spans="2:22" x14ac:dyDescent="0.25">
      <c r="B1210" s="4">
        <v>30051091</v>
      </c>
      <c r="C1210" s="1" t="s">
        <v>747</v>
      </c>
      <c r="D1210" s="4" t="s">
        <v>89</v>
      </c>
      <c r="E1210" s="3"/>
      <c r="F1210" s="3" t="s">
        <v>69</v>
      </c>
      <c r="G1210" s="4">
        <v>9</v>
      </c>
      <c r="H1210" s="4">
        <v>4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" t="e">
        <f>VLOOKUP(data[[#This Row],[Material]],'[1]Hoja para mrp'!$A:$Z,26,0)</f>
        <v>#N/A</v>
      </c>
      <c r="V1210" s="1" t="e">
        <f>VLOOKUP(data[[#This Row],[Material]],'[1]Hoja para mrp'!$A:$Z,25,0)</f>
        <v>#N/A</v>
      </c>
    </row>
    <row r="1211" spans="2:22" x14ac:dyDescent="0.25">
      <c r="B1211" s="4">
        <v>30051092</v>
      </c>
      <c r="C1211" s="1" t="s">
        <v>748</v>
      </c>
      <c r="D1211" s="4" t="s">
        <v>89</v>
      </c>
      <c r="E1211" s="72"/>
      <c r="F1211" s="3" t="s">
        <v>69</v>
      </c>
      <c r="G1211" s="4">
        <v>11</v>
      </c>
      <c r="H1211" s="4">
        <v>5</v>
      </c>
      <c r="I1211" s="4">
        <v>8</v>
      </c>
      <c r="J1211" s="4" t="s">
        <v>8</v>
      </c>
      <c r="K1211" s="4" t="s">
        <v>9</v>
      </c>
      <c r="L1211" s="11"/>
      <c r="M1211" s="3"/>
      <c r="N1211">
        <v>4502674968</v>
      </c>
      <c r="O1211" s="4">
        <v>5</v>
      </c>
      <c r="P1211" s="1" t="s">
        <v>1628</v>
      </c>
      <c r="Q1211" s="22">
        <v>46216</v>
      </c>
      <c r="R1211"/>
      <c r="S1211" s="11"/>
      <c r="T1211" s="4" t="s">
        <v>74</v>
      </c>
      <c r="U1211" s="1" t="e">
        <f>VLOOKUP(data[[#This Row],[Material]],'[1]Hoja para mrp'!$A:$Z,26,0)</f>
        <v>#N/A</v>
      </c>
      <c r="V1211" s="1" t="e">
        <f>VLOOKUP(data[[#This Row],[Material]],'[1]Hoja para mrp'!$A:$Z,25,0)</f>
        <v>#N/A</v>
      </c>
    </row>
    <row r="1212" spans="2:22" x14ac:dyDescent="0.25">
      <c r="B1212" s="4">
        <v>30051123</v>
      </c>
      <c r="C1212" s="1" t="s">
        <v>749</v>
      </c>
      <c r="D1212" s="4" t="s">
        <v>89</v>
      </c>
      <c r="E1212" s="3"/>
      <c r="F1212" s="3" t="s">
        <v>69</v>
      </c>
      <c r="G1212" s="4">
        <v>9</v>
      </c>
      <c r="H1212" s="4">
        <v>6</v>
      </c>
      <c r="I1212" s="4">
        <v>11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" t="e">
        <f>VLOOKUP(data[[#This Row],[Material]],'[1]Hoja para mrp'!$A:$Z,26,0)</f>
        <v>#N/A</v>
      </c>
      <c r="V1212" s="1" t="e">
        <f>VLOOKUP(data[[#This Row],[Material]],'[1]Hoja para mrp'!$A:$Z,25,0)</f>
        <v>#N/A</v>
      </c>
    </row>
    <row r="1213" spans="2:22" x14ac:dyDescent="0.25">
      <c r="B1213" s="4">
        <v>30051124</v>
      </c>
      <c r="C1213" s="1" t="s">
        <v>750</v>
      </c>
      <c r="D1213" s="4" t="s">
        <v>89</v>
      </c>
      <c r="E1213" s="3"/>
      <c r="F1213" s="3" t="s">
        <v>69</v>
      </c>
      <c r="G1213" s="4">
        <v>16</v>
      </c>
      <c r="H1213" s="4">
        <v>16</v>
      </c>
      <c r="I1213" s="4">
        <v>18</v>
      </c>
      <c r="J1213" s="4" t="s">
        <v>8</v>
      </c>
      <c r="K1213" s="4" t="s">
        <v>7</v>
      </c>
      <c r="L1213" s="11">
        <v>1002637281</v>
      </c>
      <c r="M1213" s="3">
        <v>14</v>
      </c>
      <c r="N1213"/>
      <c r="O1213" s="4"/>
      <c r="P1213" s="1"/>
      <c r="Q1213" s="22"/>
      <c r="R1213"/>
      <c r="S1213" s="11"/>
      <c r="T1213" s="4" t="s">
        <v>73</v>
      </c>
      <c r="U1213" s="1" t="e">
        <f>VLOOKUP(data[[#This Row],[Material]],'[1]Hoja para mrp'!$A:$Z,26,0)</f>
        <v>#N/A</v>
      </c>
      <c r="V1213" s="1" t="e">
        <f>VLOOKUP(data[[#This Row],[Material]],'[1]Hoja para mrp'!$A:$Z,25,0)</f>
        <v>#N/A</v>
      </c>
    </row>
    <row r="1214" spans="2:22" x14ac:dyDescent="0.25">
      <c r="B1214" s="4">
        <v>30051126</v>
      </c>
      <c r="C1214" s="1" t="s">
        <v>1256</v>
      </c>
      <c r="D1214" s="4" t="s">
        <v>89</v>
      </c>
      <c r="E1214" s="3"/>
      <c r="F1214" s="3" t="s">
        <v>69</v>
      </c>
      <c r="G1214" s="4">
        <v>7</v>
      </c>
      <c r="H1214" s="4">
        <v>4</v>
      </c>
      <c r="I1214" s="4">
        <v>8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" t="e">
        <f>VLOOKUP(data[[#This Row],[Material]],'[1]Hoja para mrp'!$A:$Z,26,0)</f>
        <v>#N/A</v>
      </c>
      <c r="V1214" s="1" t="e">
        <f>VLOOKUP(data[[#This Row],[Material]],'[1]Hoja para mrp'!$A:$Z,25,0)</f>
        <v>#N/A</v>
      </c>
    </row>
    <row r="1215" spans="2:22" x14ac:dyDescent="0.25">
      <c r="B1215" s="4">
        <v>30051127</v>
      </c>
      <c r="C1215" s="1" t="s">
        <v>1257</v>
      </c>
      <c r="D1215" s="4" t="s">
        <v>89</v>
      </c>
      <c r="E1215" s="3"/>
      <c r="F1215" s="3" t="s">
        <v>69</v>
      </c>
      <c r="G1215" s="4">
        <v>7</v>
      </c>
      <c r="H1215" s="4">
        <v>4</v>
      </c>
      <c r="I1215" s="4">
        <v>10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73</v>
      </c>
      <c r="U1215" s="1" t="e">
        <f>VLOOKUP(data[[#This Row],[Material]],'[1]Hoja para mrp'!$A:$Z,26,0)</f>
        <v>#N/A</v>
      </c>
      <c r="V1215" s="1" t="e">
        <f>VLOOKUP(data[[#This Row],[Material]],'[1]Hoja para mrp'!$A:$Z,25,0)</f>
        <v>#N/A</v>
      </c>
    </row>
    <row r="1216" spans="2:22" x14ac:dyDescent="0.25">
      <c r="B1216" s="4">
        <v>30051148</v>
      </c>
      <c r="C1216" s="1" t="s">
        <v>751</v>
      </c>
      <c r="D1216" s="4" t="s">
        <v>89</v>
      </c>
      <c r="E1216" s="3"/>
      <c r="F1216" s="3" t="s">
        <v>69</v>
      </c>
      <c r="G1216" s="4">
        <v>4</v>
      </c>
      <c r="H1216" s="4">
        <v>2</v>
      </c>
      <c r="I1216" s="4">
        <v>5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 t="s">
        <v>1622</v>
      </c>
      <c r="T1216" s="4" t="s">
        <v>73</v>
      </c>
      <c r="U1216" s="1" t="e">
        <f>VLOOKUP(data[[#This Row],[Material]],'[1]Hoja para mrp'!$A:$Z,26,0)</f>
        <v>#N/A</v>
      </c>
      <c r="V1216" s="1" t="e">
        <f>VLOOKUP(data[[#This Row],[Material]],'[1]Hoja para mrp'!$A:$Z,25,0)</f>
        <v>#N/A</v>
      </c>
    </row>
    <row r="1217" spans="2:23" x14ac:dyDescent="0.25">
      <c r="B1217" s="4">
        <v>30051149</v>
      </c>
      <c r="C1217" s="1" t="s">
        <v>873</v>
      </c>
      <c r="D1217" s="4" t="s">
        <v>89</v>
      </c>
      <c r="E1217" s="3"/>
      <c r="F1217" s="3" t="s">
        <v>105</v>
      </c>
      <c r="G1217" s="4">
        <v>4</v>
      </c>
      <c r="H1217" s="4">
        <v>3</v>
      </c>
      <c r="I1217" s="4">
        <v>4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" t="e">
        <f>VLOOKUP(data[[#This Row],[Material]],'[1]Hoja para mrp'!$A:$Z,26,0)</f>
        <v>#N/A</v>
      </c>
      <c r="V1217" s="1" t="e">
        <f>VLOOKUP(data[[#This Row],[Material]],'[1]Hoja para mrp'!$A:$Z,25,0)</f>
        <v>#N/A</v>
      </c>
    </row>
    <row r="1218" spans="2:23" x14ac:dyDescent="0.25">
      <c r="B1218" s="4">
        <v>30051151</v>
      </c>
      <c r="C1218" s="1" t="s">
        <v>922</v>
      </c>
      <c r="D1218" s="4" t="s">
        <v>89</v>
      </c>
      <c r="E1218" s="3" t="s">
        <v>1228</v>
      </c>
      <c r="F1218" s="3" t="s">
        <v>105</v>
      </c>
      <c r="G1218" s="4">
        <v>4</v>
      </c>
      <c r="H1218" s="4">
        <v>3</v>
      </c>
      <c r="I1218" s="4">
        <v>6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74</v>
      </c>
      <c r="U1218" s="1" t="e">
        <f>VLOOKUP(data[[#This Row],[Material]],'[1]Hoja para mrp'!$A:$Z,26,0)</f>
        <v>#N/A</v>
      </c>
      <c r="V1218" s="1" t="e">
        <f>VLOOKUP(data[[#This Row],[Material]],'[1]Hoja para mrp'!$A:$Z,25,0)</f>
        <v>#N/A</v>
      </c>
    </row>
    <row r="1219" spans="2:23" x14ac:dyDescent="0.25">
      <c r="B1219" s="4">
        <v>30051303</v>
      </c>
      <c r="C1219" s="1" t="s">
        <v>752</v>
      </c>
      <c r="D1219" s="4" t="s">
        <v>89</v>
      </c>
      <c r="E1219" s="72"/>
      <c r="F1219" s="3" t="s">
        <v>69</v>
      </c>
      <c r="G1219" s="4">
        <v>2</v>
      </c>
      <c r="H1219" s="4">
        <v>3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" t="e">
        <f>VLOOKUP(data[[#This Row],[Material]],'[1]Hoja para mrp'!$A:$Z,26,0)</f>
        <v>#N/A</v>
      </c>
      <c r="V1219" s="1" t="e">
        <f>VLOOKUP(data[[#This Row],[Material]],'[1]Hoja para mrp'!$A:$Z,25,0)</f>
        <v>#N/A</v>
      </c>
    </row>
    <row r="1220" spans="2:23" x14ac:dyDescent="0.25">
      <c r="B1220" s="4">
        <v>30051390</v>
      </c>
      <c r="C1220" s="1" t="s">
        <v>753</v>
      </c>
      <c r="D1220" s="4" t="s">
        <v>89</v>
      </c>
      <c r="E1220" s="3"/>
      <c r="F1220" s="3" t="s">
        <v>69</v>
      </c>
      <c r="G1220" s="4">
        <v>54</v>
      </c>
      <c r="H1220" s="4">
        <v>54</v>
      </c>
      <c r="I1220" s="4">
        <v>49</v>
      </c>
      <c r="J1220" s="4" t="s">
        <v>25</v>
      </c>
      <c r="K1220" s="4" t="s">
        <v>9</v>
      </c>
      <c r="L1220" s="11"/>
      <c r="M1220" s="3"/>
      <c r="N1220">
        <v>4502686643</v>
      </c>
      <c r="O1220" s="4">
        <v>54</v>
      </c>
      <c r="P1220" s="1" t="s">
        <v>1651</v>
      </c>
      <c r="Q1220" s="22">
        <v>46199</v>
      </c>
      <c r="R1220"/>
      <c r="S1220" s="11"/>
      <c r="T1220" s="4" t="s">
        <v>74</v>
      </c>
      <c r="U1220" s="1" t="e">
        <f>VLOOKUP(data[[#This Row],[Material]],'[1]Hoja para mrp'!$A:$Z,26,0)</f>
        <v>#N/A</v>
      </c>
      <c r="V1220" s="1" t="e">
        <f>VLOOKUP(data[[#This Row],[Material]],'[1]Hoja para mrp'!$A:$Z,25,0)</f>
        <v>#N/A</v>
      </c>
    </row>
    <row r="1221" spans="2:23" x14ac:dyDescent="0.25">
      <c r="B1221" s="4">
        <v>30051434</v>
      </c>
      <c r="C1221" s="1" t="s">
        <v>754</v>
      </c>
      <c r="D1221" s="4" t="s">
        <v>89</v>
      </c>
      <c r="E1221" s="3"/>
      <c r="F1221" s="3" t="s">
        <v>69</v>
      </c>
      <c r="G1221" s="4">
        <v>30</v>
      </c>
      <c r="H1221" s="4">
        <v>30</v>
      </c>
      <c r="I1221" s="4">
        <v>30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" t="e">
        <f>VLOOKUP(data[[#This Row],[Material]],'[1]Hoja para mrp'!$A:$Z,26,0)</f>
        <v>#N/A</v>
      </c>
      <c r="V1221" s="1" t="e">
        <f>VLOOKUP(data[[#This Row],[Material]],'[1]Hoja para mrp'!$A:$Z,25,0)</f>
        <v>#N/A</v>
      </c>
    </row>
    <row r="1222" spans="2:23" x14ac:dyDescent="0.25">
      <c r="B1222" s="4">
        <v>30051435</v>
      </c>
      <c r="C1222" s="1" t="s">
        <v>755</v>
      </c>
      <c r="D1222" s="4" t="s">
        <v>89</v>
      </c>
      <c r="E1222" s="3"/>
      <c r="F1222" s="3" t="s">
        <v>69</v>
      </c>
      <c r="G1222" s="4">
        <v>28</v>
      </c>
      <c r="H1222" s="4">
        <v>20</v>
      </c>
      <c r="I1222" s="4">
        <v>46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73</v>
      </c>
      <c r="U1222" s="1" t="e">
        <f>VLOOKUP(data[[#This Row],[Material]],'[1]Hoja para mrp'!$A:$Z,26,0)</f>
        <v>#N/A</v>
      </c>
      <c r="V1222" s="1" t="e">
        <f>VLOOKUP(data[[#This Row],[Material]],'[1]Hoja para mrp'!$A:$Z,25,0)</f>
        <v>#N/A</v>
      </c>
    </row>
    <row r="1223" spans="2:23" x14ac:dyDescent="0.25">
      <c r="B1223" s="4">
        <v>30051440</v>
      </c>
      <c r="C1223" s="1" t="s">
        <v>756</v>
      </c>
      <c r="D1223" s="4" t="s">
        <v>89</v>
      </c>
      <c r="E1223" s="3"/>
      <c r="F1223" s="3" t="s">
        <v>69</v>
      </c>
      <c r="G1223" s="4">
        <v>3500</v>
      </c>
      <c r="H1223" s="4">
        <v>12740</v>
      </c>
      <c r="I1223" s="4">
        <v>3538</v>
      </c>
      <c r="J1223" s="4" t="s">
        <v>23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" t="e">
        <f>VLOOKUP(data[[#This Row],[Material]],'[1]Hoja para mrp'!$A:$Z,26,0)</f>
        <v>#N/A</v>
      </c>
      <c r="V1223" s="1" t="e">
        <f>VLOOKUP(data[[#This Row],[Material]],'[1]Hoja para mrp'!$A:$Z,25,0)</f>
        <v>#N/A</v>
      </c>
    </row>
    <row r="1224" spans="2:23" x14ac:dyDescent="0.25">
      <c r="B1224" s="4">
        <v>30051455</v>
      </c>
      <c r="C1224" s="1" t="s">
        <v>757</v>
      </c>
      <c r="D1224" s="4" t="s">
        <v>89</v>
      </c>
      <c r="E1224" s="3"/>
      <c r="F1224" s="3" t="s">
        <v>69</v>
      </c>
      <c r="G1224" s="4">
        <v>3</v>
      </c>
      <c r="H1224" s="4">
        <v>3</v>
      </c>
      <c r="I1224" s="4">
        <v>4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" t="e">
        <f>VLOOKUP(data[[#This Row],[Material]],'[1]Hoja para mrp'!$A:$Z,26,0)</f>
        <v>#N/A</v>
      </c>
      <c r="V1224" s="1" t="e">
        <f>VLOOKUP(data[[#This Row],[Material]],'[1]Hoja para mrp'!$A:$Z,25,0)</f>
        <v>#N/A</v>
      </c>
    </row>
    <row r="1225" spans="2:23" x14ac:dyDescent="0.25">
      <c r="B1225" s="4">
        <v>30051537</v>
      </c>
      <c r="C1225" s="1" t="s">
        <v>758</v>
      </c>
      <c r="D1225" s="4" t="s">
        <v>89</v>
      </c>
      <c r="E1225" s="3"/>
      <c r="F1225" s="3" t="s">
        <v>69</v>
      </c>
      <c r="G1225" s="4">
        <v>11</v>
      </c>
      <c r="H1225" s="4">
        <v>18</v>
      </c>
      <c r="I1225" s="4">
        <v>44</v>
      </c>
      <c r="J1225" s="4" t="s">
        <v>8</v>
      </c>
      <c r="K1225" s="4" t="s">
        <v>14</v>
      </c>
      <c r="L1225" s="11"/>
      <c r="M1225" s="3"/>
      <c r="N1225">
        <v>4502674443</v>
      </c>
      <c r="O1225" s="4">
        <v>300</v>
      </c>
      <c r="P1225" s="1" t="s">
        <v>1513</v>
      </c>
      <c r="Q1225" s="22">
        <v>46169</v>
      </c>
      <c r="R1225"/>
      <c r="S1225" s="11"/>
      <c r="T1225" s="4" t="s">
        <v>71</v>
      </c>
      <c r="U1225" s="1" t="e">
        <f>VLOOKUP(data[[#This Row],[Material]],'[1]Hoja para mrp'!$A:$Z,26,0)</f>
        <v>#N/A</v>
      </c>
      <c r="V1225" s="1" t="e">
        <f>VLOOKUP(data[[#This Row],[Material]],'[1]Hoja para mrp'!$A:$Z,25,0)</f>
        <v>#N/A</v>
      </c>
      <c r="W1225" s="1" t="s">
        <v>1692</v>
      </c>
    </row>
    <row r="1226" spans="2:23" x14ac:dyDescent="0.25">
      <c r="B1226" s="4">
        <v>30051538</v>
      </c>
      <c r="C1226" s="1" t="s">
        <v>759</v>
      </c>
      <c r="D1226" s="4" t="s">
        <v>89</v>
      </c>
      <c r="E1226" s="3"/>
      <c r="F1226" s="3" t="s">
        <v>69</v>
      </c>
      <c r="G1226" s="4">
        <v>40</v>
      </c>
      <c r="H1226" s="4">
        <v>100</v>
      </c>
      <c r="I1226" s="4">
        <v>3</v>
      </c>
      <c r="J1226" s="4" t="s">
        <v>8</v>
      </c>
      <c r="K1226" s="4" t="s">
        <v>9</v>
      </c>
      <c r="L1226" s="11"/>
      <c r="M1226" s="3"/>
      <c r="N1226">
        <v>4502674443</v>
      </c>
      <c r="O1226" s="4">
        <v>200</v>
      </c>
      <c r="P1226" s="1" t="s">
        <v>1513</v>
      </c>
      <c r="Q1226" s="22">
        <v>46169</v>
      </c>
      <c r="R1226"/>
      <c r="S1226" s="11"/>
      <c r="T1226" s="4" t="s">
        <v>71</v>
      </c>
      <c r="U1226" s="1" t="e">
        <f>VLOOKUP(data[[#This Row],[Material]],'[1]Hoja para mrp'!$A:$Z,26,0)</f>
        <v>#N/A</v>
      </c>
      <c r="V1226" s="1" t="e">
        <f>VLOOKUP(data[[#This Row],[Material]],'[1]Hoja para mrp'!$A:$Z,25,0)</f>
        <v>#N/A</v>
      </c>
      <c r="W1226" s="1" t="s">
        <v>1692</v>
      </c>
    </row>
    <row r="1227" spans="2:23" x14ac:dyDescent="0.25">
      <c r="B1227" s="4">
        <v>30051539</v>
      </c>
      <c r="C1227" s="1" t="s">
        <v>1510</v>
      </c>
      <c r="D1227" s="4" t="s">
        <v>89</v>
      </c>
      <c r="E1227" s="3"/>
      <c r="F1227" s="3" t="s">
        <v>69</v>
      </c>
      <c r="G1227" s="4">
        <v>100</v>
      </c>
      <c r="H1227" s="4">
        <v>300</v>
      </c>
      <c r="I1227" s="4">
        <v>500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71</v>
      </c>
      <c r="U1227" s="1" t="e">
        <f>VLOOKUP(data[[#This Row],[Material]],'[1]Hoja para mrp'!$A:$Z,26,0)</f>
        <v>#N/A</v>
      </c>
      <c r="V1227" s="1" t="e">
        <f>VLOOKUP(data[[#This Row],[Material]],'[1]Hoja para mrp'!$A:$Z,25,0)</f>
        <v>#N/A</v>
      </c>
    </row>
    <row r="1228" spans="2:23" x14ac:dyDescent="0.25">
      <c r="B1228" s="4">
        <v>30051540</v>
      </c>
      <c r="C1228" s="1" t="s">
        <v>760</v>
      </c>
      <c r="D1228" s="4" t="s">
        <v>89</v>
      </c>
      <c r="E1228" s="3"/>
      <c r="F1228" s="3" t="s">
        <v>69</v>
      </c>
      <c r="G1228" s="4">
        <v>150</v>
      </c>
      <c r="H1228" s="4">
        <v>300</v>
      </c>
      <c r="I1228" s="4">
        <v>400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s="4" t="s">
        <v>71</v>
      </c>
      <c r="U1228" s="1" t="e">
        <f>VLOOKUP(data[[#This Row],[Material]],'[1]Hoja para mrp'!$A:$Z,26,0)</f>
        <v>#N/A</v>
      </c>
      <c r="V1228" s="1" t="e">
        <f>VLOOKUP(data[[#This Row],[Material]],'[1]Hoja para mrp'!$A:$Z,25,0)</f>
        <v>#N/A</v>
      </c>
    </row>
    <row r="1229" spans="2:23" x14ac:dyDescent="0.25">
      <c r="B1229" s="4">
        <v>30051541</v>
      </c>
      <c r="C1229" s="1" t="s">
        <v>761</v>
      </c>
      <c r="D1229" s="4" t="s">
        <v>89</v>
      </c>
      <c r="E1229" s="3"/>
      <c r="F1229" s="3" t="s">
        <v>69</v>
      </c>
      <c r="G1229" s="4">
        <v>2</v>
      </c>
      <c r="H1229" s="4">
        <v>2</v>
      </c>
      <c r="I1229" s="4">
        <v>8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73</v>
      </c>
      <c r="U1229" s="1" t="e">
        <f>VLOOKUP(data[[#This Row],[Material]],'[1]Hoja para mrp'!$A:$Z,26,0)</f>
        <v>#N/A</v>
      </c>
      <c r="V1229" s="1" t="e">
        <f>VLOOKUP(data[[#This Row],[Material]],'[1]Hoja para mrp'!$A:$Z,25,0)</f>
        <v>#N/A</v>
      </c>
    </row>
    <row r="1230" spans="2:23" x14ac:dyDescent="0.25">
      <c r="B1230" s="4">
        <v>30051542</v>
      </c>
      <c r="C1230" s="1" t="s">
        <v>1346</v>
      </c>
      <c r="D1230" s="4" t="s">
        <v>89</v>
      </c>
      <c r="E1230" s="3"/>
      <c r="F1230" s="3" t="s">
        <v>69</v>
      </c>
      <c r="G1230" s="4">
        <v>3</v>
      </c>
      <c r="H1230" s="4">
        <v>4</v>
      </c>
      <c r="I1230" s="4">
        <v>4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66</v>
      </c>
      <c r="U1230" s="1" t="e">
        <f>VLOOKUP(data[[#This Row],[Material]],'[1]Hoja para mrp'!$A:$Z,26,0)</f>
        <v>#N/A</v>
      </c>
      <c r="V1230" s="1" t="e">
        <f>VLOOKUP(data[[#This Row],[Material]],'[1]Hoja para mrp'!$A:$Z,25,0)</f>
        <v>#N/A</v>
      </c>
    </row>
    <row r="1231" spans="2:23" x14ac:dyDescent="0.25">
      <c r="B1231" s="4">
        <v>30051548</v>
      </c>
      <c r="C1231" s="1" t="s">
        <v>1172</v>
      </c>
      <c r="D1231" s="4" t="s">
        <v>89</v>
      </c>
      <c r="E1231" s="3" t="s">
        <v>1228</v>
      </c>
      <c r="F1231" s="3" t="s">
        <v>105</v>
      </c>
      <c r="G1231" s="4">
        <v>3</v>
      </c>
      <c r="H1231" s="4">
        <v>2</v>
      </c>
      <c r="I1231" s="4">
        <v>2</v>
      </c>
      <c r="J1231" s="4" t="s">
        <v>8</v>
      </c>
      <c r="K1231" s="4" t="s">
        <v>9</v>
      </c>
      <c r="L1231" s="11">
        <v>1002620017</v>
      </c>
      <c r="M1231" s="3">
        <v>3</v>
      </c>
      <c r="N1231"/>
      <c r="O1231" s="4"/>
      <c r="P1231" s="1"/>
      <c r="Q1231" s="22"/>
      <c r="R1231"/>
      <c r="S1231" s="11" t="s">
        <v>1634</v>
      </c>
      <c r="T1231" s="4" t="s">
        <v>73</v>
      </c>
      <c r="U1231" s="1" t="e">
        <f>VLOOKUP(data[[#This Row],[Material]],'[1]Hoja para mrp'!$A:$Z,26,0)</f>
        <v>#N/A</v>
      </c>
      <c r="V1231" s="1" t="e">
        <f>VLOOKUP(data[[#This Row],[Material]],'[1]Hoja para mrp'!$A:$Z,25,0)</f>
        <v>#N/A</v>
      </c>
    </row>
    <row r="1232" spans="2:23" x14ac:dyDescent="0.25">
      <c r="B1232" s="4">
        <v>30051604</v>
      </c>
      <c r="C1232" s="1" t="s">
        <v>762</v>
      </c>
      <c r="D1232" s="4" t="s">
        <v>89</v>
      </c>
      <c r="E1232" s="72"/>
      <c r="F1232" s="3" t="s">
        <v>69</v>
      </c>
      <c r="G1232" s="4">
        <v>2</v>
      </c>
      <c r="H1232" s="4">
        <v>2</v>
      </c>
      <c r="I1232" s="4">
        <v>6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" t="e">
        <f>VLOOKUP(data[[#This Row],[Material]],'[1]Hoja para mrp'!$A:$Z,26,0)</f>
        <v>#N/A</v>
      </c>
      <c r="V1232" s="1" t="e">
        <f>VLOOKUP(data[[#This Row],[Material]],'[1]Hoja para mrp'!$A:$Z,25,0)</f>
        <v>#N/A</v>
      </c>
    </row>
    <row r="1233" spans="2:22" x14ac:dyDescent="0.25">
      <c r="B1233" s="4">
        <v>30051653</v>
      </c>
      <c r="C1233" s="1" t="s">
        <v>763</v>
      </c>
      <c r="D1233" s="4" t="s">
        <v>89</v>
      </c>
      <c r="E1233" s="3"/>
      <c r="F1233" s="3" t="s">
        <v>69</v>
      </c>
      <c r="G1233" s="4">
        <v>2</v>
      </c>
      <c r="H1233" s="4">
        <v>3</v>
      </c>
      <c r="I1233" s="4">
        <v>3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66</v>
      </c>
      <c r="U1233" s="1" t="e">
        <f>VLOOKUP(data[[#This Row],[Material]],'[1]Hoja para mrp'!$A:$Z,26,0)</f>
        <v>#N/A</v>
      </c>
      <c r="V1233" s="1" t="e">
        <f>VLOOKUP(data[[#This Row],[Material]],'[1]Hoja para mrp'!$A:$Z,25,0)</f>
        <v>#N/A</v>
      </c>
    </row>
    <row r="1234" spans="2:22" x14ac:dyDescent="0.25">
      <c r="B1234" s="4">
        <v>30051659</v>
      </c>
      <c r="C1234" s="1" t="s">
        <v>764</v>
      </c>
      <c r="D1234" s="4" t="s">
        <v>89</v>
      </c>
      <c r="E1234" s="3"/>
      <c r="F1234" s="3" t="s">
        <v>69</v>
      </c>
      <c r="G1234" s="4">
        <v>7</v>
      </c>
      <c r="H1234" s="4">
        <v>4</v>
      </c>
      <c r="I1234" s="4">
        <v>8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74</v>
      </c>
      <c r="U1234" s="1" t="e">
        <f>VLOOKUP(data[[#This Row],[Material]],'[1]Hoja para mrp'!$A:$Z,26,0)</f>
        <v>#N/A</v>
      </c>
      <c r="V1234" s="1" t="e">
        <f>VLOOKUP(data[[#This Row],[Material]],'[1]Hoja para mrp'!$A:$Z,25,0)</f>
        <v>#N/A</v>
      </c>
    </row>
    <row r="1235" spans="2:22" x14ac:dyDescent="0.25">
      <c r="B1235" s="4">
        <v>30051725</v>
      </c>
      <c r="C1235" s="1" t="s">
        <v>765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" t="e">
        <f>VLOOKUP(data[[#This Row],[Material]],'[1]Hoja para mrp'!$A:$Z,26,0)</f>
        <v>#N/A</v>
      </c>
      <c r="V1235" s="1" t="e">
        <f>VLOOKUP(data[[#This Row],[Material]],'[1]Hoja para mrp'!$A:$Z,25,0)</f>
        <v>#N/A</v>
      </c>
    </row>
    <row r="1236" spans="2:22" x14ac:dyDescent="0.25">
      <c r="B1236" s="4">
        <v>30051767</v>
      </c>
      <c r="C1236" s="1" t="s">
        <v>766</v>
      </c>
      <c r="D1236" s="4" t="s">
        <v>89</v>
      </c>
      <c r="E1236" s="3"/>
      <c r="F1236" s="3" t="s">
        <v>69</v>
      </c>
      <c r="G1236" s="4">
        <v>20</v>
      </c>
      <c r="H1236" s="4">
        <v>20</v>
      </c>
      <c r="I1236" s="4">
        <v>36</v>
      </c>
      <c r="J1236" s="4" t="s">
        <v>10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66</v>
      </c>
      <c r="U1236" s="1" t="e">
        <f>VLOOKUP(data[[#This Row],[Material]],'[1]Hoja para mrp'!$A:$Z,26,0)</f>
        <v>#N/A</v>
      </c>
      <c r="V1236" s="1" t="e">
        <f>VLOOKUP(data[[#This Row],[Material]],'[1]Hoja para mrp'!$A:$Z,25,0)</f>
        <v>#N/A</v>
      </c>
    </row>
    <row r="1237" spans="2:22" x14ac:dyDescent="0.25">
      <c r="B1237" s="4">
        <v>30052253</v>
      </c>
      <c r="C1237" s="1" t="s">
        <v>767</v>
      </c>
      <c r="D1237" s="4" t="s">
        <v>89</v>
      </c>
      <c r="E1237" s="3"/>
      <c r="F1237" s="3" t="s">
        <v>69</v>
      </c>
      <c r="G1237" s="4">
        <v>3</v>
      </c>
      <c r="H1237" s="4">
        <v>5</v>
      </c>
      <c r="I1237" s="4">
        <v>2</v>
      </c>
      <c r="J1237" s="4" t="s">
        <v>8</v>
      </c>
      <c r="K1237" s="4" t="s">
        <v>9</v>
      </c>
      <c r="L1237" s="11">
        <v>1002648063</v>
      </c>
      <c r="M1237" s="3">
        <v>5</v>
      </c>
      <c r="N1237"/>
      <c r="O1237" s="4"/>
      <c r="P1237" s="1"/>
      <c r="Q1237" s="22"/>
      <c r="R1237"/>
      <c r="S1237" s="11"/>
      <c r="T1237" s="4" t="s">
        <v>73</v>
      </c>
      <c r="U1237" s="1" t="e">
        <f>VLOOKUP(data[[#This Row],[Material]],'[1]Hoja para mrp'!$A:$Z,26,0)</f>
        <v>#N/A</v>
      </c>
      <c r="V1237" s="1" t="e">
        <f>VLOOKUP(data[[#This Row],[Material]],'[1]Hoja para mrp'!$A:$Z,25,0)</f>
        <v>#N/A</v>
      </c>
    </row>
    <row r="1238" spans="2:22" x14ac:dyDescent="0.25">
      <c r="B1238" s="4">
        <v>30052303</v>
      </c>
      <c r="C1238" s="1" t="s">
        <v>768</v>
      </c>
      <c r="D1238" s="4" t="s">
        <v>89</v>
      </c>
      <c r="E1238" s="3"/>
      <c r="F1238" s="3" t="s">
        <v>69</v>
      </c>
      <c r="G1238" s="4">
        <v>2</v>
      </c>
      <c r="H1238" s="4">
        <v>2</v>
      </c>
      <c r="I1238" s="4">
        <v>2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74</v>
      </c>
      <c r="U1238" s="1" t="e">
        <f>VLOOKUP(data[[#This Row],[Material]],'[1]Hoja para mrp'!$A:$Z,26,0)</f>
        <v>#N/A</v>
      </c>
      <c r="V1238" s="1" t="e">
        <f>VLOOKUP(data[[#This Row],[Material]],'[1]Hoja para mrp'!$A:$Z,25,0)</f>
        <v>#N/A</v>
      </c>
    </row>
    <row r="1239" spans="2:22" x14ac:dyDescent="0.25">
      <c r="B1239" s="4">
        <v>30052311</v>
      </c>
      <c r="C1239" s="1" t="s">
        <v>769</v>
      </c>
      <c r="D1239" s="4" t="s">
        <v>89</v>
      </c>
      <c r="E1239" s="3"/>
      <c r="F1239" s="3" t="s">
        <v>69</v>
      </c>
      <c r="G1239" s="4">
        <v>2</v>
      </c>
      <c r="H1239" s="4">
        <v>1</v>
      </c>
      <c r="I1239" s="4">
        <v>18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73</v>
      </c>
      <c r="U1239" s="1" t="e">
        <f>VLOOKUP(data[[#This Row],[Material]],'[1]Hoja para mrp'!$A:$Z,26,0)</f>
        <v>#N/A</v>
      </c>
      <c r="V1239" s="1" t="e">
        <f>VLOOKUP(data[[#This Row],[Material]],'[1]Hoja para mrp'!$A:$Z,25,0)</f>
        <v>#N/A</v>
      </c>
    </row>
    <row r="1240" spans="2:22" x14ac:dyDescent="0.25">
      <c r="B1240" s="4">
        <v>30052324</v>
      </c>
      <c r="C1240" s="1" t="s">
        <v>770</v>
      </c>
      <c r="D1240" s="4" t="s">
        <v>89</v>
      </c>
      <c r="E1240" s="3"/>
      <c r="F1240" s="3" t="s">
        <v>69</v>
      </c>
      <c r="G1240" s="4">
        <v>2</v>
      </c>
      <c r="H1240" s="4">
        <v>1</v>
      </c>
      <c r="I1240" s="4">
        <v>27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s="4" t="s">
        <v>67</v>
      </c>
      <c r="U1240" s="1" t="e">
        <f>VLOOKUP(data[[#This Row],[Material]],'[1]Hoja para mrp'!$A:$Z,26,0)</f>
        <v>#N/A</v>
      </c>
      <c r="V1240" s="1" t="e">
        <f>VLOOKUP(data[[#This Row],[Material]],'[1]Hoja para mrp'!$A:$Z,25,0)</f>
        <v>#N/A</v>
      </c>
    </row>
    <row r="1241" spans="2:22" x14ac:dyDescent="0.25">
      <c r="B1241" s="4">
        <v>30052991</v>
      </c>
      <c r="C1241" s="1" t="s">
        <v>1095</v>
      </c>
      <c r="D1241" s="4" t="s">
        <v>89</v>
      </c>
      <c r="E1241" s="3"/>
      <c r="F1241" s="3" t="s">
        <v>105</v>
      </c>
      <c r="G1241" s="4">
        <v>2</v>
      </c>
      <c r="H1241" s="4">
        <v>1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67</v>
      </c>
      <c r="U1241" s="1" t="e">
        <f>VLOOKUP(data[[#This Row],[Material]],'[1]Hoja para mrp'!$A:$Z,26,0)</f>
        <v>#N/A</v>
      </c>
      <c r="V1241" s="1" t="e">
        <f>VLOOKUP(data[[#This Row],[Material]],'[1]Hoja para mrp'!$A:$Z,25,0)</f>
        <v>#N/A</v>
      </c>
    </row>
    <row r="1242" spans="2:22" x14ac:dyDescent="0.25">
      <c r="B1242" s="4">
        <v>30053002</v>
      </c>
      <c r="C1242" s="1" t="s">
        <v>923</v>
      </c>
      <c r="D1242" s="4" t="s">
        <v>89</v>
      </c>
      <c r="E1242" s="3" t="s">
        <v>1228</v>
      </c>
      <c r="F1242" s="3" t="s">
        <v>105</v>
      </c>
      <c r="G1242" s="4">
        <v>3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74</v>
      </c>
      <c r="U1242" s="1" t="e">
        <f>VLOOKUP(data[[#This Row],[Material]],'[1]Hoja para mrp'!$A:$Z,26,0)</f>
        <v>#N/A</v>
      </c>
      <c r="V1242" s="1" t="e">
        <f>VLOOKUP(data[[#This Row],[Material]],'[1]Hoja para mrp'!$A:$Z,25,0)</f>
        <v>#N/A</v>
      </c>
    </row>
    <row r="1243" spans="2:22" x14ac:dyDescent="0.25">
      <c r="B1243" s="4">
        <v>30053005</v>
      </c>
      <c r="C1243" s="1" t="s">
        <v>924</v>
      </c>
      <c r="D1243" s="4" t="s">
        <v>89</v>
      </c>
      <c r="E1243" s="3" t="s">
        <v>1228</v>
      </c>
      <c r="F1243" s="3" t="s">
        <v>105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74</v>
      </c>
      <c r="U1243" s="1" t="e">
        <f>VLOOKUP(data[[#This Row],[Material]],'[1]Hoja para mrp'!$A:$Z,26,0)</f>
        <v>#N/A</v>
      </c>
      <c r="V1243" s="1" t="e">
        <f>VLOOKUP(data[[#This Row],[Material]],'[1]Hoja para mrp'!$A:$Z,25,0)</f>
        <v>#N/A</v>
      </c>
    </row>
    <row r="1244" spans="2:22" x14ac:dyDescent="0.25">
      <c r="B1244" s="4">
        <v>30053006</v>
      </c>
      <c r="C1244" s="1" t="s">
        <v>925</v>
      </c>
      <c r="D1244" s="4" t="s">
        <v>89</v>
      </c>
      <c r="E1244" s="3" t="s">
        <v>1228</v>
      </c>
      <c r="F1244" s="3" t="s">
        <v>105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" t="e">
        <f>VLOOKUP(data[[#This Row],[Material]],'[1]Hoja para mrp'!$A:$Z,26,0)</f>
        <v>#N/A</v>
      </c>
      <c r="V1244" s="1" t="e">
        <f>VLOOKUP(data[[#This Row],[Material]],'[1]Hoja para mrp'!$A:$Z,25,0)</f>
        <v>#N/A</v>
      </c>
    </row>
    <row r="1245" spans="2:22" x14ac:dyDescent="0.25">
      <c r="B1245" s="4">
        <v>30053007</v>
      </c>
      <c r="C1245" s="1" t="s">
        <v>926</v>
      </c>
      <c r="D1245" s="4" t="s">
        <v>89</v>
      </c>
      <c r="E1245" s="3" t="s">
        <v>1228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" t="e">
        <f>VLOOKUP(data[[#This Row],[Material]],'[1]Hoja para mrp'!$A:$Z,26,0)</f>
        <v>#N/A</v>
      </c>
      <c r="V1245" s="1" t="e">
        <f>VLOOKUP(data[[#This Row],[Material]],'[1]Hoja para mrp'!$A:$Z,25,0)</f>
        <v>#N/A</v>
      </c>
    </row>
    <row r="1246" spans="2:22" x14ac:dyDescent="0.25">
      <c r="B1246" s="4">
        <v>30053069</v>
      </c>
      <c r="C1246" s="1" t="s">
        <v>1379</v>
      </c>
      <c r="D1246" s="4" t="s">
        <v>89</v>
      </c>
      <c r="E1246" s="3"/>
      <c r="F1246" s="3" t="s">
        <v>69</v>
      </c>
      <c r="G1246" s="4">
        <v>1</v>
      </c>
      <c r="H1246" s="4">
        <v>1</v>
      </c>
      <c r="I1246" s="4">
        <v>1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68</v>
      </c>
      <c r="U1246" s="1" t="e">
        <f>VLOOKUP(data[[#This Row],[Material]],'[1]Hoja para mrp'!$A:$Z,26,0)</f>
        <v>#N/A</v>
      </c>
      <c r="V1246" s="1" t="e">
        <f>VLOOKUP(data[[#This Row],[Material]],'[1]Hoja para mrp'!$A:$Z,25,0)</f>
        <v>#N/A</v>
      </c>
    </row>
    <row r="1247" spans="2:22" x14ac:dyDescent="0.25">
      <c r="B1247" s="4">
        <v>30053076</v>
      </c>
      <c r="C1247" s="1" t="s">
        <v>771</v>
      </c>
      <c r="D1247" s="4" t="s">
        <v>89</v>
      </c>
      <c r="E1247" s="3"/>
      <c r="F1247" s="3" t="s">
        <v>69</v>
      </c>
      <c r="G1247" s="4">
        <v>5</v>
      </c>
      <c r="H1247" s="4">
        <v>4</v>
      </c>
      <c r="I1247" s="4">
        <v>4</v>
      </c>
      <c r="J1247" s="4" t="s">
        <v>8</v>
      </c>
      <c r="K1247" s="4" t="s">
        <v>9</v>
      </c>
      <c r="L1247" s="11">
        <v>1002648063</v>
      </c>
      <c r="M1247" s="3">
        <v>4</v>
      </c>
      <c r="N1247"/>
      <c r="O1247" s="4"/>
      <c r="P1247" s="1"/>
      <c r="Q1247" s="22"/>
      <c r="R1247"/>
      <c r="S1247" s="11"/>
      <c r="T1247" s="4" t="s">
        <v>73</v>
      </c>
      <c r="U1247" s="1" t="e">
        <f>VLOOKUP(data[[#This Row],[Material]],'[1]Hoja para mrp'!$A:$Z,26,0)</f>
        <v>#N/A</v>
      </c>
      <c r="V1247" s="1" t="e">
        <f>VLOOKUP(data[[#This Row],[Material]],'[1]Hoja para mrp'!$A:$Z,25,0)</f>
        <v>#N/A</v>
      </c>
    </row>
    <row r="1248" spans="2:22" x14ac:dyDescent="0.25">
      <c r="B1248" s="4">
        <v>30053079</v>
      </c>
      <c r="C1248" s="1" t="s">
        <v>772</v>
      </c>
      <c r="D1248" s="4" t="s">
        <v>89</v>
      </c>
      <c r="E1248" s="3"/>
      <c r="F1248" s="3" t="s">
        <v>69</v>
      </c>
      <c r="G1248" s="4">
        <v>3</v>
      </c>
      <c r="H1248" s="4">
        <v>3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69</v>
      </c>
      <c r="U1248" s="1" t="e">
        <f>VLOOKUP(data[[#This Row],[Material]],'[1]Hoja para mrp'!$A:$Z,26,0)</f>
        <v>#N/A</v>
      </c>
      <c r="V1248" s="1" t="e">
        <f>VLOOKUP(data[[#This Row],[Material]],'[1]Hoja para mrp'!$A:$Z,25,0)</f>
        <v>#N/A</v>
      </c>
    </row>
    <row r="1249" spans="2:23" x14ac:dyDescent="0.25">
      <c r="B1249" s="4">
        <v>30053405</v>
      </c>
      <c r="C1249" s="1" t="s">
        <v>773</v>
      </c>
      <c r="D1249" s="4" t="s">
        <v>89</v>
      </c>
      <c r="E1249" s="3"/>
      <c r="F1249" s="3" t="s">
        <v>69</v>
      </c>
      <c r="G1249" s="4">
        <v>1</v>
      </c>
      <c r="H1249" s="4">
        <v>2</v>
      </c>
      <c r="I1249" s="4">
        <v>2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73</v>
      </c>
      <c r="U1249" s="1" t="e">
        <f>VLOOKUP(data[[#This Row],[Material]],'[1]Hoja para mrp'!$A:$Z,26,0)</f>
        <v>#N/A</v>
      </c>
      <c r="V1249" s="1" t="e">
        <f>VLOOKUP(data[[#This Row],[Material]],'[1]Hoja para mrp'!$A:$Z,25,0)</f>
        <v>#N/A</v>
      </c>
    </row>
    <row r="1250" spans="2:23" x14ac:dyDescent="0.25">
      <c r="B1250" s="4">
        <v>30053646</v>
      </c>
      <c r="C1250" s="1" t="s">
        <v>774</v>
      </c>
      <c r="D1250" s="4" t="s">
        <v>89</v>
      </c>
      <c r="E1250" s="3"/>
      <c r="F1250" s="3" t="s">
        <v>69</v>
      </c>
      <c r="G1250" s="4">
        <v>6</v>
      </c>
      <c r="H1250" s="4">
        <v>8</v>
      </c>
      <c r="I1250" s="4">
        <v>5</v>
      </c>
      <c r="J1250" s="4" t="s">
        <v>8</v>
      </c>
      <c r="K1250" s="4" t="s">
        <v>9</v>
      </c>
      <c r="L1250" s="11">
        <v>1002637281</v>
      </c>
      <c r="M1250" s="3">
        <v>8</v>
      </c>
      <c r="N1250"/>
      <c r="O1250" s="4"/>
      <c r="P1250" s="1"/>
      <c r="Q1250" s="22"/>
      <c r="R1250"/>
      <c r="S1250" s="11"/>
      <c r="T1250" s="4" t="s">
        <v>73</v>
      </c>
      <c r="U1250" s="1" t="e">
        <f>VLOOKUP(data[[#This Row],[Material]],'[1]Hoja para mrp'!$A:$Z,26,0)</f>
        <v>#N/A</v>
      </c>
      <c r="V1250" s="1" t="e">
        <f>VLOOKUP(data[[#This Row],[Material]],'[1]Hoja para mrp'!$A:$Z,25,0)</f>
        <v>#N/A</v>
      </c>
    </row>
    <row r="1251" spans="2:23" x14ac:dyDescent="0.25">
      <c r="B1251" s="4">
        <v>30053650</v>
      </c>
      <c r="C1251" s="1" t="s">
        <v>775</v>
      </c>
      <c r="D1251" s="4" t="s">
        <v>89</v>
      </c>
      <c r="E1251" s="3"/>
      <c r="F1251" s="3" t="s">
        <v>69</v>
      </c>
      <c r="G1251" s="4">
        <v>5</v>
      </c>
      <c r="H1251" s="4">
        <v>8</v>
      </c>
      <c r="I1251" s="4">
        <v>10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" t="e">
        <f>VLOOKUP(data[[#This Row],[Material]],'[1]Hoja para mrp'!$A:$Z,26,0)</f>
        <v>#N/A</v>
      </c>
      <c r="V1251" s="1" t="e">
        <f>VLOOKUP(data[[#This Row],[Material]],'[1]Hoja para mrp'!$A:$Z,25,0)</f>
        <v>#N/A</v>
      </c>
    </row>
    <row r="1252" spans="2:23" x14ac:dyDescent="0.25">
      <c r="B1252" s="4">
        <v>30053694</v>
      </c>
      <c r="C1252" s="1" t="s">
        <v>776</v>
      </c>
      <c r="D1252" s="4" t="s">
        <v>89</v>
      </c>
      <c r="E1252" s="3"/>
      <c r="F1252" s="3" t="s">
        <v>69</v>
      </c>
      <c r="G1252" s="4">
        <v>8</v>
      </c>
      <c r="H1252" s="4">
        <v>8</v>
      </c>
      <c r="I1252" s="4">
        <v>10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66</v>
      </c>
      <c r="U1252" s="1" t="e">
        <f>VLOOKUP(data[[#This Row],[Material]],'[1]Hoja para mrp'!$A:$Z,26,0)</f>
        <v>#N/A</v>
      </c>
      <c r="V1252" s="1" t="e">
        <f>VLOOKUP(data[[#This Row],[Material]],'[1]Hoja para mrp'!$A:$Z,25,0)</f>
        <v>#N/A</v>
      </c>
    </row>
    <row r="1253" spans="2:23" x14ac:dyDescent="0.25">
      <c r="B1253" s="4">
        <v>30060410</v>
      </c>
      <c r="C1253" s="1" t="s">
        <v>1422</v>
      </c>
      <c r="D1253" s="4" t="s">
        <v>89</v>
      </c>
      <c r="E1253" s="3"/>
      <c r="F1253" s="3" t="s">
        <v>69</v>
      </c>
      <c r="G1253" s="4">
        <v>2</v>
      </c>
      <c r="H1253" s="4">
        <v>4</v>
      </c>
      <c r="I1253" s="4">
        <v>7</v>
      </c>
      <c r="J1253" s="4" t="s">
        <v>8</v>
      </c>
      <c r="K1253" s="4" t="s">
        <v>14</v>
      </c>
      <c r="L1253" s="11"/>
      <c r="M1253" s="3"/>
      <c r="N1253"/>
      <c r="O1253" s="4"/>
      <c r="P1253" s="1"/>
      <c r="Q1253" s="22"/>
      <c r="R1253"/>
      <c r="S1253" s="11"/>
      <c r="T1253" s="4" t="s">
        <v>67</v>
      </c>
      <c r="U1253" s="1" t="e">
        <f>VLOOKUP(data[[#This Row],[Material]],'[1]Hoja para mrp'!$A:$Z,26,0)</f>
        <v>#N/A</v>
      </c>
      <c r="V1253" s="1" t="e">
        <f>VLOOKUP(data[[#This Row],[Material]],'[1]Hoja para mrp'!$A:$Z,25,0)</f>
        <v>#N/A</v>
      </c>
    </row>
    <row r="1254" spans="2:23" x14ac:dyDescent="0.25">
      <c r="B1254" s="4">
        <v>30060836</v>
      </c>
      <c r="C1254" s="1" t="s">
        <v>777</v>
      </c>
      <c r="D1254" s="4" t="s">
        <v>89</v>
      </c>
      <c r="E1254" s="3"/>
      <c r="F1254" s="3" t="s">
        <v>69</v>
      </c>
      <c r="G1254" s="4">
        <v>32</v>
      </c>
      <c r="H1254" s="4">
        <v>32</v>
      </c>
      <c r="I1254" s="4">
        <v>0</v>
      </c>
      <c r="J1254" s="4" t="s">
        <v>8</v>
      </c>
      <c r="K1254" s="4" t="s">
        <v>13</v>
      </c>
      <c r="L1254" s="11"/>
      <c r="M1254" s="3"/>
      <c r="N1254">
        <v>4502509866</v>
      </c>
      <c r="O1254" s="4">
        <v>32</v>
      </c>
      <c r="P1254" s="1" t="s">
        <v>1363</v>
      </c>
      <c r="Q1254" s="22">
        <v>46030</v>
      </c>
      <c r="R1254"/>
      <c r="S1254" s="11" t="s">
        <v>1615</v>
      </c>
      <c r="T1254" s="4" t="s">
        <v>73</v>
      </c>
      <c r="U1254" s="1" t="e">
        <f>VLOOKUP(data[[#This Row],[Material]],'[1]Hoja para mrp'!$A:$Z,26,0)</f>
        <v>#N/A</v>
      </c>
      <c r="V1254" s="1" t="e">
        <f>VLOOKUP(data[[#This Row],[Material]],'[1]Hoja para mrp'!$A:$Z,25,0)</f>
        <v>#N/A</v>
      </c>
      <c r="W1254" s="1" t="s">
        <v>1693</v>
      </c>
    </row>
    <row r="1255" spans="2:23" x14ac:dyDescent="0.25">
      <c r="B1255" s="4">
        <v>30063224</v>
      </c>
      <c r="C1255" s="1" t="s">
        <v>778</v>
      </c>
      <c r="D1255" s="4" t="s">
        <v>89</v>
      </c>
      <c r="E1255" s="3"/>
      <c r="F1255" s="3" t="s">
        <v>69</v>
      </c>
      <c r="G1255" s="4">
        <v>10</v>
      </c>
      <c r="H1255" s="4">
        <v>10</v>
      </c>
      <c r="I1255" s="4">
        <v>22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66</v>
      </c>
      <c r="U1255" s="1" t="e">
        <f>VLOOKUP(data[[#This Row],[Material]],'[1]Hoja para mrp'!$A:$Z,26,0)</f>
        <v>#N/A</v>
      </c>
      <c r="V1255" s="1" t="e">
        <f>VLOOKUP(data[[#This Row],[Material]],'[1]Hoja para mrp'!$A:$Z,25,0)</f>
        <v>#N/A</v>
      </c>
    </row>
    <row r="1256" spans="2:23" x14ac:dyDescent="0.25">
      <c r="B1256" s="4">
        <v>30063274</v>
      </c>
      <c r="C1256" s="1" t="s">
        <v>927</v>
      </c>
      <c r="D1256" s="4" t="s">
        <v>89</v>
      </c>
      <c r="E1256" s="3" t="s">
        <v>1228</v>
      </c>
      <c r="F1256" s="3" t="s">
        <v>105</v>
      </c>
      <c r="G1256" s="4">
        <v>3</v>
      </c>
      <c r="H1256" s="4">
        <v>2</v>
      </c>
      <c r="I1256" s="4">
        <v>1</v>
      </c>
      <c r="J1256" s="4" t="s">
        <v>8</v>
      </c>
      <c r="K1256" s="4" t="s">
        <v>9</v>
      </c>
      <c r="L1256" s="11" t="s">
        <v>1659</v>
      </c>
      <c r="M1256" s="3"/>
      <c r="N1256"/>
      <c r="O1256" s="4"/>
      <c r="P1256" s="1"/>
      <c r="Q1256" s="22"/>
      <c r="R1256"/>
      <c r="S1256" s="11" t="s">
        <v>1604</v>
      </c>
      <c r="T1256" s="4" t="s">
        <v>74</v>
      </c>
      <c r="U1256" s="1" t="e">
        <f>VLOOKUP(data[[#This Row],[Material]],'[1]Hoja para mrp'!$A:$Z,26,0)</f>
        <v>#N/A</v>
      </c>
      <c r="V1256" s="1" t="e">
        <f>VLOOKUP(data[[#This Row],[Material]],'[1]Hoja para mrp'!$A:$Z,25,0)</f>
        <v>#N/A</v>
      </c>
    </row>
    <row r="1257" spans="2:23" x14ac:dyDescent="0.25">
      <c r="B1257" s="4">
        <v>30063455</v>
      </c>
      <c r="C1257" s="1" t="s">
        <v>1255</v>
      </c>
      <c r="D1257" s="4" t="s">
        <v>89</v>
      </c>
      <c r="E1257" s="3"/>
      <c r="F1257" s="3" t="s">
        <v>69</v>
      </c>
      <c r="G1257" s="4">
        <v>500</v>
      </c>
      <c r="H1257" s="4">
        <v>200</v>
      </c>
      <c r="I1257" s="4">
        <v>638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" t="e">
        <f>VLOOKUP(data[[#This Row],[Material]],'[1]Hoja para mrp'!$A:$Z,26,0)</f>
        <v>#N/A</v>
      </c>
      <c r="V1257" s="1" t="e">
        <f>VLOOKUP(data[[#This Row],[Material]],'[1]Hoja para mrp'!$A:$Z,25,0)</f>
        <v>#N/A</v>
      </c>
    </row>
    <row r="1258" spans="2:23" x14ac:dyDescent="0.25">
      <c r="B1258" s="4">
        <v>30063479</v>
      </c>
      <c r="C1258" s="1" t="s">
        <v>779</v>
      </c>
      <c r="D1258" s="4" t="s">
        <v>89</v>
      </c>
      <c r="E1258" s="3"/>
      <c r="F1258" s="3" t="s">
        <v>69</v>
      </c>
      <c r="G1258" s="4">
        <v>50</v>
      </c>
      <c r="H1258" s="4">
        <v>30</v>
      </c>
      <c r="I1258" s="4">
        <v>54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66</v>
      </c>
      <c r="U1258" s="1" t="e">
        <f>VLOOKUP(data[[#This Row],[Material]],'[1]Hoja para mrp'!$A:$Z,26,0)</f>
        <v>#N/A</v>
      </c>
      <c r="V1258" s="1" t="e">
        <f>VLOOKUP(data[[#This Row],[Material]],'[1]Hoja para mrp'!$A:$Z,25,0)</f>
        <v>#N/A</v>
      </c>
    </row>
    <row r="1259" spans="2:23" x14ac:dyDescent="0.25">
      <c r="B1259" s="4">
        <v>30063480</v>
      </c>
      <c r="C1259" s="1" t="s">
        <v>780</v>
      </c>
      <c r="D1259" s="4" t="s">
        <v>89</v>
      </c>
      <c r="E1259" s="3"/>
      <c r="F1259" s="3" t="s">
        <v>69</v>
      </c>
      <c r="G1259" s="4">
        <v>50</v>
      </c>
      <c r="H1259" s="4">
        <v>30</v>
      </c>
      <c r="I1259" s="4">
        <v>37</v>
      </c>
      <c r="J1259" s="4" t="s">
        <v>8</v>
      </c>
      <c r="K1259" s="4" t="s">
        <v>9</v>
      </c>
      <c r="L1259" s="11">
        <v>1002660929</v>
      </c>
      <c r="M1259" s="3">
        <v>30</v>
      </c>
      <c r="N1259"/>
      <c r="O1259" s="4"/>
      <c r="P1259" s="1"/>
      <c r="Q1259" s="22"/>
      <c r="R1259"/>
      <c r="S1259" s="11"/>
      <c r="T1259" s="4" t="s">
        <v>66</v>
      </c>
      <c r="U1259" s="1" t="e">
        <f>VLOOKUP(data[[#This Row],[Material]],'[1]Hoja para mrp'!$A:$Z,26,0)</f>
        <v>#N/A</v>
      </c>
      <c r="V1259" s="1" t="e">
        <f>VLOOKUP(data[[#This Row],[Material]],'[1]Hoja para mrp'!$A:$Z,25,0)</f>
        <v>#N/A</v>
      </c>
    </row>
    <row r="1260" spans="2:23" x14ac:dyDescent="0.25">
      <c r="B1260" s="4">
        <v>30063865</v>
      </c>
      <c r="C1260" s="1" t="s">
        <v>781</v>
      </c>
      <c r="D1260" s="4" t="s">
        <v>89</v>
      </c>
      <c r="E1260" s="3"/>
      <c r="F1260" s="3" t="s">
        <v>69</v>
      </c>
      <c r="G1260" s="4">
        <v>8</v>
      </c>
      <c r="H1260" s="4">
        <v>4</v>
      </c>
      <c r="I1260" s="4">
        <v>11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" t="e">
        <f>VLOOKUP(data[[#This Row],[Material]],'[1]Hoja para mrp'!$A:$Z,26,0)</f>
        <v>#N/A</v>
      </c>
      <c r="V1260" s="1" t="e">
        <f>VLOOKUP(data[[#This Row],[Material]],'[1]Hoja para mrp'!$A:$Z,25,0)</f>
        <v>#N/A</v>
      </c>
    </row>
    <row r="1261" spans="2:23" x14ac:dyDescent="0.25">
      <c r="B1261" s="4">
        <v>30063866</v>
      </c>
      <c r="C1261" s="1" t="s">
        <v>782</v>
      </c>
      <c r="D1261" s="4" t="s">
        <v>89</v>
      </c>
      <c r="E1261" s="3"/>
      <c r="F1261" s="3" t="s">
        <v>69</v>
      </c>
      <c r="G1261" s="4">
        <v>480</v>
      </c>
      <c r="H1261" s="4">
        <v>240</v>
      </c>
      <c r="I1261" s="4">
        <v>660</v>
      </c>
      <c r="J1261" s="4" t="s">
        <v>23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" t="e">
        <f>VLOOKUP(data[[#This Row],[Material]],'[1]Hoja para mrp'!$A:$Z,26,0)</f>
        <v>#N/A</v>
      </c>
      <c r="V1261" s="1" t="e">
        <f>VLOOKUP(data[[#This Row],[Material]],'[1]Hoja para mrp'!$A:$Z,25,0)</f>
        <v>#N/A</v>
      </c>
    </row>
    <row r="1262" spans="2:23" x14ac:dyDescent="0.25">
      <c r="B1262" s="4">
        <v>30063870</v>
      </c>
      <c r="C1262" s="1" t="s">
        <v>1322</v>
      </c>
      <c r="D1262" s="4" t="s">
        <v>89</v>
      </c>
      <c r="E1262" s="3"/>
      <c r="F1262" s="3" t="s">
        <v>69</v>
      </c>
      <c r="G1262" s="4">
        <v>4</v>
      </c>
      <c r="H1262" s="4">
        <v>8</v>
      </c>
      <c r="I1262" s="4">
        <v>5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73</v>
      </c>
      <c r="U1262" s="1" t="e">
        <f>VLOOKUP(data[[#This Row],[Material]],'[1]Hoja para mrp'!$A:$Z,26,0)</f>
        <v>#N/A</v>
      </c>
      <c r="V1262" s="1" t="e">
        <f>VLOOKUP(data[[#This Row],[Material]],'[1]Hoja para mrp'!$A:$Z,25,0)</f>
        <v>#N/A</v>
      </c>
    </row>
    <row r="1263" spans="2:23" x14ac:dyDescent="0.25">
      <c r="B1263" s="4">
        <v>30063922</v>
      </c>
      <c r="C1263" s="1" t="s">
        <v>783</v>
      </c>
      <c r="D1263" s="4" t="s">
        <v>89</v>
      </c>
      <c r="E1263" s="3"/>
      <c r="F1263" s="3" t="s">
        <v>69</v>
      </c>
      <c r="G1263" s="4">
        <v>8</v>
      </c>
      <c r="H1263" s="4">
        <v>5</v>
      </c>
      <c r="I1263" s="4">
        <v>12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67</v>
      </c>
      <c r="U1263" s="1" t="e">
        <f>VLOOKUP(data[[#This Row],[Material]],'[1]Hoja para mrp'!$A:$Z,26,0)</f>
        <v>#N/A</v>
      </c>
      <c r="V1263" s="1" t="e">
        <f>VLOOKUP(data[[#This Row],[Material]],'[1]Hoja para mrp'!$A:$Z,25,0)</f>
        <v>#N/A</v>
      </c>
    </row>
    <row r="1264" spans="2:23" x14ac:dyDescent="0.25">
      <c r="B1264" s="4">
        <v>30064038</v>
      </c>
      <c r="C1264" s="1" t="s">
        <v>928</v>
      </c>
      <c r="D1264" s="4" t="s">
        <v>89</v>
      </c>
      <c r="E1264" s="3"/>
      <c r="F1264" s="3" t="s">
        <v>105</v>
      </c>
      <c r="G1264" s="4">
        <v>1</v>
      </c>
      <c r="H1264" s="4">
        <v>2</v>
      </c>
      <c r="I1264" s="4">
        <v>2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66</v>
      </c>
      <c r="U1264" s="1" t="e">
        <f>VLOOKUP(data[[#This Row],[Material]],'[1]Hoja para mrp'!$A:$Z,26,0)</f>
        <v>#N/A</v>
      </c>
      <c r="V1264" s="1" t="e">
        <f>VLOOKUP(data[[#This Row],[Material]],'[1]Hoja para mrp'!$A:$Z,25,0)</f>
        <v>#N/A</v>
      </c>
    </row>
    <row r="1265" spans="2:22" x14ac:dyDescent="0.25">
      <c r="B1265" s="4">
        <v>30064039</v>
      </c>
      <c r="C1265" s="1" t="s">
        <v>868</v>
      </c>
      <c r="D1265" s="4" t="s">
        <v>89</v>
      </c>
      <c r="E1265" s="3"/>
      <c r="F1265" s="3" t="s">
        <v>105</v>
      </c>
      <c r="G1265" s="4">
        <v>1</v>
      </c>
      <c r="H1265" s="4">
        <v>2</v>
      </c>
      <c r="I1265" s="4">
        <v>1</v>
      </c>
      <c r="J1265" s="4" t="s">
        <v>784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74</v>
      </c>
      <c r="U1265" s="1" t="e">
        <f>VLOOKUP(data[[#This Row],[Material]],'[1]Hoja para mrp'!$A:$Z,26,0)</f>
        <v>#N/A</v>
      </c>
      <c r="V1265" s="1" t="e">
        <f>VLOOKUP(data[[#This Row],[Material]],'[1]Hoja para mrp'!$A:$Z,25,0)</f>
        <v>#N/A</v>
      </c>
    </row>
    <row r="1266" spans="2:22" x14ac:dyDescent="0.25">
      <c r="B1266" s="4">
        <v>30064145</v>
      </c>
      <c r="C1266" s="1" t="s">
        <v>1340</v>
      </c>
      <c r="D1266" s="4" t="s">
        <v>89</v>
      </c>
      <c r="E1266" s="3"/>
      <c r="F1266" s="3" t="s">
        <v>69</v>
      </c>
      <c r="G1266" s="4">
        <v>1</v>
      </c>
      <c r="H1266" s="4">
        <v>2</v>
      </c>
      <c r="I1266" s="4">
        <v>1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67</v>
      </c>
      <c r="U1266" s="1" t="e">
        <f>VLOOKUP(data[[#This Row],[Material]],'[1]Hoja para mrp'!$A:$Z,26,0)</f>
        <v>#N/A</v>
      </c>
      <c r="V1266" s="1" t="e">
        <f>VLOOKUP(data[[#This Row],[Material]],'[1]Hoja para mrp'!$A:$Z,25,0)</f>
        <v>#N/A</v>
      </c>
    </row>
    <row r="1267" spans="2:22" x14ac:dyDescent="0.25">
      <c r="B1267" s="4">
        <v>30064192</v>
      </c>
      <c r="C1267" s="1" t="s">
        <v>869</v>
      </c>
      <c r="D1267" s="4" t="s">
        <v>89</v>
      </c>
      <c r="E1267" s="3"/>
      <c r="F1267" s="3" t="s">
        <v>105</v>
      </c>
      <c r="G1267" s="4">
        <v>8</v>
      </c>
      <c r="H1267" s="4">
        <v>16</v>
      </c>
      <c r="I1267" s="4">
        <v>20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" t="e">
        <f>VLOOKUP(data[[#This Row],[Material]],'[1]Hoja para mrp'!$A:$Z,26,0)</f>
        <v>#N/A</v>
      </c>
      <c r="V1267" s="1" t="e">
        <f>VLOOKUP(data[[#This Row],[Material]],'[1]Hoja para mrp'!$A:$Z,25,0)</f>
        <v>#N/A</v>
      </c>
    </row>
    <row r="1268" spans="2:22" x14ac:dyDescent="0.25">
      <c r="B1268" s="4">
        <v>30064435</v>
      </c>
      <c r="C1268" s="1" t="s">
        <v>1062</v>
      </c>
      <c r="D1268" s="4" t="s">
        <v>89</v>
      </c>
      <c r="E1268" s="3"/>
      <c r="F1268" s="3" t="s">
        <v>69</v>
      </c>
      <c r="G1268" s="4">
        <v>3</v>
      </c>
      <c r="H1268" s="4">
        <v>2</v>
      </c>
      <c r="I1268" s="4">
        <v>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" t="e">
        <f>VLOOKUP(data[[#This Row],[Material]],'[1]Hoja para mrp'!$A:$Z,26,0)</f>
        <v>#N/A</v>
      </c>
      <c r="V1268" s="1" t="e">
        <f>VLOOKUP(data[[#This Row],[Material]],'[1]Hoja para mrp'!$A:$Z,25,0)</f>
        <v>#N/A</v>
      </c>
    </row>
    <row r="1269" spans="2:22" x14ac:dyDescent="0.25">
      <c r="B1269" s="4">
        <v>30064436</v>
      </c>
      <c r="C1269" s="1" t="s">
        <v>870</v>
      </c>
      <c r="D1269" s="4" t="s">
        <v>89</v>
      </c>
      <c r="E1269" s="3"/>
      <c r="F1269" s="3" t="s">
        <v>69</v>
      </c>
      <c r="G1269" s="4">
        <v>2</v>
      </c>
      <c r="H1269" s="4">
        <v>2</v>
      </c>
      <c r="I1269" s="4">
        <v>2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67</v>
      </c>
      <c r="U1269" s="1" t="e">
        <f>VLOOKUP(data[[#This Row],[Material]],'[1]Hoja para mrp'!$A:$Z,26,0)</f>
        <v>#N/A</v>
      </c>
      <c r="V1269" s="1" t="e">
        <f>VLOOKUP(data[[#This Row],[Material]],'[1]Hoja para mrp'!$A:$Z,25,0)</f>
        <v>#N/A</v>
      </c>
    </row>
    <row r="1270" spans="2:22" x14ac:dyDescent="0.25">
      <c r="B1270" s="4">
        <v>30064437</v>
      </c>
      <c r="C1270" s="1" t="s">
        <v>871</v>
      </c>
      <c r="D1270" s="4" t="s">
        <v>89</v>
      </c>
      <c r="E1270" s="3"/>
      <c r="F1270" s="3" t="s">
        <v>69</v>
      </c>
      <c r="G1270" s="4">
        <v>10</v>
      </c>
      <c r="H1270" s="4">
        <v>10</v>
      </c>
      <c r="I1270" s="4">
        <v>14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" t="e">
        <f>VLOOKUP(data[[#This Row],[Material]],'[1]Hoja para mrp'!$A:$Z,26,0)</f>
        <v>#N/A</v>
      </c>
      <c r="V1270" s="1" t="e">
        <f>VLOOKUP(data[[#This Row],[Material]],'[1]Hoja para mrp'!$A:$Z,25,0)</f>
        <v>#N/A</v>
      </c>
    </row>
    <row r="1271" spans="2:22" x14ac:dyDescent="0.25">
      <c r="B1271" s="4">
        <v>30064456</v>
      </c>
      <c r="C1271" s="1" t="s">
        <v>1259</v>
      </c>
      <c r="D1271" s="4" t="s">
        <v>89</v>
      </c>
      <c r="E1271" s="3"/>
      <c r="F1271" s="3" t="s">
        <v>69</v>
      </c>
      <c r="G1271" s="4">
        <v>5</v>
      </c>
      <c r="H1271" s="4">
        <v>8</v>
      </c>
      <c r="I1271" s="4">
        <v>12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 t="s">
        <v>1623</v>
      </c>
      <c r="T1271" s="4" t="s">
        <v>73</v>
      </c>
      <c r="U1271" s="1" t="e">
        <f>VLOOKUP(data[[#This Row],[Material]],'[1]Hoja para mrp'!$A:$Z,26,0)</f>
        <v>#N/A</v>
      </c>
      <c r="V1271" s="1" t="e">
        <f>VLOOKUP(data[[#This Row],[Material]],'[1]Hoja para mrp'!$A:$Z,25,0)</f>
        <v>#N/A</v>
      </c>
    </row>
    <row r="1272" spans="2:22" x14ac:dyDescent="0.25">
      <c r="B1272" s="4">
        <v>30064643</v>
      </c>
      <c r="C1272" s="1" t="s">
        <v>785</v>
      </c>
      <c r="D1272" s="4" t="s">
        <v>89</v>
      </c>
      <c r="E1272" s="3"/>
      <c r="F1272" s="3" t="s">
        <v>69</v>
      </c>
      <c r="G1272" s="4">
        <v>3</v>
      </c>
      <c r="H1272" s="4">
        <v>2</v>
      </c>
      <c r="I1272" s="4">
        <v>3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73</v>
      </c>
      <c r="U1272" s="1" t="e">
        <f>VLOOKUP(data[[#This Row],[Material]],'[1]Hoja para mrp'!$A:$Z,26,0)</f>
        <v>#N/A</v>
      </c>
      <c r="V1272" s="1" t="e">
        <f>VLOOKUP(data[[#This Row],[Material]],'[1]Hoja para mrp'!$A:$Z,25,0)</f>
        <v>#N/A</v>
      </c>
    </row>
    <row r="1273" spans="2:22" x14ac:dyDescent="0.25">
      <c r="B1273" s="4">
        <v>30064717</v>
      </c>
      <c r="C1273" s="1" t="s">
        <v>1443</v>
      </c>
      <c r="D1273" s="4" t="s">
        <v>89</v>
      </c>
      <c r="E1273" s="3"/>
      <c r="F1273" s="3" t="s">
        <v>69</v>
      </c>
      <c r="G1273" s="4">
        <v>4</v>
      </c>
      <c r="H1273" s="4">
        <v>4</v>
      </c>
      <c r="I1273" s="4">
        <v>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73</v>
      </c>
      <c r="U1273" s="1" t="e">
        <f>VLOOKUP(data[[#This Row],[Material]],'[1]Hoja para mrp'!$A:$Z,26,0)</f>
        <v>#N/A</v>
      </c>
      <c r="V1273" s="1" t="e">
        <f>VLOOKUP(data[[#This Row],[Material]],'[1]Hoja para mrp'!$A:$Z,25,0)</f>
        <v>#N/A</v>
      </c>
    </row>
    <row r="1274" spans="2:22" x14ac:dyDescent="0.25">
      <c r="B1274" s="4">
        <v>30064722</v>
      </c>
      <c r="C1274" s="1" t="s">
        <v>1323</v>
      </c>
      <c r="D1274" s="4" t="s">
        <v>89</v>
      </c>
      <c r="E1274" s="3"/>
      <c r="F1274" s="3" t="s">
        <v>69</v>
      </c>
      <c r="G1274" s="4">
        <v>10</v>
      </c>
      <c r="H1274" s="4">
        <v>20</v>
      </c>
      <c r="I1274" s="4">
        <v>20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66</v>
      </c>
      <c r="U1274" s="1" t="e">
        <f>VLOOKUP(data[[#This Row],[Material]],'[1]Hoja para mrp'!$A:$Z,26,0)</f>
        <v>#N/A</v>
      </c>
      <c r="V1274" s="1" t="e">
        <f>VLOOKUP(data[[#This Row],[Material]],'[1]Hoja para mrp'!$A:$Z,25,0)</f>
        <v>#N/A</v>
      </c>
    </row>
    <row r="1275" spans="2:22" x14ac:dyDescent="0.25">
      <c r="B1275" s="4">
        <v>30064723</v>
      </c>
      <c r="C1275" s="1" t="s">
        <v>1219</v>
      </c>
      <c r="D1275" s="4" t="s">
        <v>89</v>
      </c>
      <c r="E1275" s="3"/>
      <c r="F1275" s="3" t="s">
        <v>92</v>
      </c>
      <c r="G1275" s="4">
        <v>11</v>
      </c>
      <c r="H1275" s="4">
        <v>18</v>
      </c>
      <c r="I1275" s="4">
        <v>13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66</v>
      </c>
      <c r="U1275" s="1" t="e">
        <f>VLOOKUP(data[[#This Row],[Material]],'[1]Hoja para mrp'!$A:$Z,26,0)</f>
        <v>#N/A</v>
      </c>
      <c r="V1275" s="1" t="e">
        <f>VLOOKUP(data[[#This Row],[Material]],'[1]Hoja para mrp'!$A:$Z,25,0)</f>
        <v>#N/A</v>
      </c>
    </row>
    <row r="1276" spans="2:22" x14ac:dyDescent="0.25">
      <c r="B1276" s="4">
        <v>30064984</v>
      </c>
      <c r="C1276" s="1" t="s">
        <v>786</v>
      </c>
      <c r="D1276" s="4" t="s">
        <v>89</v>
      </c>
      <c r="E1276" s="3"/>
      <c r="F1276" s="3" t="s">
        <v>69</v>
      </c>
      <c r="G1276" s="4">
        <v>2</v>
      </c>
      <c r="H1276" s="4">
        <v>1</v>
      </c>
      <c r="I1276" s="4">
        <v>2</v>
      </c>
      <c r="J1276" s="4" t="s">
        <v>784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74</v>
      </c>
      <c r="U1276" s="1" t="e">
        <f>VLOOKUP(data[[#This Row],[Material]],'[1]Hoja para mrp'!$A:$Z,26,0)</f>
        <v>#N/A</v>
      </c>
      <c r="V1276" s="1" t="e">
        <f>VLOOKUP(data[[#This Row],[Material]],'[1]Hoja para mrp'!$A:$Z,25,0)</f>
        <v>#N/A</v>
      </c>
    </row>
    <row r="1277" spans="2:22" x14ac:dyDescent="0.25">
      <c r="B1277" s="4">
        <v>30065038</v>
      </c>
      <c r="C1277" s="1" t="s">
        <v>1374</v>
      </c>
      <c r="D1277" s="4" t="s">
        <v>89</v>
      </c>
      <c r="E1277" s="3"/>
      <c r="F1277" s="3" t="s">
        <v>69</v>
      </c>
      <c r="G1277" s="4">
        <v>4</v>
      </c>
      <c r="H1277" s="4">
        <v>2</v>
      </c>
      <c r="I1277" s="4">
        <v>5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" t="e">
        <f>VLOOKUP(data[[#This Row],[Material]],'[1]Hoja para mrp'!$A:$Z,26,0)</f>
        <v>#N/A</v>
      </c>
      <c r="V1277" s="1" t="e">
        <f>VLOOKUP(data[[#This Row],[Material]],'[1]Hoja para mrp'!$A:$Z,25,0)</f>
        <v>#N/A</v>
      </c>
    </row>
    <row r="1278" spans="2:22" x14ac:dyDescent="0.25">
      <c r="B1278" s="4">
        <v>30065415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67</v>
      </c>
      <c r="U1278" s="1" t="e">
        <f>VLOOKUP(data[[#This Row],[Material]],'[1]Hoja para mrp'!$A:$Z,26,0)</f>
        <v>#N/A</v>
      </c>
      <c r="V1278" s="1" t="e">
        <f>VLOOKUP(data[[#This Row],[Material]],'[1]Hoja para mrp'!$A:$Z,25,0)</f>
        <v>#N/A</v>
      </c>
    </row>
    <row r="1279" spans="2:22" x14ac:dyDescent="0.25">
      <c r="B1279" s="4">
        <v>30065416</v>
      </c>
      <c r="C1279" s="1" t="s">
        <v>788</v>
      </c>
      <c r="D1279" s="4" t="s">
        <v>89</v>
      </c>
      <c r="E1279" s="3"/>
      <c r="F1279" s="3" t="s">
        <v>69</v>
      </c>
      <c r="G1279" s="4">
        <v>2</v>
      </c>
      <c r="H1279" s="4">
        <v>2</v>
      </c>
      <c r="I1279" s="4">
        <v>3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" t="e">
        <f>VLOOKUP(data[[#This Row],[Material]],'[1]Hoja para mrp'!$A:$Z,26,0)</f>
        <v>#N/A</v>
      </c>
      <c r="V1279" s="1" t="e">
        <f>VLOOKUP(data[[#This Row],[Material]],'[1]Hoja para mrp'!$A:$Z,25,0)</f>
        <v>#N/A</v>
      </c>
    </row>
    <row r="1280" spans="2:22" x14ac:dyDescent="0.25">
      <c r="B1280" s="4">
        <v>30066447</v>
      </c>
      <c r="C1280" s="1" t="s">
        <v>789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66</v>
      </c>
      <c r="U1280" s="1" t="e">
        <f>VLOOKUP(data[[#This Row],[Material]],'[1]Hoja para mrp'!$A:$Z,26,0)</f>
        <v>#N/A</v>
      </c>
      <c r="V1280" s="1" t="e">
        <f>VLOOKUP(data[[#This Row],[Material]],'[1]Hoja para mrp'!$A:$Z,25,0)</f>
        <v>#N/A</v>
      </c>
    </row>
    <row r="1281" spans="2:22" x14ac:dyDescent="0.25">
      <c r="B1281" s="4">
        <v>30066732</v>
      </c>
      <c r="C1281" s="1" t="s">
        <v>1423</v>
      </c>
      <c r="D1281" s="4" t="s">
        <v>89</v>
      </c>
      <c r="E1281" s="3"/>
      <c r="F1281" s="3" t="s">
        <v>69</v>
      </c>
      <c r="G1281" s="4">
        <v>2</v>
      </c>
      <c r="H1281" s="4">
        <v>4</v>
      </c>
      <c r="I1281" s="4">
        <v>12</v>
      </c>
      <c r="J1281" s="4" t="s">
        <v>8</v>
      </c>
      <c r="K1281" s="4" t="s">
        <v>14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" t="e">
        <f>VLOOKUP(data[[#This Row],[Material]],'[1]Hoja para mrp'!$A:$Z,26,0)</f>
        <v>#N/A</v>
      </c>
      <c r="V1281" s="1" t="e">
        <f>VLOOKUP(data[[#This Row],[Material]],'[1]Hoja para mrp'!$A:$Z,25,0)</f>
        <v>#N/A</v>
      </c>
    </row>
    <row r="1282" spans="2:22" x14ac:dyDescent="0.25">
      <c r="B1282" s="4">
        <v>30066759</v>
      </c>
      <c r="C1282" s="1" t="s">
        <v>1324</v>
      </c>
      <c r="D1282" s="4" t="s">
        <v>89</v>
      </c>
      <c r="E1282" s="3"/>
      <c r="F1282" s="3" t="s">
        <v>69</v>
      </c>
      <c r="G1282" s="4">
        <v>1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73</v>
      </c>
      <c r="U1282" s="1" t="e">
        <f>VLOOKUP(data[[#This Row],[Material]],'[1]Hoja para mrp'!$A:$Z,26,0)</f>
        <v>#N/A</v>
      </c>
      <c r="V1282" s="1" t="e">
        <f>VLOOKUP(data[[#This Row],[Material]],'[1]Hoja para mrp'!$A:$Z,25,0)</f>
        <v>#N/A</v>
      </c>
    </row>
    <row r="1283" spans="2:22" x14ac:dyDescent="0.25">
      <c r="B1283" s="4">
        <v>30067046</v>
      </c>
      <c r="C1283" s="1" t="s">
        <v>790</v>
      </c>
      <c r="D1283" s="4" t="s">
        <v>89</v>
      </c>
      <c r="E1283" s="3"/>
      <c r="F1283" s="3" t="s">
        <v>69</v>
      </c>
      <c r="G1283" s="4">
        <v>5</v>
      </c>
      <c r="H1283" s="4">
        <v>5</v>
      </c>
      <c r="I1283" s="4">
        <v>21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66</v>
      </c>
      <c r="U1283" s="1" t="e">
        <f>VLOOKUP(data[[#This Row],[Material]],'[1]Hoja para mrp'!$A:$Z,26,0)</f>
        <v>#N/A</v>
      </c>
      <c r="V1283" s="1" t="e">
        <f>VLOOKUP(data[[#This Row],[Material]],'[1]Hoja para mrp'!$A:$Z,25,0)</f>
        <v>#N/A</v>
      </c>
    </row>
    <row r="1284" spans="2:22" x14ac:dyDescent="0.25">
      <c r="B1284" s="4">
        <v>30067094</v>
      </c>
      <c r="C1284" s="1" t="s">
        <v>791</v>
      </c>
      <c r="D1284" s="4" t="s">
        <v>89</v>
      </c>
      <c r="E1284" s="3"/>
      <c r="F1284" s="3" t="s">
        <v>69</v>
      </c>
      <c r="G1284" s="4">
        <v>3</v>
      </c>
      <c r="H1284" s="4">
        <v>2</v>
      </c>
      <c r="I1284" s="4">
        <v>4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" t="e">
        <f>VLOOKUP(data[[#This Row],[Material]],'[1]Hoja para mrp'!$A:$Z,26,0)</f>
        <v>#N/A</v>
      </c>
      <c r="V1284" s="1" t="e">
        <f>VLOOKUP(data[[#This Row],[Material]],'[1]Hoja para mrp'!$A:$Z,25,0)</f>
        <v>#N/A</v>
      </c>
    </row>
    <row r="1285" spans="2:22" x14ac:dyDescent="0.25">
      <c r="B1285" s="4">
        <v>30067253</v>
      </c>
      <c r="C1285" s="1" t="s">
        <v>872</v>
      </c>
      <c r="D1285" s="4" t="s">
        <v>89</v>
      </c>
      <c r="E1285" s="3"/>
      <c r="F1285" s="3" t="s">
        <v>69</v>
      </c>
      <c r="G1285" s="4">
        <v>3</v>
      </c>
      <c r="H1285" s="4">
        <v>3</v>
      </c>
      <c r="I1285" s="4">
        <v>2</v>
      </c>
      <c r="J1285" s="4" t="s">
        <v>8</v>
      </c>
      <c r="K1285" s="4" t="s">
        <v>9</v>
      </c>
      <c r="L1285" s="11"/>
      <c r="M1285" s="3"/>
      <c r="N1285">
        <v>4502677979</v>
      </c>
      <c r="O1285" s="4">
        <v>4</v>
      </c>
      <c r="P1285" s="1" t="s">
        <v>1644</v>
      </c>
      <c r="Q1285" s="22">
        <v>46195</v>
      </c>
      <c r="R1285"/>
      <c r="S1285" s="11"/>
      <c r="T1285" s="4" t="s">
        <v>67</v>
      </c>
      <c r="U1285" s="1" t="e">
        <f>VLOOKUP(data[[#This Row],[Material]],'[1]Hoja para mrp'!$A:$Z,26,0)</f>
        <v>#N/A</v>
      </c>
      <c r="V1285" s="1" t="e">
        <f>VLOOKUP(data[[#This Row],[Material]],'[1]Hoja para mrp'!$A:$Z,25,0)</f>
        <v>#N/A</v>
      </c>
    </row>
    <row r="1286" spans="2:22" x14ac:dyDescent="0.25">
      <c r="B1286" s="4">
        <v>30067420</v>
      </c>
      <c r="C1286" s="1" t="s">
        <v>1515</v>
      </c>
      <c r="D1286" s="4" t="s">
        <v>89</v>
      </c>
      <c r="E1286" s="3" t="s">
        <v>1228</v>
      </c>
      <c r="F1286" s="3" t="s">
        <v>105</v>
      </c>
      <c r="G1286" s="4">
        <v>1</v>
      </c>
      <c r="H1286" s="4">
        <v>1</v>
      </c>
      <c r="I1286" s="4">
        <v>0</v>
      </c>
      <c r="J1286" s="4" t="s">
        <v>8</v>
      </c>
      <c r="K1286" s="4" t="s">
        <v>13</v>
      </c>
      <c r="L1286" s="11"/>
      <c r="M1286" s="3"/>
      <c r="N1286">
        <v>4502667945</v>
      </c>
      <c r="O1286" s="4">
        <v>1</v>
      </c>
      <c r="P1286" s="1" t="s">
        <v>1567</v>
      </c>
      <c r="Q1286" s="22">
        <v>46244</v>
      </c>
      <c r="R1286"/>
      <c r="S1286" s="11"/>
      <c r="T1286" s="4" t="s">
        <v>74</v>
      </c>
      <c r="U1286" s="1" t="e">
        <f>VLOOKUP(data[[#This Row],[Material]],'[1]Hoja para mrp'!$A:$Z,26,0)</f>
        <v>#N/A</v>
      </c>
      <c r="V1286" s="1" t="e">
        <f>VLOOKUP(data[[#This Row],[Material]],'[1]Hoja para mrp'!$A:$Z,25,0)</f>
        <v>#N/A</v>
      </c>
    </row>
    <row r="1287" spans="2:22" x14ac:dyDescent="0.25">
      <c r="B1287" s="4">
        <v>30067433</v>
      </c>
      <c r="C1287" s="1" t="s">
        <v>1516</v>
      </c>
      <c r="D1287" s="4" t="s">
        <v>89</v>
      </c>
      <c r="E1287" s="3" t="s">
        <v>1228</v>
      </c>
      <c r="F1287" s="3" t="s">
        <v>105</v>
      </c>
      <c r="G1287" s="4">
        <v>1</v>
      </c>
      <c r="H1287" s="4">
        <v>1</v>
      </c>
      <c r="I1287" s="4">
        <v>2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74</v>
      </c>
      <c r="U1287" s="1" t="e">
        <f>VLOOKUP(data[[#This Row],[Material]],'[1]Hoja para mrp'!$A:$Z,26,0)</f>
        <v>#N/A</v>
      </c>
      <c r="V1287" s="1" t="e">
        <f>VLOOKUP(data[[#This Row],[Material]],'[1]Hoja para mrp'!$A:$Z,25,0)</f>
        <v>#N/A</v>
      </c>
    </row>
    <row r="1288" spans="2:22" x14ac:dyDescent="0.25">
      <c r="B1288" s="4">
        <v>30067445</v>
      </c>
      <c r="C1288" s="1" t="s">
        <v>1517</v>
      </c>
      <c r="D1288" s="4" t="s">
        <v>89</v>
      </c>
      <c r="E1288" s="3" t="s">
        <v>1228</v>
      </c>
      <c r="F1288" s="3" t="s">
        <v>105</v>
      </c>
      <c r="G1288" s="4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74</v>
      </c>
      <c r="U1288" s="1" t="e">
        <f>VLOOKUP(data[[#This Row],[Material]],'[1]Hoja para mrp'!$A:$Z,26,0)</f>
        <v>#N/A</v>
      </c>
      <c r="V1288" s="1" t="e">
        <f>VLOOKUP(data[[#This Row],[Material]],'[1]Hoja para mrp'!$A:$Z,25,0)</f>
        <v>#N/A</v>
      </c>
    </row>
    <row r="1289" spans="2:22" x14ac:dyDescent="0.25">
      <c r="B1289" s="4">
        <v>30067446</v>
      </c>
      <c r="C1289" s="1" t="s">
        <v>1518</v>
      </c>
      <c r="D1289" s="4" t="s">
        <v>89</v>
      </c>
      <c r="E1289" s="3" t="s">
        <v>1228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" t="e">
        <f>VLOOKUP(data[[#This Row],[Material]],'[1]Hoja para mrp'!$A:$Z,26,0)</f>
        <v>#N/A</v>
      </c>
      <c r="V1289" s="1" t="e">
        <f>VLOOKUP(data[[#This Row],[Material]],'[1]Hoja para mrp'!$A:$Z,25,0)</f>
        <v>#N/A</v>
      </c>
    </row>
    <row r="1290" spans="2:22" x14ac:dyDescent="0.25">
      <c r="B1290" s="4">
        <v>30067449</v>
      </c>
      <c r="C1290" s="1" t="s">
        <v>1519</v>
      </c>
      <c r="D1290" s="4" t="s">
        <v>89</v>
      </c>
      <c r="E1290" s="3" t="s">
        <v>1228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" t="e">
        <f>VLOOKUP(data[[#This Row],[Material]],'[1]Hoja para mrp'!$A:$Z,26,0)</f>
        <v>#N/A</v>
      </c>
      <c r="V1290" s="1" t="e">
        <f>VLOOKUP(data[[#This Row],[Material]],'[1]Hoja para mrp'!$A:$Z,25,0)</f>
        <v>#N/A</v>
      </c>
    </row>
    <row r="1291" spans="2:22" x14ac:dyDescent="0.25">
      <c r="B1291" s="4">
        <v>30067450</v>
      </c>
      <c r="C1291" s="1" t="s">
        <v>1294</v>
      </c>
      <c r="D1291" s="4" t="s">
        <v>89</v>
      </c>
      <c r="E1291" s="3" t="s">
        <v>1228</v>
      </c>
      <c r="F1291" s="3" t="s">
        <v>105</v>
      </c>
      <c r="G1291" s="4">
        <v>2</v>
      </c>
      <c r="H1291" s="4">
        <v>1</v>
      </c>
      <c r="I1291" s="4">
        <v>1</v>
      </c>
      <c r="J1291" s="4" t="s">
        <v>8</v>
      </c>
      <c r="K1291" s="4" t="s">
        <v>9</v>
      </c>
      <c r="L1291" s="11"/>
      <c r="M1291" s="3"/>
      <c r="N1291">
        <v>4502638730</v>
      </c>
      <c r="O1291" s="4">
        <v>1</v>
      </c>
      <c r="P1291" s="1" t="s">
        <v>1567</v>
      </c>
      <c r="Q1291" s="22">
        <v>46216</v>
      </c>
      <c r="R1291"/>
      <c r="S1291" s="11"/>
      <c r="T1291" s="4" t="s">
        <v>74</v>
      </c>
      <c r="U1291" s="1" t="str">
        <f>VLOOKUP(data[[#This Row],[Material]],'[1]Hoja para mrp'!$A:$Z,26,0)</f>
        <v>1ra compra</v>
      </c>
      <c r="V1291" s="1">
        <f>VLOOKUP(data[[#This Row],[Material]],'[1]Hoja para mrp'!$A:$Z,25,0)</f>
        <v>3</v>
      </c>
    </row>
    <row r="1292" spans="2:22" x14ac:dyDescent="0.25">
      <c r="B1292" s="4">
        <v>30067457</v>
      </c>
      <c r="C1292" s="1" t="s">
        <v>1483</v>
      </c>
      <c r="D1292" s="4" t="s">
        <v>89</v>
      </c>
      <c r="E1292" s="3"/>
      <c r="F1292" s="3" t="s">
        <v>69</v>
      </c>
      <c r="G1292" s="4">
        <v>3</v>
      </c>
      <c r="H1292" s="4">
        <v>5</v>
      </c>
      <c r="I1292" s="4">
        <v>5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71</v>
      </c>
      <c r="U1292" s="1" t="e">
        <f>VLOOKUP(data[[#This Row],[Material]],'[1]Hoja para mrp'!$A:$Z,26,0)</f>
        <v>#N/A</v>
      </c>
      <c r="V1292" s="1" t="e">
        <f>VLOOKUP(data[[#This Row],[Material]],'[1]Hoja para mrp'!$A:$Z,25,0)</f>
        <v>#N/A</v>
      </c>
    </row>
    <row r="1293" spans="2:22" x14ac:dyDescent="0.25">
      <c r="B1293" s="4">
        <v>30068104</v>
      </c>
      <c r="C1293" s="1" t="s">
        <v>1260</v>
      </c>
      <c r="D1293" s="4" t="s">
        <v>89</v>
      </c>
      <c r="E1293" s="3"/>
      <c r="F1293" s="3" t="s">
        <v>69</v>
      </c>
      <c r="G1293" s="4">
        <v>4</v>
      </c>
      <c r="H1293" s="4">
        <v>4</v>
      </c>
      <c r="I1293" s="4">
        <v>13</v>
      </c>
      <c r="J1293" s="4" t="s">
        <v>8</v>
      </c>
      <c r="K1293" s="4" t="s">
        <v>14</v>
      </c>
      <c r="L1293" s="11"/>
      <c r="M1293" s="3"/>
      <c r="N1293"/>
      <c r="O1293" s="4"/>
      <c r="P1293" s="1"/>
      <c r="Q1293" s="22"/>
      <c r="R1293"/>
      <c r="S1293" s="11"/>
      <c r="T1293" s="4" t="s">
        <v>67</v>
      </c>
      <c r="U1293" s="1" t="e">
        <f>VLOOKUP(data[[#This Row],[Material]],'[1]Hoja para mrp'!$A:$Z,26,0)</f>
        <v>#N/A</v>
      </c>
      <c r="V1293" s="1" t="e">
        <f>VLOOKUP(data[[#This Row],[Material]],'[1]Hoja para mrp'!$A:$Z,25,0)</f>
        <v>#N/A</v>
      </c>
    </row>
    <row r="1294" spans="2:22" x14ac:dyDescent="0.25">
      <c r="B1294" s="4">
        <v>30069247</v>
      </c>
      <c r="C1294" s="1" t="s">
        <v>1511</v>
      </c>
      <c r="D1294" s="4" t="s">
        <v>89</v>
      </c>
      <c r="E1294" s="3"/>
      <c r="F1294" s="3" t="s">
        <v>69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73</v>
      </c>
      <c r="U1294" s="1" t="e">
        <f>VLOOKUP(data[[#This Row],[Material]],'[1]Hoja para mrp'!$A:$Z,26,0)</f>
        <v>#N/A</v>
      </c>
      <c r="V1294" s="1" t="e">
        <f>VLOOKUP(data[[#This Row],[Material]],'[1]Hoja para mrp'!$A:$Z,25,0)</f>
        <v>#N/A</v>
      </c>
    </row>
    <row r="1295" spans="2:22" x14ac:dyDescent="0.25">
      <c r="B1295" s="4">
        <v>30069437</v>
      </c>
      <c r="C1295" s="1" t="s">
        <v>1357</v>
      </c>
      <c r="D1295" s="4" t="s">
        <v>89</v>
      </c>
      <c r="E1295" s="3"/>
      <c r="F1295" s="3" t="s">
        <v>69</v>
      </c>
      <c r="G1295" s="4">
        <v>1</v>
      </c>
      <c r="H1295" s="4">
        <v>2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67</v>
      </c>
      <c r="U1295" s="1" t="e">
        <f>VLOOKUP(data[[#This Row],[Material]],'[1]Hoja para mrp'!$A:$Z,26,0)</f>
        <v>#N/A</v>
      </c>
      <c r="V1295" s="1" t="e">
        <f>VLOOKUP(data[[#This Row],[Material]],'[1]Hoja para mrp'!$A:$Z,25,0)</f>
        <v>#N/A</v>
      </c>
    </row>
    <row r="1296" spans="2:22" x14ac:dyDescent="0.25">
      <c r="B1296" s="4">
        <v>30069950</v>
      </c>
      <c r="C1296" s="1" t="s">
        <v>1295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" t="e">
        <f>VLOOKUP(data[[#This Row],[Material]],'[1]Hoja para mrp'!$A:$Z,26,0)</f>
        <v>#N/A</v>
      </c>
      <c r="V1296" s="1" t="e">
        <f>VLOOKUP(data[[#This Row],[Material]],'[1]Hoja para mrp'!$A:$Z,25,0)</f>
        <v>#N/A</v>
      </c>
    </row>
    <row r="1297" spans="2:22" x14ac:dyDescent="0.25">
      <c r="B1297" s="4">
        <v>30070135</v>
      </c>
      <c r="C1297" s="1" t="s">
        <v>1296</v>
      </c>
      <c r="D1297" s="4" t="s">
        <v>89</v>
      </c>
      <c r="E1297" s="3"/>
      <c r="F1297" s="3" t="s">
        <v>69</v>
      </c>
      <c r="G1297" s="4">
        <v>4500</v>
      </c>
      <c r="H1297" s="4">
        <v>5000</v>
      </c>
      <c r="I1297" s="4">
        <v>5500</v>
      </c>
      <c r="J1297" s="4" t="s">
        <v>25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66</v>
      </c>
      <c r="U1297" s="1" t="e">
        <f>VLOOKUP(data[[#This Row],[Material]],'[1]Hoja para mrp'!$A:$Z,26,0)</f>
        <v>#N/A</v>
      </c>
      <c r="V1297" s="1" t="e">
        <f>VLOOKUP(data[[#This Row],[Material]],'[1]Hoja para mrp'!$A:$Z,25,0)</f>
        <v>#N/A</v>
      </c>
    </row>
    <row r="1298" spans="2:22" x14ac:dyDescent="0.25">
      <c r="B1298" s="4">
        <v>30070293</v>
      </c>
      <c r="C1298" s="1" t="s">
        <v>1297</v>
      </c>
      <c r="D1298" s="4" t="s">
        <v>89</v>
      </c>
      <c r="E1298" s="3"/>
      <c r="F1298" s="3" t="s">
        <v>69</v>
      </c>
      <c r="G1298" s="4">
        <v>2</v>
      </c>
      <c r="H1298" s="4">
        <v>4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" t="e">
        <f>VLOOKUP(data[[#This Row],[Material]],'[1]Hoja para mrp'!$A:$Z,26,0)</f>
        <v>#N/A</v>
      </c>
      <c r="V1298" s="1" t="e">
        <f>VLOOKUP(data[[#This Row],[Material]],'[1]Hoja para mrp'!$A:$Z,25,0)</f>
        <v>#N/A</v>
      </c>
    </row>
    <row r="1299" spans="2:22" x14ac:dyDescent="0.25">
      <c r="B1299" s="4">
        <v>30070323</v>
      </c>
      <c r="C1299" s="1" t="s">
        <v>1298</v>
      </c>
      <c r="D1299" s="4" t="s">
        <v>89</v>
      </c>
      <c r="E1299" s="3"/>
      <c r="F1299" s="3" t="s">
        <v>69</v>
      </c>
      <c r="G1299" s="4">
        <v>100</v>
      </c>
      <c r="H1299" s="4">
        <v>200</v>
      </c>
      <c r="I1299" s="4">
        <v>180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" t="e">
        <f>VLOOKUP(data[[#This Row],[Material]],'[1]Hoja para mrp'!$A:$Z,26,0)</f>
        <v>#N/A</v>
      </c>
      <c r="V1299" s="1" t="e">
        <f>VLOOKUP(data[[#This Row],[Material]],'[1]Hoja para mrp'!$A:$Z,25,0)</f>
        <v>#N/A</v>
      </c>
    </row>
    <row r="1300" spans="2:22" x14ac:dyDescent="0.25">
      <c r="B1300" s="4">
        <v>30070447</v>
      </c>
      <c r="C1300" s="1" t="s">
        <v>1416</v>
      </c>
      <c r="D1300" s="4" t="s">
        <v>89</v>
      </c>
      <c r="E1300" s="3"/>
      <c r="F1300" s="3" t="s">
        <v>69</v>
      </c>
      <c r="G1300" s="4">
        <v>5</v>
      </c>
      <c r="H1300" s="4">
        <v>5</v>
      </c>
      <c r="I1300" s="4">
        <v>8</v>
      </c>
      <c r="J1300" s="4" t="s">
        <v>8</v>
      </c>
      <c r="K1300" s="4" t="s">
        <v>7</v>
      </c>
      <c r="L1300" s="11">
        <v>1002660361</v>
      </c>
      <c r="M1300" s="3">
        <v>7</v>
      </c>
      <c r="N1300"/>
      <c r="O1300" s="4"/>
      <c r="P1300" s="1"/>
      <c r="Q1300" s="22"/>
      <c r="R1300"/>
      <c r="S1300" s="11"/>
      <c r="T1300" s="4" t="s">
        <v>73</v>
      </c>
      <c r="U1300" s="1" t="e">
        <f>VLOOKUP(data[[#This Row],[Material]],'[1]Hoja para mrp'!$A:$Z,26,0)</f>
        <v>#N/A</v>
      </c>
      <c r="V1300" s="1" t="e">
        <f>VLOOKUP(data[[#This Row],[Material]],'[1]Hoja para mrp'!$A:$Z,25,0)</f>
        <v>#N/A</v>
      </c>
    </row>
    <row r="1301" spans="2:22" x14ac:dyDescent="0.25">
      <c r="B1301" s="4">
        <v>30070457</v>
      </c>
      <c r="C1301" s="1" t="s">
        <v>1325</v>
      </c>
      <c r="D1301" s="4" t="s">
        <v>89</v>
      </c>
      <c r="E1301" s="3"/>
      <c r="F1301" s="3" t="s">
        <v>69</v>
      </c>
      <c r="G1301" s="4">
        <v>3</v>
      </c>
      <c r="H1301" s="4">
        <v>6</v>
      </c>
      <c r="I1301" s="4">
        <v>6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" t="e">
        <f>VLOOKUP(data[[#This Row],[Material]],'[1]Hoja para mrp'!$A:$Z,26,0)</f>
        <v>#N/A</v>
      </c>
      <c r="V1301" s="1" t="e">
        <f>VLOOKUP(data[[#This Row],[Material]],'[1]Hoja para mrp'!$A:$Z,25,0)</f>
        <v>#N/A</v>
      </c>
    </row>
    <row r="1302" spans="2:22" x14ac:dyDescent="0.25">
      <c r="B1302" s="4">
        <v>30070465</v>
      </c>
      <c r="C1302" s="1" t="s">
        <v>1367</v>
      </c>
      <c r="D1302" s="4" t="s">
        <v>89</v>
      </c>
      <c r="E1302" s="3"/>
      <c r="F1302" s="3" t="s">
        <v>69</v>
      </c>
      <c r="G1302" s="4">
        <v>1</v>
      </c>
      <c r="H1302" s="4">
        <v>2</v>
      </c>
      <c r="I1302" s="4">
        <v>12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" t="e">
        <f>VLOOKUP(data[[#This Row],[Material]],'[1]Hoja para mrp'!$A:$Z,26,0)</f>
        <v>#N/A</v>
      </c>
      <c r="V1302" s="1" t="e">
        <f>VLOOKUP(data[[#This Row],[Material]],'[1]Hoja para mrp'!$A:$Z,25,0)</f>
        <v>#N/A</v>
      </c>
    </row>
    <row r="1303" spans="2:22" x14ac:dyDescent="0.25">
      <c r="B1303" s="4">
        <v>30070475</v>
      </c>
      <c r="C1303" s="1" t="s">
        <v>1338</v>
      </c>
      <c r="D1303" s="4" t="s">
        <v>89</v>
      </c>
      <c r="E1303" s="3"/>
      <c r="F1303" s="3" t="s">
        <v>69</v>
      </c>
      <c r="G1303" s="4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73</v>
      </c>
      <c r="U1303" s="1" t="e">
        <f>VLOOKUP(data[[#This Row],[Material]],'[1]Hoja para mrp'!$A:$Z,26,0)</f>
        <v>#N/A</v>
      </c>
      <c r="V1303" s="1" t="e">
        <f>VLOOKUP(data[[#This Row],[Material]],'[1]Hoja para mrp'!$A:$Z,25,0)</f>
        <v>#N/A</v>
      </c>
    </row>
    <row r="1304" spans="2:22" x14ac:dyDescent="0.25">
      <c r="B1304" s="4">
        <v>30070476</v>
      </c>
      <c r="C1304" s="1" t="s">
        <v>1299</v>
      </c>
      <c r="D1304" s="4" t="s">
        <v>89</v>
      </c>
      <c r="E1304" s="3"/>
      <c r="F1304" s="3" t="s">
        <v>69</v>
      </c>
      <c r="G1304" s="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" t="e">
        <f>VLOOKUP(data[[#This Row],[Material]],'[1]Hoja para mrp'!$A:$Z,26,0)</f>
        <v>#N/A</v>
      </c>
      <c r="V1304" s="1" t="e">
        <f>VLOOKUP(data[[#This Row],[Material]],'[1]Hoja para mrp'!$A:$Z,25,0)</f>
        <v>#N/A</v>
      </c>
    </row>
    <row r="1305" spans="2:22" x14ac:dyDescent="0.25">
      <c r="B1305" s="4">
        <v>30070489</v>
      </c>
      <c r="C1305" s="1" t="s">
        <v>1326</v>
      </c>
      <c r="D1305" s="4" t="s">
        <v>89</v>
      </c>
      <c r="E1305" s="3"/>
      <c r="F1305" s="3" t="s">
        <v>69</v>
      </c>
      <c r="G1305" s="4">
        <v>40</v>
      </c>
      <c r="H1305" s="4">
        <v>40</v>
      </c>
      <c r="I1305" s="4">
        <v>40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66</v>
      </c>
      <c r="U1305" s="1" t="e">
        <f>VLOOKUP(data[[#This Row],[Material]],'[1]Hoja para mrp'!$A:$Z,26,0)</f>
        <v>#N/A</v>
      </c>
      <c r="V1305" s="1" t="e">
        <f>VLOOKUP(data[[#This Row],[Material]],'[1]Hoja para mrp'!$A:$Z,25,0)</f>
        <v>#N/A</v>
      </c>
    </row>
    <row r="1306" spans="2:22" x14ac:dyDescent="0.25">
      <c r="B1306" s="4">
        <v>30070490</v>
      </c>
      <c r="C1306" s="1" t="s">
        <v>1300</v>
      </c>
      <c r="D1306" s="4" t="s">
        <v>89</v>
      </c>
      <c r="E1306" s="3"/>
      <c r="F1306" s="3" t="s">
        <v>69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66</v>
      </c>
      <c r="U1306" s="1" t="e">
        <f>VLOOKUP(data[[#This Row],[Material]],'[1]Hoja para mrp'!$A:$Z,26,0)</f>
        <v>#N/A</v>
      </c>
      <c r="V1306" s="1" t="e">
        <f>VLOOKUP(data[[#This Row],[Material]],'[1]Hoja para mrp'!$A:$Z,25,0)</f>
        <v>#N/A</v>
      </c>
    </row>
    <row r="1307" spans="2:22" x14ac:dyDescent="0.25">
      <c r="B1307" s="4">
        <v>30070576</v>
      </c>
      <c r="C1307" s="1" t="s">
        <v>1301</v>
      </c>
      <c r="D1307" s="4" t="s">
        <v>89</v>
      </c>
      <c r="E1307" s="3"/>
      <c r="F1307" s="3" t="s">
        <v>69</v>
      </c>
      <c r="G1307" s="4">
        <v>2</v>
      </c>
      <c r="H1307" s="4">
        <v>2</v>
      </c>
      <c r="I1307" s="4">
        <v>3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74</v>
      </c>
      <c r="U1307" s="1" t="e">
        <f>VLOOKUP(data[[#This Row],[Material]],'[1]Hoja para mrp'!$A:$Z,26,0)</f>
        <v>#N/A</v>
      </c>
      <c r="V1307" s="1" t="e">
        <f>VLOOKUP(data[[#This Row],[Material]],'[1]Hoja para mrp'!$A:$Z,25,0)</f>
        <v>#N/A</v>
      </c>
    </row>
    <row r="1308" spans="2:22" x14ac:dyDescent="0.25">
      <c r="B1308" s="4">
        <v>30070649</v>
      </c>
      <c r="C1308" s="1" t="s">
        <v>1563</v>
      </c>
      <c r="D1308" s="4" t="s">
        <v>89</v>
      </c>
      <c r="E1308" s="3"/>
      <c r="F1308" s="3" t="s">
        <v>69</v>
      </c>
      <c r="G1308" s="4">
        <v>2</v>
      </c>
      <c r="H1308" s="4">
        <v>1</v>
      </c>
      <c r="I1308" s="4">
        <v>4</v>
      </c>
      <c r="J1308" s="4" t="s">
        <v>8</v>
      </c>
      <c r="K1308" s="4" t="s">
        <v>14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" t="e">
        <f>VLOOKUP(data[[#This Row],[Material]],'[1]Hoja para mrp'!$A:$Z,26,0)</f>
        <v>#N/A</v>
      </c>
      <c r="V1308" s="1" t="e">
        <f>VLOOKUP(data[[#This Row],[Material]],'[1]Hoja para mrp'!$A:$Z,25,0)</f>
        <v>#N/A</v>
      </c>
    </row>
    <row r="1309" spans="2:22" x14ac:dyDescent="0.25">
      <c r="B1309" s="4">
        <v>30070666</v>
      </c>
      <c r="C1309" s="1" t="s">
        <v>1327</v>
      </c>
      <c r="D1309" s="4" t="s">
        <v>89</v>
      </c>
      <c r="E1309" s="3"/>
      <c r="F1309" s="3" t="s">
        <v>69</v>
      </c>
      <c r="G1309" s="4">
        <v>2</v>
      </c>
      <c r="H1309" s="4">
        <v>4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66</v>
      </c>
      <c r="U1309" s="1" t="e">
        <f>VLOOKUP(data[[#This Row],[Material]],'[1]Hoja para mrp'!$A:$Z,26,0)</f>
        <v>#N/A</v>
      </c>
      <c r="V1309" s="1" t="e">
        <f>VLOOKUP(data[[#This Row],[Material]],'[1]Hoja para mrp'!$A:$Z,25,0)</f>
        <v>#N/A</v>
      </c>
    </row>
    <row r="1310" spans="2:22" x14ac:dyDescent="0.25">
      <c r="B1310" s="4">
        <v>30070684</v>
      </c>
      <c r="C1310" s="1" t="s">
        <v>1358</v>
      </c>
      <c r="D1310" s="4" t="s">
        <v>89</v>
      </c>
      <c r="E1310" s="3"/>
      <c r="F1310" s="3" t="s">
        <v>69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73</v>
      </c>
      <c r="U1310" s="1" t="e">
        <f>VLOOKUP(data[[#This Row],[Material]],'[1]Hoja para mrp'!$A:$Z,26,0)</f>
        <v>#N/A</v>
      </c>
      <c r="V1310" s="1" t="e">
        <f>VLOOKUP(data[[#This Row],[Material]],'[1]Hoja para mrp'!$A:$Z,25,0)</f>
        <v>#N/A</v>
      </c>
    </row>
    <row r="1311" spans="2:22" x14ac:dyDescent="0.25">
      <c r="B1311" s="4">
        <v>30070687</v>
      </c>
      <c r="C1311" s="1" t="s">
        <v>1359</v>
      </c>
      <c r="D1311" s="4" t="s">
        <v>89</v>
      </c>
      <c r="E1311" s="3"/>
      <c r="F1311" s="3" t="s">
        <v>69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73</v>
      </c>
      <c r="U1311" s="1" t="e">
        <f>VLOOKUP(data[[#This Row],[Material]],'[1]Hoja para mrp'!$A:$Z,26,0)</f>
        <v>#N/A</v>
      </c>
      <c r="V1311" s="1" t="e">
        <f>VLOOKUP(data[[#This Row],[Material]],'[1]Hoja para mrp'!$A:$Z,25,0)</f>
        <v>#N/A</v>
      </c>
    </row>
    <row r="1312" spans="2:22" x14ac:dyDescent="0.25">
      <c r="B1312" s="4">
        <v>30070688</v>
      </c>
      <c r="C1312" s="1" t="s">
        <v>1360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" t="e">
        <f>VLOOKUP(data[[#This Row],[Material]],'[1]Hoja para mrp'!$A:$Z,26,0)</f>
        <v>#N/A</v>
      </c>
      <c r="V1312" s="1" t="e">
        <f>VLOOKUP(data[[#This Row],[Material]],'[1]Hoja para mrp'!$A:$Z,25,0)</f>
        <v>#N/A</v>
      </c>
    </row>
    <row r="1313" spans="2:23" x14ac:dyDescent="0.25">
      <c r="B1313" s="4">
        <v>30070745</v>
      </c>
      <c r="C1313" s="1" t="s">
        <v>1361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3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66</v>
      </c>
      <c r="U1313" s="1" t="e">
        <f>VLOOKUP(data[[#This Row],[Material]],'[1]Hoja para mrp'!$A:$Z,26,0)</f>
        <v>#N/A</v>
      </c>
      <c r="V1313" s="1" t="e">
        <f>VLOOKUP(data[[#This Row],[Material]],'[1]Hoja para mrp'!$A:$Z,25,0)</f>
        <v>#N/A</v>
      </c>
    </row>
    <row r="1314" spans="2:23" x14ac:dyDescent="0.25">
      <c r="B1314" s="4">
        <v>30070752</v>
      </c>
      <c r="C1314" s="1" t="s">
        <v>1371</v>
      </c>
      <c r="D1314" s="4" t="s">
        <v>89</v>
      </c>
      <c r="E1314" s="3"/>
      <c r="F1314" s="3" t="s">
        <v>69</v>
      </c>
      <c r="G1314" s="4">
        <v>50</v>
      </c>
      <c r="H1314" s="4">
        <v>100</v>
      </c>
      <c r="I1314" s="4">
        <v>250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  <c r="T1314" s="4" t="s">
        <v>66</v>
      </c>
      <c r="U1314" s="1" t="e">
        <f>VLOOKUP(data[[#This Row],[Material]],'[1]Hoja para mrp'!$A:$Z,26,0)</f>
        <v>#N/A</v>
      </c>
      <c r="V1314" s="1" t="e">
        <f>VLOOKUP(data[[#This Row],[Material]],'[1]Hoja para mrp'!$A:$Z,25,0)</f>
        <v>#N/A</v>
      </c>
    </row>
    <row r="1315" spans="2:23" x14ac:dyDescent="0.25">
      <c r="B1315" s="4">
        <v>30070790</v>
      </c>
      <c r="C1315" s="1" t="s">
        <v>1362</v>
      </c>
      <c r="D1315" s="4" t="s">
        <v>89</v>
      </c>
      <c r="E1315" s="3"/>
      <c r="F1315" s="3" t="s">
        <v>69</v>
      </c>
      <c r="G1315" s="4">
        <v>45</v>
      </c>
      <c r="H1315" s="4">
        <v>45</v>
      </c>
      <c r="I1315" s="4">
        <v>45</v>
      </c>
      <c r="J1315" s="4" t="s">
        <v>25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72</v>
      </c>
      <c r="U1315" s="1" t="e">
        <f>VLOOKUP(data[[#This Row],[Material]],'[1]Hoja para mrp'!$A:$Z,26,0)</f>
        <v>#N/A</v>
      </c>
      <c r="V1315" s="1" t="e">
        <f>VLOOKUP(data[[#This Row],[Material]],'[1]Hoja para mrp'!$A:$Z,25,0)</f>
        <v>#N/A</v>
      </c>
    </row>
    <row r="1316" spans="2:23" x14ac:dyDescent="0.25">
      <c r="B1316" s="4">
        <v>30070831</v>
      </c>
      <c r="C1316" s="1" t="s">
        <v>1520</v>
      </c>
      <c r="D1316" s="4" t="s">
        <v>89</v>
      </c>
      <c r="E1316" s="3"/>
      <c r="F1316" s="3" t="s">
        <v>69</v>
      </c>
      <c r="G1316" s="4">
        <v>1</v>
      </c>
      <c r="H1316" s="4">
        <v>1</v>
      </c>
      <c r="I1316" s="4">
        <v>3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" t="e">
        <f>VLOOKUP(data[[#This Row],[Material]],'[1]Hoja para mrp'!$A:$Z,26,0)</f>
        <v>#N/A</v>
      </c>
      <c r="V1316" s="1" t="e">
        <f>VLOOKUP(data[[#This Row],[Material]],'[1]Hoja para mrp'!$A:$Z,25,0)</f>
        <v>#N/A</v>
      </c>
    </row>
    <row r="1317" spans="2:23" x14ac:dyDescent="0.25">
      <c r="B1317" s="4">
        <v>30071052</v>
      </c>
      <c r="C1317" s="1" t="s">
        <v>1417</v>
      </c>
      <c r="D1317" s="4" t="s">
        <v>89</v>
      </c>
      <c r="E1317" s="3"/>
      <c r="F1317" s="3" t="s">
        <v>69</v>
      </c>
      <c r="G1317" s="4">
        <v>1</v>
      </c>
      <c r="H1317" s="4">
        <v>2</v>
      </c>
      <c r="I1317" s="4">
        <v>8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73</v>
      </c>
      <c r="U1317" s="1" t="e">
        <f>VLOOKUP(data[[#This Row],[Material]],'[1]Hoja para mrp'!$A:$Z,26,0)</f>
        <v>#N/A</v>
      </c>
      <c r="V1317" s="1" t="e">
        <f>VLOOKUP(data[[#This Row],[Material]],'[1]Hoja para mrp'!$A:$Z,25,0)</f>
        <v>#N/A</v>
      </c>
    </row>
    <row r="1318" spans="2:23" x14ac:dyDescent="0.25">
      <c r="B1318" s="4">
        <v>30072741</v>
      </c>
      <c r="C1318" s="1" t="s">
        <v>1412</v>
      </c>
      <c r="D1318" s="4" t="s">
        <v>89</v>
      </c>
      <c r="E1318" s="3"/>
      <c r="F1318" s="3" t="s">
        <v>69</v>
      </c>
      <c r="G1318" s="4">
        <v>20</v>
      </c>
      <c r="H1318" s="4">
        <v>20</v>
      </c>
      <c r="I1318" s="4">
        <v>20</v>
      </c>
      <c r="J1318" s="4" t="s">
        <v>8</v>
      </c>
      <c r="K1318" s="4" t="s">
        <v>7</v>
      </c>
      <c r="L1318" s="11"/>
      <c r="M1318" s="3"/>
      <c r="N1318">
        <v>4502659781</v>
      </c>
      <c r="O1318" s="4">
        <v>30</v>
      </c>
      <c r="P1318" s="1" t="s">
        <v>1577</v>
      </c>
      <c r="Q1318" s="22">
        <v>46139</v>
      </c>
      <c r="R1318"/>
      <c r="S1318" s="11"/>
      <c r="T1318" s="4" t="s">
        <v>71</v>
      </c>
      <c r="U1318" s="1" t="e">
        <f>VLOOKUP(data[[#This Row],[Material]],'[1]Hoja para mrp'!$A:$Z,26,0)</f>
        <v>#N/A</v>
      </c>
      <c r="V1318" s="1" t="e">
        <f>VLOOKUP(data[[#This Row],[Material]],'[1]Hoja para mrp'!$A:$Z,25,0)</f>
        <v>#N/A</v>
      </c>
      <c r="W1318" s="1" t="s">
        <v>1694</v>
      </c>
    </row>
    <row r="1319" spans="2:23" x14ac:dyDescent="0.25">
      <c r="B1319" s="4">
        <v>30073338</v>
      </c>
      <c r="C1319" s="1" t="s">
        <v>1444</v>
      </c>
      <c r="D1319" s="4" t="s">
        <v>89</v>
      </c>
      <c r="E1319" s="3"/>
      <c r="F1319" s="3" t="s">
        <v>69</v>
      </c>
      <c r="G1319" s="4">
        <v>10</v>
      </c>
      <c r="H1319" s="4">
        <v>15</v>
      </c>
      <c r="I1319" s="4">
        <v>7</v>
      </c>
      <c r="J1319" s="4" t="s">
        <v>8</v>
      </c>
      <c r="K1319" s="4" t="s">
        <v>9</v>
      </c>
      <c r="L1319" s="11"/>
      <c r="M1319" s="3"/>
      <c r="N1319">
        <v>4502682490</v>
      </c>
      <c r="O1319" s="4">
        <v>15</v>
      </c>
      <c r="P1319" s="1" t="s">
        <v>1648</v>
      </c>
      <c r="Q1319" s="22">
        <v>46217</v>
      </c>
      <c r="R1319"/>
      <c r="S1319" s="11"/>
      <c r="T1319" s="4" t="s">
        <v>73</v>
      </c>
      <c r="U1319" s="1" t="e">
        <f>VLOOKUP(data[[#This Row],[Material]],'[1]Hoja para mrp'!$A:$Z,26,0)</f>
        <v>#N/A</v>
      </c>
      <c r="V1319" s="1" t="e">
        <f>VLOOKUP(data[[#This Row],[Material]],'[1]Hoja para mrp'!$A:$Z,25,0)</f>
        <v>#N/A</v>
      </c>
    </row>
    <row r="1320" spans="2:23" x14ac:dyDescent="0.25">
      <c r="B1320" s="4">
        <v>30073339</v>
      </c>
      <c r="C1320" s="1" t="s">
        <v>1433</v>
      </c>
      <c r="D1320" s="4" t="s">
        <v>89</v>
      </c>
      <c r="E1320" s="3"/>
      <c r="F1320" s="3" t="s">
        <v>69</v>
      </c>
      <c r="G1320" s="4">
        <v>7</v>
      </c>
      <c r="H1320" s="4">
        <v>10</v>
      </c>
      <c r="I1320" s="4">
        <v>5</v>
      </c>
      <c r="J1320" s="4" t="s">
        <v>8</v>
      </c>
      <c r="K1320" s="4" t="s">
        <v>9</v>
      </c>
      <c r="L1320" s="11">
        <v>1002660929</v>
      </c>
      <c r="M1320" s="3">
        <v>10</v>
      </c>
      <c r="N1320"/>
      <c r="O1320" s="4"/>
      <c r="P1320" s="1"/>
      <c r="Q1320" s="22"/>
      <c r="R1320"/>
      <c r="S1320" s="11"/>
      <c r="T1320" s="4" t="s">
        <v>66</v>
      </c>
      <c r="U1320" s="1" t="e">
        <f>VLOOKUP(data[[#This Row],[Material]],'[1]Hoja para mrp'!$A:$Z,26,0)</f>
        <v>#N/A</v>
      </c>
      <c r="V1320" s="1" t="e">
        <f>VLOOKUP(data[[#This Row],[Material]],'[1]Hoja para mrp'!$A:$Z,25,0)</f>
        <v>#N/A</v>
      </c>
    </row>
    <row r="1321" spans="2:23" x14ac:dyDescent="0.25">
      <c r="B1321" s="4">
        <v>30073690</v>
      </c>
      <c r="C1321" s="1" t="s">
        <v>1445</v>
      </c>
      <c r="D1321" s="4" t="s">
        <v>89</v>
      </c>
      <c r="E1321" s="3"/>
      <c r="F1321" s="3" t="s">
        <v>69</v>
      </c>
      <c r="G1321" s="4">
        <v>5</v>
      </c>
      <c r="H1321" s="4">
        <v>5</v>
      </c>
      <c r="I1321" s="4">
        <v>5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71</v>
      </c>
      <c r="U1321" s="1" t="e">
        <f>VLOOKUP(data[[#This Row],[Material]],'[1]Hoja para mrp'!$A:$Z,26,0)</f>
        <v>#N/A</v>
      </c>
      <c r="V1321" s="1" t="e">
        <f>VLOOKUP(data[[#This Row],[Material]],'[1]Hoja para mrp'!$A:$Z,25,0)</f>
        <v>#N/A</v>
      </c>
    </row>
    <row r="1322" spans="2:23" x14ac:dyDescent="0.25">
      <c r="B1322" s="4">
        <v>30073790</v>
      </c>
      <c r="C1322" s="1" t="s">
        <v>1560</v>
      </c>
      <c r="D1322" s="4" t="s">
        <v>89</v>
      </c>
      <c r="E1322" s="3"/>
      <c r="F1322" s="3" t="s">
        <v>69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1569</v>
      </c>
      <c r="Q1322" s="22">
        <v>46066</v>
      </c>
      <c r="R1322"/>
      <c r="S1322" s="11" t="s">
        <v>1624</v>
      </c>
      <c r="T1322" s="4" t="s">
        <v>66</v>
      </c>
      <c r="U1322" s="1" t="e">
        <f>VLOOKUP(data[[#This Row],[Material]],'[1]Hoja para mrp'!$A:$Z,26,0)</f>
        <v>#N/A</v>
      </c>
      <c r="V1322" s="1" t="e">
        <f>VLOOKUP(data[[#This Row],[Material]],'[1]Hoja para mrp'!$A:$Z,25,0)</f>
        <v>#N/A</v>
      </c>
      <c r="W1322" s="1" t="s">
        <v>1695</v>
      </c>
    </row>
    <row r="1323" spans="2:23" x14ac:dyDescent="0.25">
      <c r="B1323" s="4">
        <v>30073791</v>
      </c>
      <c r="C1323" s="1" t="s">
        <v>1561</v>
      </c>
      <c r="D1323" s="4" t="s">
        <v>89</v>
      </c>
      <c r="E1323" s="3"/>
      <c r="F1323" s="3" t="s">
        <v>69</v>
      </c>
      <c r="G1323" s="4">
        <v>2</v>
      </c>
      <c r="H1323" s="4">
        <v>2</v>
      </c>
      <c r="I1323" s="4">
        <v>1</v>
      </c>
      <c r="J1323" s="4" t="s">
        <v>8</v>
      </c>
      <c r="K1323" s="4" t="s">
        <v>9</v>
      </c>
      <c r="L1323" s="11"/>
      <c r="M1323" s="3"/>
      <c r="N1323">
        <v>4502510417</v>
      </c>
      <c r="O1323" s="4">
        <v>1</v>
      </c>
      <c r="P1323" s="1" t="s">
        <v>1569</v>
      </c>
      <c r="Q1323" s="22">
        <v>45701</v>
      </c>
      <c r="R1323"/>
      <c r="S1323" s="11" t="s">
        <v>1624</v>
      </c>
      <c r="T1323" s="4" t="s">
        <v>66</v>
      </c>
      <c r="U1323" s="1" t="e">
        <f>VLOOKUP(data[[#This Row],[Material]],'[1]Hoja para mrp'!$A:$Z,26,0)</f>
        <v>#N/A</v>
      </c>
      <c r="V1323" s="1" t="e">
        <f>VLOOKUP(data[[#This Row],[Material]],'[1]Hoja para mrp'!$A:$Z,25,0)</f>
        <v>#N/A</v>
      </c>
      <c r="W1323" s="1" t="s">
        <v>1695</v>
      </c>
    </row>
    <row r="1324" spans="2:23" x14ac:dyDescent="0.25">
      <c r="B1324" s="4">
        <v>30073849</v>
      </c>
      <c r="C1324" s="1" t="s">
        <v>1640</v>
      </c>
      <c r="D1324" s="4" t="s">
        <v>89</v>
      </c>
      <c r="E1324" s="3"/>
      <c r="F1324" s="3" t="s">
        <v>69</v>
      </c>
      <c r="G1324" s="4">
        <v>6</v>
      </c>
      <c r="H1324" s="4">
        <v>9</v>
      </c>
      <c r="I1324" s="4">
        <v>31</v>
      </c>
      <c r="J1324" s="4" t="s">
        <v>8</v>
      </c>
      <c r="K1324" s="4" t="s">
        <v>14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" t="e">
        <f>VLOOKUP(data[[#This Row],[Material]],'[1]Hoja para mrp'!$A:$Z,26,0)</f>
        <v>#N/A</v>
      </c>
      <c r="V1324" s="1" t="e">
        <f>VLOOKUP(data[[#This Row],[Material]],'[1]Hoja para mrp'!$A:$Z,25,0)</f>
        <v>#N/A</v>
      </c>
    </row>
    <row r="1325" spans="2:23" x14ac:dyDescent="0.25">
      <c r="B1325" s="4">
        <v>30074489</v>
      </c>
      <c r="C1325" s="1" t="s">
        <v>1474</v>
      </c>
      <c r="D1325" s="4" t="s">
        <v>89</v>
      </c>
      <c r="E1325" s="3"/>
      <c r="F1325" s="3" t="s">
        <v>69</v>
      </c>
      <c r="G1325" s="4">
        <v>5</v>
      </c>
      <c r="H1325" s="4">
        <v>10</v>
      </c>
      <c r="I1325" s="4">
        <v>7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s="4" t="s">
        <v>71</v>
      </c>
      <c r="U1325" s="1" t="e">
        <f>VLOOKUP(data[[#This Row],[Material]],'[1]Hoja para mrp'!$A:$Z,26,0)</f>
        <v>#N/A</v>
      </c>
      <c r="V1325" s="1" t="e">
        <f>VLOOKUP(data[[#This Row],[Material]],'[1]Hoja para mrp'!$A:$Z,25,0)</f>
        <v>#N/A</v>
      </c>
    </row>
    <row r="1326" spans="2:23" x14ac:dyDescent="0.2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</row>
    <row r="1327" spans="2:23" x14ac:dyDescent="0.2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</row>
    <row r="1328" spans="2:23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</row>
    <row r="1329" spans="2:22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</row>
    <row r="1330" spans="2:22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</row>
    <row r="1331" spans="2:22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</row>
    <row r="1332" spans="2:22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</row>
    <row r="1333" spans="2:22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</row>
    <row r="1334" spans="2:22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</row>
    <row r="1335" spans="2:22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</row>
    <row r="1336" spans="2:22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</row>
    <row r="1337" spans="2:22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</row>
    <row r="1338" spans="2:22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</row>
    <row r="1339" spans="2:22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</row>
    <row r="1340" spans="2:22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</row>
    <row r="1341" spans="2:22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</row>
    <row r="1342" spans="2:22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</row>
    <row r="1343" spans="2:22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</row>
    <row r="1344" spans="2:22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</row>
    <row r="1345" spans="2:22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</row>
    <row r="1346" spans="2:22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</row>
    <row r="1347" spans="2:22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</row>
    <row r="1348" spans="2:22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</row>
    <row r="1349" spans="2:22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</row>
    <row r="1350" spans="2:22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</row>
    <row r="1351" spans="2:22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</row>
    <row r="1352" spans="2:22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</row>
    <row r="1353" spans="2:22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</row>
    <row r="1354" spans="2:22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</row>
    <row r="1355" spans="2:22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</row>
    <row r="1356" spans="2:22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</row>
    <row r="1357" spans="2:22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</row>
    <row r="1358" spans="2:22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</row>
    <row r="1359" spans="2:22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</row>
    <row r="1360" spans="2:22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</row>
    <row r="1361" spans="2:22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</row>
    <row r="1362" spans="2:22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</row>
    <row r="1363" spans="2:22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</row>
    <row r="1364" spans="2:22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</row>
    <row r="1365" spans="2:22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</row>
    <row r="1366" spans="2:22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</row>
    <row r="1367" spans="2:22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</row>
    <row r="1368" spans="2:22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</row>
    <row r="1369" spans="2:22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</row>
    <row r="1370" spans="2:22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</row>
    <row r="1371" spans="2:22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</row>
    <row r="1372" spans="2:22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</row>
    <row r="1373" spans="2:22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</row>
    <row r="1374" spans="2:22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</row>
    <row r="1375" spans="2:22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</row>
    <row r="1376" spans="2:22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</row>
    <row r="1377" spans="2:22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</row>
    <row r="1378" spans="2:22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</row>
    <row r="1379" spans="2:22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</row>
    <row r="1380" spans="2:22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</row>
    <row r="1381" spans="2:22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</row>
    <row r="1382" spans="2:22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</row>
    <row r="1383" spans="2:22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</row>
    <row r="1384" spans="2:22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</row>
    <row r="1385" spans="2:22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</row>
    <row r="1386" spans="2:22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</row>
    <row r="1387" spans="2:22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</row>
    <row r="1388" spans="2:22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</row>
    <row r="1389" spans="2:22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</row>
    <row r="1390" spans="2:22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</row>
    <row r="1391" spans="2:22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</row>
    <row r="1392" spans="2:22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</row>
    <row r="1393" spans="2:22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</row>
    <row r="1394" spans="2:22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</row>
    <row r="1395" spans="2:22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</row>
    <row r="1396" spans="2:22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</row>
    <row r="1397" spans="2:22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</row>
    <row r="1398" spans="2:22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</row>
    <row r="1399" spans="2:22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</row>
    <row r="1400" spans="2:22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</row>
    <row r="1401" spans="2:22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</row>
    <row r="1402" spans="2:22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</row>
    <row r="1403" spans="2:22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</row>
    <row r="1404" spans="2:22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</row>
    <row r="1405" spans="2:22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</row>
    <row r="1406" spans="2:22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</row>
    <row r="1407" spans="2:22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</row>
    <row r="1408" spans="2:22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</row>
    <row r="1409" spans="2:22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</row>
    <row r="1410" spans="2:22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</row>
    <row r="1411" spans="2:22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</row>
    <row r="1412" spans="2:22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</row>
    <row r="1413" spans="2:22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</row>
    <row r="1414" spans="2:22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</row>
    <row r="1415" spans="2:22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</row>
    <row r="1416" spans="2:22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</row>
    <row r="1417" spans="2:22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</row>
    <row r="1418" spans="2:22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</row>
    <row r="1419" spans="2:22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</row>
    <row r="1420" spans="2:22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</row>
    <row r="1421" spans="2:22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</row>
    <row r="1422" spans="2:22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</row>
    <row r="1423" spans="2:22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</row>
    <row r="1424" spans="2:22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</row>
    <row r="1425" spans="2:22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</row>
    <row r="1426" spans="2:22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</row>
    <row r="1427" spans="2:22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</row>
    <row r="1428" spans="2:22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</row>
    <row r="1429" spans="2:22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</row>
    <row r="1430" spans="2:22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</row>
    <row r="1431" spans="2:22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</row>
    <row r="1432" spans="2:22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</row>
    <row r="1433" spans="2:22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</row>
    <row r="1434" spans="2:22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</row>
    <row r="1435" spans="2:22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</row>
    <row r="1436" spans="2:22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</row>
    <row r="1437" spans="2:22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</row>
    <row r="1438" spans="2:22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</row>
    <row r="1439" spans="2:22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</row>
    <row r="1440" spans="2:22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</row>
    <row r="1441" spans="2:22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</row>
    <row r="1442" spans="2:22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</row>
    <row r="1443" spans="2:22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</row>
    <row r="1444" spans="2:22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</row>
    <row r="1445" spans="2:22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</row>
    <row r="1446" spans="2:22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</row>
    <row r="1447" spans="2:22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</row>
    <row r="1448" spans="2:22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</row>
    <row r="1449" spans="2:22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</row>
    <row r="1450" spans="2:22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</row>
    <row r="1451" spans="2:22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</row>
    <row r="1452" spans="2:22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</row>
    <row r="1453" spans="2:22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</row>
    <row r="1454" spans="2:22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</row>
    <row r="1455" spans="2:22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</row>
    <row r="1456" spans="2:22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</row>
    <row r="1457" spans="2:22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</row>
    <row r="1458" spans="2:22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</row>
    <row r="1459" spans="2:22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</row>
    <row r="1460" spans="2:22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</row>
    <row r="1461" spans="2:22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</row>
    <row r="1462" spans="2:22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</row>
    <row r="1463" spans="2:22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</row>
    <row r="1464" spans="2:22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</row>
    <row r="1465" spans="2:22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</row>
    <row r="1466" spans="2:22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</row>
    <row r="1467" spans="2:22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</row>
    <row r="1468" spans="2:22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</row>
    <row r="1469" spans="2:22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</row>
    <row r="1470" spans="2:22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</row>
    <row r="1471" spans="2:22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</row>
    <row r="1472" spans="2:22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</row>
    <row r="1473" spans="2:22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</row>
    <row r="1474" spans="2:22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</row>
    <row r="1475" spans="2:22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</row>
    <row r="1476" spans="2:22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</row>
    <row r="1477" spans="2:22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</row>
    <row r="1478" spans="2:22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</row>
    <row r="1479" spans="2:22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</row>
    <row r="1480" spans="2:22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</row>
    <row r="1481" spans="2:22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</row>
    <row r="1482" spans="2:22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</row>
    <row r="1483" spans="2:22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</row>
    <row r="1484" spans="2:22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</row>
    <row r="1485" spans="2:22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</row>
    <row r="1486" spans="2:22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</row>
    <row r="1487" spans="2:22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</row>
    <row r="1488" spans="2:22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</row>
    <row r="1489" spans="2:22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</row>
    <row r="1490" spans="2:22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</row>
    <row r="1491" spans="2:22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</row>
    <row r="1492" spans="2:22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</row>
    <row r="1493" spans="2:22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</row>
    <row r="1494" spans="2:22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</row>
    <row r="1495" spans="2:22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</row>
    <row r="1496" spans="2:22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</row>
    <row r="1497" spans="2:22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</row>
    <row r="1498" spans="2:22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</row>
    <row r="1499" spans="2:22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</row>
    <row r="1500" spans="2:22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</row>
    <row r="1501" spans="2:22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</row>
    <row r="1502" spans="2:22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</row>
    <row r="1503" spans="2:22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</row>
    <row r="1504" spans="2:22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</row>
    <row r="1505" spans="2:22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</row>
    <row r="1506" spans="2:22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</row>
    <row r="1507" spans="2:22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</row>
    <row r="1508" spans="2:22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</row>
    <row r="1509" spans="2:22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</row>
    <row r="1510" spans="2:22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</row>
    <row r="1511" spans="2:22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</row>
    <row r="1512" spans="2:22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</row>
    <row r="1513" spans="2:22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</row>
    <row r="1514" spans="2:22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</row>
    <row r="1515" spans="2:22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</row>
    <row r="1516" spans="2:22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</row>
    <row r="1517" spans="2:22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</row>
    <row r="1518" spans="2:22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</row>
    <row r="1519" spans="2:22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</row>
    <row r="1520" spans="2:22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</row>
    <row r="1521" spans="2:22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</row>
    <row r="1522" spans="2:22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</row>
    <row r="1523" spans="2:22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</row>
    <row r="1524" spans="2:22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</row>
    <row r="1525" spans="2:22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</row>
    <row r="1526" spans="2:22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</row>
    <row r="1527" spans="2:22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</row>
    <row r="1528" spans="2:22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</row>
    <row r="1529" spans="2:22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</row>
    <row r="1530" spans="2:22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</row>
    <row r="1531" spans="2:22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</row>
    <row r="1532" spans="2:22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</row>
    <row r="1533" spans="2:22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</row>
    <row r="1534" spans="2:22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</row>
    <row r="1535" spans="2:22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</row>
    <row r="1536" spans="2:22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</row>
    <row r="1537" spans="2:22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</row>
    <row r="1538" spans="2:22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</row>
    <row r="1539" spans="2:22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</row>
    <row r="1540" spans="2:22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</row>
    <row r="1541" spans="2:22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</row>
    <row r="1542" spans="2:22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</row>
    <row r="1543" spans="2:22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</row>
    <row r="1544" spans="2:22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</row>
    <row r="1545" spans="2:22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</row>
    <row r="1546" spans="2:22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</row>
    <row r="1547" spans="2:22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</row>
    <row r="1548" spans="2:22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</row>
    <row r="1549" spans="2:22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</row>
    <row r="1550" spans="2:22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</row>
    <row r="1551" spans="2:22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</row>
    <row r="1552" spans="2:22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</row>
    <row r="1553" spans="2:22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</row>
    <row r="1554" spans="2:22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</row>
    <row r="1555" spans="2:22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</row>
    <row r="1556" spans="2:22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</row>
    <row r="1557" spans="2:22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</row>
    <row r="1558" spans="2:22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</row>
    <row r="1559" spans="2:22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</row>
    <row r="1560" spans="2:22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</row>
    <row r="1561" spans="2:22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</row>
    <row r="1562" spans="2:22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</row>
    <row r="1563" spans="2:22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</row>
    <row r="1564" spans="2:22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</row>
    <row r="1565" spans="2:22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</row>
    <row r="1566" spans="2:22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</row>
    <row r="1567" spans="2:22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</row>
    <row r="1568" spans="2:22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</row>
    <row r="1569" spans="2:22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</row>
    <row r="1570" spans="2:22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</row>
    <row r="1571" spans="2:22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</row>
    <row r="1572" spans="2:22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</row>
    <row r="1573" spans="2:22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</row>
    <row r="1574" spans="2:22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</row>
    <row r="1575" spans="2:22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</row>
    <row r="1576" spans="2:22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</row>
    <row r="1577" spans="2:22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</row>
    <row r="1578" spans="2:22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</row>
    <row r="1579" spans="2:22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</row>
    <row r="1580" spans="2:22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</row>
    <row r="1581" spans="2:22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</row>
    <row r="1582" spans="2:22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</row>
    <row r="1583" spans="2:22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</row>
    <row r="1584" spans="2:22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</row>
    <row r="1585" spans="2:22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</row>
    <row r="1586" spans="2:22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</row>
    <row r="1587" spans="2:22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</row>
    <row r="1588" spans="2:22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</row>
    <row r="1589" spans="2:22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</row>
    <row r="1590" spans="2:22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</row>
    <row r="1591" spans="2:22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</row>
    <row r="1592" spans="2:22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</row>
    <row r="1593" spans="2:22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</row>
    <row r="1594" spans="2:22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</row>
    <row r="1595" spans="2:22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</row>
    <row r="1596" spans="2:22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</row>
    <row r="1597" spans="2:22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</row>
    <row r="1598" spans="2:22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</row>
    <row r="1599" spans="2:22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</row>
    <row r="1600" spans="2:22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</row>
    <row r="1601" spans="2:22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</row>
    <row r="1602" spans="2:22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</row>
    <row r="1603" spans="2:22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</row>
    <row r="1604" spans="2:22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</row>
    <row r="1605" spans="2:22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</row>
    <row r="1606" spans="2:22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</row>
    <row r="1607" spans="2:22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</row>
    <row r="1608" spans="2:22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</row>
    <row r="1609" spans="2:22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</row>
    <row r="1610" spans="2:22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</row>
    <row r="1611" spans="2:22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</row>
    <row r="1612" spans="2:22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</row>
    <row r="1613" spans="2:22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</row>
    <row r="1614" spans="2:22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</row>
    <row r="1615" spans="2:22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</row>
    <row r="1616" spans="2:22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</row>
    <row r="1617" spans="2:22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</row>
    <row r="1618" spans="2:22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</row>
    <row r="1619" spans="2:22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</row>
    <row r="1620" spans="2:22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</row>
    <row r="1621" spans="2:22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</row>
    <row r="1622" spans="2:22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</row>
    <row r="1623" spans="2:22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</row>
    <row r="1624" spans="2:22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</row>
    <row r="1625" spans="2:22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</row>
    <row r="1626" spans="2:22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</row>
    <row r="1627" spans="2:22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</row>
    <row r="1628" spans="2:22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</row>
    <row r="1629" spans="2:22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</row>
    <row r="1630" spans="2:22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</row>
    <row r="1631" spans="2:22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</row>
    <row r="1632" spans="2:22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</row>
    <row r="1633" spans="2:22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</row>
    <row r="1634" spans="2:22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</row>
    <row r="1635" spans="2:22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</row>
    <row r="1636" spans="2:22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</row>
    <row r="1637" spans="2:22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</row>
    <row r="1638" spans="2:22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</row>
    <row r="1639" spans="2:22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</row>
    <row r="1640" spans="2:22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</row>
    <row r="1641" spans="2:22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</row>
    <row r="1642" spans="2:22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</row>
    <row r="1643" spans="2:22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</row>
    <row r="1644" spans="2:22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</row>
    <row r="1645" spans="2:22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</row>
    <row r="1646" spans="2:22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</row>
    <row r="1647" spans="2:22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</row>
    <row r="1648" spans="2:22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</row>
    <row r="1649" spans="2:22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</row>
    <row r="1650" spans="2:22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</row>
    <row r="1651" spans="2:22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</row>
    <row r="1652" spans="2:22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</row>
    <row r="1653" spans="2:22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</row>
    <row r="1654" spans="2:22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</row>
    <row r="1655" spans="2:22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</row>
    <row r="1656" spans="2:22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</row>
    <row r="1657" spans="2:22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</row>
    <row r="1658" spans="2:22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</row>
    <row r="1659" spans="2:22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</row>
    <row r="1660" spans="2:22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</row>
    <row r="1661" spans="2:22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</row>
    <row r="1662" spans="2:22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</row>
    <row r="1663" spans="2:22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</row>
    <row r="1664" spans="2:22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</row>
    <row r="1665" spans="2:22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</row>
    <row r="1666" spans="2:22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</row>
    <row r="1667" spans="2:22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</row>
    <row r="1668" spans="2:22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</row>
    <row r="1669" spans="2:22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</row>
    <row r="1670" spans="2:22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</row>
    <row r="1671" spans="2:22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</row>
    <row r="1672" spans="2:22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</row>
    <row r="1673" spans="2:22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</row>
    <row r="1674" spans="2:22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</row>
    <row r="1675" spans="2:22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</row>
    <row r="1676" spans="2:22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</row>
    <row r="1677" spans="2:22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</row>
    <row r="1678" spans="2:22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</row>
    <row r="1679" spans="2:22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</row>
    <row r="1680" spans="2:22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</row>
    <row r="1681" spans="2:22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</row>
    <row r="1682" spans="2:22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</row>
    <row r="1683" spans="2:22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</row>
    <row r="1684" spans="2:22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</row>
    <row r="1685" spans="2:22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</row>
    <row r="1686" spans="2:22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</row>
    <row r="1687" spans="2:22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</row>
    <row r="1688" spans="2:22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</row>
    <row r="1689" spans="2:22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</row>
    <row r="1690" spans="2:22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</row>
    <row r="1691" spans="2:22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</row>
    <row r="1692" spans="2:22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</row>
    <row r="1693" spans="2:22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</row>
    <row r="1694" spans="2:22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</row>
    <row r="1695" spans="2:22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</row>
    <row r="1696" spans="2:22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</row>
    <row r="1697" spans="2:22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</row>
    <row r="1698" spans="2:22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</row>
    <row r="1699" spans="2:22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</row>
    <row r="1700" spans="2:22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</row>
    <row r="1701" spans="2:22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</row>
    <row r="1702" spans="2:22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</row>
    <row r="1703" spans="2:22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</row>
    <row r="1704" spans="2:22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</row>
    <row r="1705" spans="2:22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</row>
    <row r="1706" spans="2:22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</row>
    <row r="1707" spans="2:22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</row>
    <row r="1708" spans="2:22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</row>
    <row r="1709" spans="2:22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</row>
    <row r="1710" spans="2:22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</row>
    <row r="1711" spans="2:22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</row>
    <row r="1712" spans="2:22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</row>
    <row r="1713" spans="2:22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</row>
    <row r="1714" spans="2:22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</row>
    <row r="1715" spans="2:22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</row>
    <row r="1716" spans="2:22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</row>
    <row r="1717" spans="2:22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</row>
    <row r="1718" spans="2:22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</row>
    <row r="1719" spans="2:22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</row>
    <row r="1720" spans="2:22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</row>
    <row r="1721" spans="2:22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</row>
    <row r="1722" spans="2:22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</row>
    <row r="1723" spans="2:22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</row>
    <row r="1724" spans="2:22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</row>
    <row r="1725" spans="2:22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</row>
    <row r="1726" spans="2:22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</row>
    <row r="1727" spans="2:22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</row>
    <row r="1728" spans="2:22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</row>
    <row r="1729" spans="2:22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</row>
    <row r="1730" spans="2:22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</row>
    <row r="1731" spans="2:22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</row>
    <row r="1732" spans="2:22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</row>
    <row r="1733" spans="2:22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</row>
    <row r="1734" spans="2:22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</row>
    <row r="1735" spans="2:22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</row>
    <row r="1736" spans="2:22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</row>
    <row r="1737" spans="2:22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</row>
    <row r="1738" spans="2:22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</row>
    <row r="1739" spans="2:22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</row>
    <row r="1740" spans="2:22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</row>
    <row r="1741" spans="2:22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</row>
    <row r="1742" spans="2:22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</row>
    <row r="1743" spans="2:22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</row>
    <row r="1744" spans="2:22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</row>
    <row r="1745" spans="2:22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</row>
    <row r="1746" spans="2:22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</row>
    <row r="1747" spans="2:22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</row>
    <row r="1748" spans="2:22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</row>
    <row r="1749" spans="2:22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</row>
    <row r="1750" spans="2:22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</row>
    <row r="1751" spans="2:22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</row>
    <row r="1752" spans="2:22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</row>
    <row r="1753" spans="2:22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</row>
    <row r="1754" spans="2:22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</row>
    <row r="1755" spans="2:22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</row>
    <row r="1756" spans="2:22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</row>
    <row r="1757" spans="2:22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</row>
    <row r="1758" spans="2:22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</row>
    <row r="1759" spans="2:22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</row>
    <row r="1760" spans="2:22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</row>
    <row r="1761" spans="2:22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</row>
    <row r="1762" spans="2:22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</row>
    <row r="1763" spans="2:22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</row>
    <row r="1764" spans="2:22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</row>
    <row r="1765" spans="2:22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</row>
    <row r="1766" spans="2:22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</row>
    <row r="1767" spans="2:22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</row>
    <row r="1768" spans="2:22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</row>
    <row r="1769" spans="2:22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</row>
    <row r="1770" spans="2:22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</row>
    <row r="1771" spans="2:22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</row>
    <row r="1772" spans="2:22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</row>
    <row r="1773" spans="2:22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</row>
    <row r="1774" spans="2:22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</row>
    <row r="1775" spans="2:22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</row>
    <row r="1776" spans="2:22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</row>
    <row r="1777" spans="2:22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</row>
    <row r="1778" spans="2:22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</row>
    <row r="1779" spans="2:22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</row>
    <row r="1780" spans="2:22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</row>
    <row r="1781" spans="2:22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</row>
    <row r="1782" spans="2:22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</row>
    <row r="1783" spans="2:22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</row>
    <row r="1784" spans="2:22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</row>
    <row r="1785" spans="2:22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</row>
    <row r="1786" spans="2:22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</row>
    <row r="1787" spans="2:22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</row>
    <row r="1788" spans="2:22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</row>
    <row r="1789" spans="2:22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</row>
    <row r="1790" spans="2:22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</row>
    <row r="1791" spans="2:22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</row>
    <row r="1792" spans="2:22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</row>
    <row r="1793" spans="2:22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</row>
    <row r="1794" spans="2:22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</row>
    <row r="1795" spans="2:22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</row>
    <row r="1796" spans="2:22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</row>
    <row r="1797" spans="2:22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</row>
    <row r="1798" spans="2:22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</row>
    <row r="1799" spans="2:22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</row>
    <row r="1800" spans="2:22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</row>
    <row r="1801" spans="2:22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</row>
    <row r="1802" spans="2:22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</row>
    <row r="1803" spans="2:22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</row>
    <row r="1804" spans="2:22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</row>
    <row r="1805" spans="2:22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</row>
    <row r="1806" spans="2:22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</row>
    <row r="1807" spans="2:22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</row>
    <row r="1808" spans="2:22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</row>
    <row r="1809" spans="2:22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</row>
    <row r="1810" spans="2:22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</row>
    <row r="1811" spans="2:22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</row>
    <row r="1812" spans="2:22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</row>
    <row r="1813" spans="2:22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</row>
    <row r="1814" spans="2:22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</row>
    <row r="1815" spans="2:22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</row>
    <row r="1816" spans="2:22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</row>
    <row r="1817" spans="2:22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</row>
    <row r="1818" spans="2:22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</row>
    <row r="1819" spans="2:22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</row>
    <row r="1820" spans="2:22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</row>
    <row r="1821" spans="2:22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</row>
    <row r="1822" spans="2:22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</row>
    <row r="1823" spans="2:22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</row>
    <row r="1824" spans="2:22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</row>
    <row r="1825" spans="2:22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</row>
    <row r="1826" spans="2:22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</row>
    <row r="1827" spans="2:22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</row>
    <row r="1828" spans="2:22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</row>
    <row r="1829" spans="2:22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</row>
    <row r="1830" spans="2:22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</row>
    <row r="1831" spans="2:22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</row>
    <row r="1832" spans="2:22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</row>
    <row r="1833" spans="2:22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</row>
    <row r="1834" spans="2:22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</row>
    <row r="1835" spans="2:22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</row>
    <row r="1836" spans="2:22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</row>
    <row r="1837" spans="2:22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</row>
    <row r="1838" spans="2:22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</row>
    <row r="1839" spans="2:22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</row>
    <row r="1840" spans="2:22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</row>
    <row r="1841" spans="2:22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</row>
    <row r="1842" spans="2:22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</row>
    <row r="1843" spans="2:22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</row>
    <row r="1844" spans="2:22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</row>
    <row r="1845" spans="2:22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</row>
    <row r="1846" spans="2:22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</row>
    <row r="1847" spans="2:22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</row>
    <row r="1848" spans="2:22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</row>
    <row r="1849" spans="2:22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</row>
    <row r="1850" spans="2:22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</row>
    <row r="1851" spans="2:22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</row>
    <row r="1852" spans="2:22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</row>
    <row r="1853" spans="2:22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</row>
    <row r="1854" spans="2:22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</row>
    <row r="1855" spans="2:22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</row>
    <row r="1856" spans="2:22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</row>
    <row r="1857" spans="2:22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</row>
    <row r="1858" spans="2:22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</row>
    <row r="1859" spans="2:22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</row>
    <row r="1860" spans="2:22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</row>
    <row r="1861" spans="2:22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</row>
    <row r="1862" spans="2:22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</row>
    <row r="1863" spans="2:22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</row>
    <row r="1864" spans="2:22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</row>
    <row r="1865" spans="2:22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</row>
    <row r="1866" spans="2:22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</row>
    <row r="1867" spans="2:22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</row>
    <row r="1868" spans="2:22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</row>
    <row r="1869" spans="2:22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</row>
    <row r="1870" spans="2:22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</row>
    <row r="1871" spans="2:22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</row>
    <row r="1872" spans="2:22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</row>
    <row r="1873" spans="2:22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</row>
    <row r="1874" spans="2:22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</row>
    <row r="1875" spans="2:22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</row>
    <row r="1876" spans="2:22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</row>
    <row r="1877" spans="2:22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</row>
    <row r="1878" spans="2:22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</row>
    <row r="1879" spans="2:22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</row>
    <row r="1880" spans="2:22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</row>
    <row r="1881" spans="2:22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</row>
    <row r="1882" spans="2:22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</row>
    <row r="1883" spans="2:22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</row>
    <row r="1884" spans="2:22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</row>
    <row r="1885" spans="2:22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</row>
    <row r="1886" spans="2:22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</row>
    <row r="1887" spans="2:22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</row>
    <row r="1888" spans="2:22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</row>
    <row r="1889" spans="2:22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</row>
    <row r="1890" spans="2:22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</row>
    <row r="1891" spans="2:22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</row>
    <row r="1892" spans="2:22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</row>
    <row r="1893" spans="2:22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</row>
    <row r="1894" spans="2:22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</row>
    <row r="1895" spans="2:22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</row>
    <row r="1896" spans="2:22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</row>
    <row r="1897" spans="2:22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</row>
    <row r="1898" spans="2:22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</row>
    <row r="1899" spans="2:22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</row>
    <row r="1900" spans="2:22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</row>
    <row r="1901" spans="2:22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</row>
    <row r="1902" spans="2:22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</row>
    <row r="1903" spans="2:22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</row>
    <row r="1904" spans="2:22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</row>
    <row r="1905" spans="2:22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</row>
    <row r="1906" spans="2:22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</row>
    <row r="1907" spans="2:22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</row>
    <row r="1908" spans="2:22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</row>
    <row r="1909" spans="2:22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</row>
    <row r="1910" spans="2:22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</row>
    <row r="1911" spans="2:22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</row>
    <row r="1912" spans="2:22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</row>
    <row r="1913" spans="2:22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</row>
    <row r="1914" spans="2:22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</row>
    <row r="1915" spans="2:22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</row>
    <row r="1916" spans="2:22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</row>
    <row r="1917" spans="2:22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</row>
    <row r="1918" spans="2:22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</row>
    <row r="1919" spans="2:22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</row>
    <row r="1920" spans="2:22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</row>
    <row r="1921" spans="2:22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</row>
    <row r="1922" spans="2:22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</row>
    <row r="1923" spans="2:22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</row>
    <row r="1924" spans="2:22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</row>
    <row r="1925" spans="2:22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</row>
    <row r="1926" spans="2:22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</row>
    <row r="1927" spans="2:22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</row>
    <row r="1928" spans="2:22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</row>
    <row r="1929" spans="2:22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</row>
    <row r="1930" spans="2:22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</row>
    <row r="1931" spans="2:22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</row>
    <row r="1932" spans="2:22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</row>
    <row r="1933" spans="2:22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</row>
    <row r="1934" spans="2:22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</row>
    <row r="1935" spans="2:22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</row>
    <row r="1936" spans="2:22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</row>
    <row r="1937" spans="2:22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</row>
    <row r="1938" spans="2:22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</row>
    <row r="1939" spans="2:22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</row>
    <row r="1940" spans="2:22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</row>
    <row r="1941" spans="2:22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</row>
    <row r="1942" spans="2:22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</row>
    <row r="1943" spans="2:22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</row>
    <row r="1944" spans="2:22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</row>
    <row r="1945" spans="2:22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</row>
    <row r="1946" spans="2:22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</row>
    <row r="1947" spans="2:22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</row>
    <row r="1948" spans="2:22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</row>
    <row r="1949" spans="2:22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</row>
    <row r="1950" spans="2:22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</row>
    <row r="1951" spans="2:22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</row>
    <row r="1952" spans="2:22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</row>
    <row r="1953" spans="2:22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</row>
    <row r="1954" spans="2:22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</row>
    <row r="1955" spans="2:22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</row>
    <row r="1956" spans="2:22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</row>
    <row r="1957" spans="2:22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</row>
    <row r="1958" spans="2:22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</row>
    <row r="1959" spans="2:22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</row>
    <row r="1960" spans="2:22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</row>
    <row r="1961" spans="2:22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</row>
    <row r="1962" spans="2:22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</row>
    <row r="1963" spans="2:22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</row>
    <row r="1964" spans="2:22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</row>
    <row r="1965" spans="2:22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</row>
    <row r="1966" spans="2:22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</row>
    <row r="1967" spans="2:22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</row>
    <row r="1968" spans="2:22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</row>
    <row r="1969" spans="2:22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</row>
    <row r="1970" spans="2:22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</row>
    <row r="1971" spans="2:22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</row>
    <row r="1972" spans="2:22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</row>
    <row r="1973" spans="2:22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</row>
    <row r="1974" spans="2:22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</row>
    <row r="1975" spans="2:22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</row>
    <row r="1976" spans="2:22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</row>
    <row r="1977" spans="2:22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</row>
    <row r="1978" spans="2:22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</row>
    <row r="1979" spans="2:22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</row>
    <row r="1980" spans="2:22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</row>
    <row r="1981" spans="2:22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</row>
    <row r="1982" spans="2:22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</row>
    <row r="1983" spans="2:22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</row>
    <row r="1984" spans="2:22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</row>
    <row r="1985" spans="2:22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</row>
    <row r="1986" spans="2:22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</row>
    <row r="1987" spans="2:22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</row>
    <row r="1988" spans="2:22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</row>
    <row r="1989" spans="2:22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</row>
    <row r="1990" spans="2:22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</row>
    <row r="1991" spans="2:22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</row>
    <row r="1992" spans="2:22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</row>
    <row r="1993" spans="2:22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</row>
    <row r="1994" spans="2:22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</row>
    <row r="1995" spans="2:22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</row>
    <row r="1996" spans="2:22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</row>
    <row r="1997" spans="2:22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</row>
    <row r="1998" spans="2:22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</row>
    <row r="1999" spans="2:22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</row>
    <row r="2000" spans="2:22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</row>
    <row r="2001" spans="2:22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</row>
    <row r="2002" spans="2:22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</row>
    <row r="2003" spans="2:22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</row>
    <row r="2004" spans="2:22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</row>
    <row r="2005" spans="2:22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</row>
    <row r="2006" spans="2:22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</row>
    <row r="2007" spans="2:22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</row>
    <row r="2008" spans="2:22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</row>
    <row r="2009" spans="2:22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</row>
    <row r="2010" spans="2:22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</row>
    <row r="2011" spans="2:22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</row>
    <row r="2012" spans="2:22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</row>
    <row r="2013" spans="2:22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</row>
    <row r="2014" spans="2:22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</row>
    <row r="2015" spans="2:22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</row>
    <row r="2016" spans="2:22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</row>
    <row r="2017" spans="2:22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</row>
    <row r="2018" spans="2:22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</row>
    <row r="2019" spans="2:22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</row>
    <row r="2020" spans="2:22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</row>
    <row r="2021" spans="2:22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</row>
    <row r="2022" spans="2:22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</row>
    <row r="2023" spans="2:22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</row>
    <row r="2024" spans="2:22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</row>
    <row r="2025" spans="2:22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</row>
    <row r="2026" spans="2:22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</row>
    <row r="2027" spans="2:22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</row>
    <row r="2028" spans="2:22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</row>
    <row r="2029" spans="2:22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</row>
    <row r="2030" spans="2:22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</row>
    <row r="2031" spans="2:22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</row>
    <row r="2032" spans="2:22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</row>
    <row r="2033" spans="2:22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</row>
    <row r="2034" spans="2:22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</row>
    <row r="2035" spans="2:22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</row>
    <row r="2036" spans="2:22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</row>
    <row r="2037" spans="2:22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</row>
    <row r="2038" spans="2:22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</row>
    <row r="2039" spans="2:22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</row>
    <row r="2040" spans="2:22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</row>
    <row r="2041" spans="2:22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</row>
    <row r="2042" spans="2:22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</row>
    <row r="2043" spans="2:22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</row>
    <row r="2044" spans="2:22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</row>
    <row r="2045" spans="2:22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</row>
    <row r="2046" spans="2:22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</row>
    <row r="2047" spans="2:22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</row>
    <row r="2048" spans="2:22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</row>
    <row r="2049" spans="2:22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</row>
    <row r="2050" spans="2:22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</row>
    <row r="2051" spans="2:22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</row>
    <row r="2052" spans="2:22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</row>
    <row r="2053" spans="2:22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</row>
    <row r="2054" spans="2:22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</row>
    <row r="2055" spans="2:22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</row>
    <row r="2056" spans="2:22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</row>
    <row r="2057" spans="2:22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</row>
    <row r="2058" spans="2:22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</row>
    <row r="2059" spans="2:22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</row>
    <row r="2060" spans="2:22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</row>
    <row r="2061" spans="2:22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</row>
    <row r="2062" spans="2:22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</row>
    <row r="2063" spans="2:22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</row>
    <row r="2064" spans="2:22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</row>
    <row r="2065" spans="2:22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</row>
    <row r="2066" spans="2:22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</row>
    <row r="2067" spans="2:22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</row>
    <row r="2068" spans="2:22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</row>
    <row r="2069" spans="2:22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</row>
    <row r="2070" spans="2:22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</row>
    <row r="2071" spans="2:22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</row>
    <row r="2072" spans="2:22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</row>
    <row r="2073" spans="2:22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</row>
    <row r="2074" spans="2:22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</row>
    <row r="2075" spans="2:22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</row>
    <row r="2076" spans="2:22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</row>
    <row r="2077" spans="2:22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</row>
    <row r="2078" spans="2:22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</row>
    <row r="2079" spans="2:22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</row>
    <row r="2080" spans="2:22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</row>
    <row r="2081" spans="2:22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</row>
    <row r="2082" spans="2:22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</row>
    <row r="2083" spans="2:22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</row>
    <row r="2084" spans="2:22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</row>
    <row r="2085" spans="2:22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</row>
    <row r="2086" spans="2:22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</row>
    <row r="2087" spans="2:22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</row>
    <row r="2088" spans="2:22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</row>
    <row r="2089" spans="2:22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</row>
    <row r="2090" spans="2:22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</row>
    <row r="2091" spans="2:22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</row>
    <row r="2092" spans="2:22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</row>
    <row r="2093" spans="2:22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</row>
    <row r="2094" spans="2:22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</row>
    <row r="2095" spans="2:22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</row>
    <row r="2096" spans="2:22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</row>
    <row r="2097" spans="2:22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</row>
    <row r="2098" spans="2:22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</row>
    <row r="2099" spans="2:22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</row>
    <row r="2100" spans="2:22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</row>
    <row r="2101" spans="2:22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</row>
    <row r="2102" spans="2:22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</row>
    <row r="2103" spans="2:22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</row>
    <row r="2104" spans="2:22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</row>
    <row r="2105" spans="2:22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</row>
    <row r="2106" spans="2:22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</row>
    <row r="2107" spans="2:22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</row>
    <row r="2108" spans="2:22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</row>
    <row r="2109" spans="2:22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</row>
    <row r="2110" spans="2:22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</row>
    <row r="2111" spans="2:22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</row>
    <row r="2112" spans="2:22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</row>
    <row r="2113" spans="2:22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</row>
    <row r="2114" spans="2:22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</row>
    <row r="2115" spans="2:22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</row>
    <row r="2116" spans="2:22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</row>
    <row r="2117" spans="2:22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</row>
    <row r="2118" spans="2:22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</row>
    <row r="2119" spans="2:22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</row>
    <row r="2120" spans="2:22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</row>
    <row r="2121" spans="2:22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</row>
    <row r="2122" spans="2:22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</row>
    <row r="2123" spans="2:22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</row>
    <row r="2124" spans="2:22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</row>
    <row r="2125" spans="2:22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</row>
    <row r="2126" spans="2:22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</row>
    <row r="2127" spans="2:22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</row>
    <row r="2128" spans="2:22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</row>
    <row r="2129" spans="2:22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</row>
    <row r="2130" spans="2:22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</row>
    <row r="2131" spans="2:22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</row>
    <row r="2132" spans="2:22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</row>
    <row r="2133" spans="2:22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</row>
    <row r="2134" spans="2:22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</row>
    <row r="2135" spans="2:22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</row>
    <row r="2136" spans="2:22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</row>
    <row r="2137" spans="2:22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</row>
    <row r="2138" spans="2:22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</row>
    <row r="2139" spans="2:22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</row>
    <row r="2140" spans="2:22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</row>
    <row r="2141" spans="2:22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</row>
    <row r="2142" spans="2:22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</row>
    <row r="2143" spans="2:22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</row>
    <row r="2144" spans="2:22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</row>
    <row r="2145" spans="2:22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</row>
    <row r="2146" spans="2:22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</row>
    <row r="2147" spans="2:22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</row>
    <row r="2148" spans="2:22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</row>
    <row r="2149" spans="2:22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</row>
    <row r="2150" spans="2:22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</row>
    <row r="2151" spans="2:22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</row>
    <row r="2152" spans="2:22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</row>
    <row r="2153" spans="2:22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</row>
    <row r="2154" spans="2:22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</row>
    <row r="2155" spans="2:22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</row>
    <row r="2156" spans="2:22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</row>
    <row r="2157" spans="2:22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</row>
    <row r="2158" spans="2:22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</row>
    <row r="2159" spans="2:22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</row>
    <row r="2160" spans="2:22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</row>
    <row r="2161" spans="2:22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</row>
    <row r="2162" spans="2:22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</row>
    <row r="2163" spans="2:22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</row>
    <row r="2164" spans="2:22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</row>
    <row r="2165" spans="2:22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</row>
    <row r="2166" spans="2:22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</row>
    <row r="2167" spans="2:22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</row>
    <row r="2168" spans="2:22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</row>
    <row r="2169" spans="2:22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</row>
    <row r="2170" spans="2:22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</row>
    <row r="2171" spans="2:22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</row>
    <row r="2172" spans="2:22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</row>
    <row r="2173" spans="2:22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</row>
    <row r="2174" spans="2:22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</row>
    <row r="2175" spans="2:22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</row>
    <row r="2176" spans="2:22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</row>
    <row r="2177" spans="2:22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</row>
    <row r="2178" spans="2:22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</row>
    <row r="2179" spans="2:22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</row>
    <row r="2180" spans="2:22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</row>
    <row r="2181" spans="2:22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</row>
    <row r="2182" spans="2:22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</row>
    <row r="2183" spans="2:22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</row>
    <row r="2184" spans="2:22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</row>
    <row r="2185" spans="2:22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</row>
    <row r="2186" spans="2:22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</row>
    <row r="2187" spans="2:22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</row>
    <row r="2188" spans="2:22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</row>
    <row r="2189" spans="2:22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</row>
    <row r="2190" spans="2:22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</row>
    <row r="2191" spans="2:22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</row>
    <row r="2192" spans="2:22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</row>
    <row r="2193" spans="2:22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</row>
    <row r="2194" spans="2:22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</row>
    <row r="2195" spans="2:22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</row>
    <row r="2196" spans="2:22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</row>
    <row r="2197" spans="2:22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</row>
    <row r="2198" spans="2:22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</row>
    <row r="2199" spans="2:22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</row>
    <row r="2200" spans="2:22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</row>
    <row r="2201" spans="2:22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</row>
    <row r="2202" spans="2:22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</row>
    <row r="2203" spans="2:22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</row>
    <row r="2204" spans="2:22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</row>
    <row r="2205" spans="2:22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</row>
    <row r="2206" spans="2:22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</row>
    <row r="2207" spans="2:22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</row>
    <row r="2208" spans="2:22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</row>
    <row r="2209" spans="2:22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</row>
    <row r="2210" spans="2:22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</row>
    <row r="2211" spans="2:22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</row>
    <row r="2212" spans="2:22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</row>
    <row r="2213" spans="2:22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</row>
    <row r="2214" spans="2:22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</row>
    <row r="2215" spans="2:22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</row>
    <row r="2216" spans="2:22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</row>
    <row r="2217" spans="2:22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</row>
    <row r="2218" spans="2:22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</row>
    <row r="2219" spans="2:22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</row>
    <row r="2220" spans="2:22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</row>
    <row r="2221" spans="2:22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</row>
    <row r="2222" spans="2:22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</row>
    <row r="2223" spans="2:22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</row>
    <row r="2224" spans="2:22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</row>
    <row r="2225" spans="2:22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</row>
    <row r="2226" spans="2:22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</row>
    <row r="2227" spans="2:22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</row>
    <row r="2228" spans="2:22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</row>
    <row r="2229" spans="2:22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</row>
    <row r="2230" spans="2:22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</row>
    <row r="2231" spans="2:22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</row>
    <row r="2232" spans="2:22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</row>
    <row r="2233" spans="2:22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</row>
    <row r="2234" spans="2:22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</row>
    <row r="2235" spans="2:22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</row>
    <row r="2236" spans="2:22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</row>
    <row r="2237" spans="2:22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</row>
    <row r="2238" spans="2:22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</row>
    <row r="2239" spans="2:22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</row>
    <row r="2240" spans="2:22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</row>
    <row r="2241" spans="2:22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</row>
    <row r="2242" spans="2:22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</row>
    <row r="2243" spans="2:22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</row>
    <row r="2244" spans="2:22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</row>
    <row r="2245" spans="2:22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</row>
    <row r="2246" spans="2:22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</row>
    <row r="2247" spans="2:22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</row>
    <row r="2248" spans="2:22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</row>
    <row r="2249" spans="2:22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</row>
    <row r="2250" spans="2:22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</row>
    <row r="2251" spans="2:22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</row>
    <row r="2252" spans="2:22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</row>
    <row r="2253" spans="2:22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</row>
    <row r="2254" spans="2:22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</row>
    <row r="2255" spans="2:22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</row>
    <row r="2256" spans="2:22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</row>
    <row r="2257" spans="2:22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</row>
    <row r="2258" spans="2:22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</row>
    <row r="2259" spans="2:22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</row>
    <row r="2260" spans="2:22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</row>
    <row r="2261" spans="2:22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</row>
    <row r="2262" spans="2:22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</row>
    <row r="2263" spans="2:22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</row>
    <row r="2264" spans="2:22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</row>
    <row r="2265" spans="2:22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</row>
    <row r="2266" spans="2:22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</row>
    <row r="2267" spans="2:22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</row>
    <row r="2268" spans="2:22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</row>
    <row r="2269" spans="2:22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</row>
    <row r="2270" spans="2:22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</row>
    <row r="2271" spans="2:22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</row>
    <row r="2272" spans="2:22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</row>
    <row r="2273" spans="2:22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</row>
    <row r="2274" spans="2:22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</row>
    <row r="2275" spans="2:22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</row>
    <row r="2276" spans="2:22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</row>
    <row r="2277" spans="2:22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</row>
    <row r="2278" spans="2:22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</row>
    <row r="2279" spans="2:22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</row>
    <row r="2280" spans="2:22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</row>
    <row r="2281" spans="2:22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</row>
    <row r="2282" spans="2:22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</row>
    <row r="2283" spans="2:22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</row>
    <row r="2284" spans="2:22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</row>
    <row r="2285" spans="2:22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</row>
    <row r="2286" spans="2:22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</row>
    <row r="2287" spans="2:22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</row>
    <row r="2288" spans="2:22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</row>
    <row r="2289" spans="2:22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</row>
    <row r="2290" spans="2:22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</row>
    <row r="2291" spans="2:22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</row>
    <row r="2292" spans="2:22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</row>
    <row r="2293" spans="2:22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</row>
    <row r="2294" spans="2:22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</row>
    <row r="2295" spans="2:22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</row>
    <row r="2296" spans="2:22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</row>
    <row r="2297" spans="2:22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</row>
    <row r="2298" spans="2:22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</row>
    <row r="2299" spans="2:22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</row>
    <row r="2300" spans="2:22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</row>
    <row r="2301" spans="2:22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</row>
    <row r="2302" spans="2:22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</row>
    <row r="2303" spans="2:22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</row>
    <row r="2304" spans="2:22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</row>
    <row r="2305" spans="2:22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</row>
    <row r="2306" spans="2:22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</row>
    <row r="2307" spans="2:22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</row>
    <row r="2308" spans="2:22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</row>
    <row r="2309" spans="2:22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</row>
    <row r="2310" spans="2:22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</row>
    <row r="2311" spans="2:22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</row>
    <row r="2312" spans="2:22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</row>
    <row r="2313" spans="2:22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</row>
    <row r="2314" spans="2:22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</row>
    <row r="2315" spans="2:22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</row>
    <row r="2316" spans="2:22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</row>
    <row r="2317" spans="2:22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</row>
    <row r="2318" spans="2:22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</row>
    <row r="2319" spans="2:22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</row>
    <row r="2320" spans="2:22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</row>
    <row r="2321" spans="2:22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</row>
    <row r="2322" spans="2:22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</row>
    <row r="2323" spans="2:22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</row>
    <row r="2324" spans="2:22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</row>
    <row r="2325" spans="2:22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</row>
    <row r="2326" spans="2:22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</row>
    <row r="2327" spans="2:22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</row>
    <row r="2328" spans="2:22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</row>
    <row r="2329" spans="2:22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</row>
    <row r="2330" spans="2:22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</row>
    <row r="2331" spans="2:22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</row>
    <row r="2332" spans="2:22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</row>
    <row r="2333" spans="2:22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</row>
    <row r="2334" spans="2:22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</row>
    <row r="2335" spans="2:22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</row>
    <row r="2336" spans="2:22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</row>
    <row r="2337" spans="2:22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</row>
    <row r="2338" spans="2:22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</row>
    <row r="2339" spans="2:22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</row>
    <row r="2340" spans="2:22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</row>
    <row r="2341" spans="2:22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</row>
    <row r="2342" spans="2:22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</row>
    <row r="2343" spans="2:22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</row>
    <row r="2344" spans="2:22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</row>
    <row r="2345" spans="2:22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</row>
    <row r="2346" spans="2:22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</row>
    <row r="2347" spans="2:22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</row>
    <row r="2348" spans="2:22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</row>
    <row r="2349" spans="2:22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</row>
    <row r="2350" spans="2:22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</row>
    <row r="2351" spans="2:22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</row>
    <row r="2352" spans="2:22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</row>
    <row r="2353" spans="2:22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</row>
    <row r="2354" spans="2:22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</row>
    <row r="2355" spans="2:22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</row>
    <row r="2356" spans="2:22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</row>
    <row r="2357" spans="2:22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</row>
    <row r="2358" spans="2:22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</row>
    <row r="2359" spans="2:22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</row>
    <row r="2360" spans="2:22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</row>
    <row r="2361" spans="2:22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</row>
    <row r="2362" spans="2:22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</row>
    <row r="2363" spans="2:22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</row>
    <row r="2364" spans="2:22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</row>
    <row r="2365" spans="2:22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</row>
    <row r="2366" spans="2:22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</row>
    <row r="2367" spans="2:22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</row>
    <row r="2368" spans="2:22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</row>
    <row r="2369" spans="2:22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</row>
    <row r="2370" spans="2:22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</row>
    <row r="2371" spans="2:22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</row>
    <row r="2372" spans="2:22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</row>
    <row r="2373" spans="2:22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</row>
    <row r="2374" spans="2:22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</row>
    <row r="2375" spans="2:22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</row>
    <row r="2376" spans="2:22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</row>
    <row r="2377" spans="2:22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</row>
    <row r="2378" spans="2:22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</row>
    <row r="2379" spans="2:22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</row>
    <row r="2380" spans="2:22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</row>
    <row r="2381" spans="2:22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</row>
    <row r="2382" spans="2:22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</row>
    <row r="2383" spans="2:22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</row>
    <row r="2384" spans="2:22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</row>
    <row r="2385" spans="2:22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</row>
    <row r="2386" spans="2:22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</row>
    <row r="2387" spans="2:22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</row>
    <row r="2388" spans="2:22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</row>
    <row r="2389" spans="2:22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</row>
    <row r="2390" spans="2:22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</row>
    <row r="2391" spans="2:22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</row>
    <row r="2392" spans="2:22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</row>
    <row r="2393" spans="2:22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</row>
    <row r="2394" spans="2:22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</row>
    <row r="2395" spans="2:22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</row>
    <row r="2396" spans="2:22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</row>
    <row r="2397" spans="2:22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</row>
    <row r="2398" spans="2:22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</row>
    <row r="2399" spans="2:22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</row>
    <row r="2400" spans="2:22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</row>
    <row r="2401" spans="2:22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</row>
    <row r="2402" spans="2:22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</row>
    <row r="2403" spans="2:22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</row>
    <row r="2404" spans="2:22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</row>
    <row r="2405" spans="2:22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</row>
    <row r="2406" spans="2:22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</row>
    <row r="2407" spans="2:22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</row>
    <row r="2408" spans="2:22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</row>
    <row r="2409" spans="2:22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</row>
    <row r="2410" spans="2:22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</row>
    <row r="2411" spans="2:22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</row>
    <row r="2412" spans="2:22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</row>
    <row r="2413" spans="2:22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</row>
    <row r="2414" spans="2:22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</row>
    <row r="2415" spans="2:22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</row>
    <row r="2416" spans="2:22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</row>
    <row r="2417" spans="2:22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</row>
    <row r="2418" spans="2:22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</row>
    <row r="2419" spans="2:22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</row>
    <row r="2420" spans="2:22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</row>
    <row r="2421" spans="2:22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</row>
    <row r="2422" spans="2:22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</row>
    <row r="2423" spans="2:22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</row>
    <row r="2424" spans="2:22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</row>
    <row r="2425" spans="2:22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</row>
    <row r="2426" spans="2:22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</row>
    <row r="2427" spans="2:22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</row>
    <row r="2428" spans="2:22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</row>
    <row r="2429" spans="2:22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</row>
    <row r="2430" spans="2:22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</row>
    <row r="2431" spans="2:22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</row>
    <row r="2432" spans="2:22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</row>
    <row r="2433" spans="2:22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</row>
    <row r="2434" spans="2:22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</row>
    <row r="2435" spans="2:22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</row>
    <row r="2436" spans="2:22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</row>
    <row r="2437" spans="2:22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</row>
    <row r="2438" spans="2:22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</row>
    <row r="2439" spans="2:22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</row>
    <row r="2440" spans="2:22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</row>
    <row r="2441" spans="2:22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</row>
    <row r="2442" spans="2:22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</row>
    <row r="2443" spans="2:22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</row>
    <row r="2444" spans="2:22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</row>
    <row r="2445" spans="2:22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</row>
    <row r="2446" spans="2:22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</row>
    <row r="2447" spans="2:22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</row>
    <row r="2448" spans="2:22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</row>
    <row r="2449" spans="2:22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</row>
    <row r="2450" spans="2:22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</row>
    <row r="2451" spans="2:22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</row>
    <row r="2452" spans="2:22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</row>
    <row r="2453" spans="2:22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</row>
    <row r="2454" spans="2:22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</row>
    <row r="2455" spans="2:22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</row>
    <row r="2456" spans="2:22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</row>
    <row r="2457" spans="2:22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</row>
    <row r="2458" spans="2:22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</row>
    <row r="2459" spans="2:22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</row>
    <row r="2460" spans="2:22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</row>
    <row r="2461" spans="2:22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</row>
    <row r="2462" spans="2:22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</row>
    <row r="2463" spans="2:22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</row>
    <row r="2464" spans="2:22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</row>
    <row r="2465" spans="2:22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</row>
    <row r="2466" spans="2:22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</row>
    <row r="2467" spans="2:22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</row>
    <row r="2468" spans="2:22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</row>
    <row r="2469" spans="2:22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</row>
    <row r="2470" spans="2:22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</row>
    <row r="2471" spans="2:22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</row>
    <row r="2472" spans="2:22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</row>
    <row r="2473" spans="2:22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</row>
    <row r="2474" spans="2:22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</row>
    <row r="2475" spans="2:22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</row>
    <row r="2476" spans="2:22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</row>
    <row r="2477" spans="2:22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</row>
    <row r="2478" spans="2:22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</row>
    <row r="2479" spans="2:22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</row>
    <row r="2480" spans="2:22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</row>
    <row r="2481" spans="2:22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</row>
    <row r="2482" spans="2:22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</row>
    <row r="2483" spans="2:22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</row>
    <row r="2484" spans="2:22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</row>
    <row r="2485" spans="2:22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</row>
    <row r="2486" spans="2:22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</row>
    <row r="2487" spans="2:22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</row>
    <row r="2488" spans="2:22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</row>
    <row r="2489" spans="2:22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</row>
    <row r="2490" spans="2:22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</row>
    <row r="2491" spans="2:22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</row>
    <row r="2492" spans="2:22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</row>
    <row r="2493" spans="2:22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</row>
    <row r="2494" spans="2:22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</row>
    <row r="2495" spans="2:22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</row>
    <row r="2496" spans="2:22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</row>
    <row r="2497" spans="2:22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</row>
    <row r="2498" spans="2:22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</row>
    <row r="2499" spans="2:22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</row>
    <row r="2500" spans="2:22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</row>
    <row r="2501" spans="2:22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</row>
    <row r="2502" spans="2:22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</row>
    <row r="2503" spans="2:22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</row>
    <row r="2504" spans="2:22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</row>
    <row r="2505" spans="2:22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</row>
    <row r="2506" spans="2:22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</row>
    <row r="2507" spans="2:22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</row>
    <row r="2508" spans="2:22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</row>
    <row r="2509" spans="2:22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</row>
    <row r="2510" spans="2:22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</row>
    <row r="2511" spans="2:22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</row>
    <row r="2512" spans="2:22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</row>
    <row r="2513" spans="2:22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</row>
    <row r="2514" spans="2:22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</row>
    <row r="2515" spans="2:22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</row>
    <row r="2516" spans="2:22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</row>
    <row r="2517" spans="2:22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</row>
    <row r="2518" spans="2:22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</row>
    <row r="2519" spans="2:22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</row>
    <row r="2520" spans="2:22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</row>
    <row r="2521" spans="2:22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</row>
    <row r="2522" spans="2:22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</row>
    <row r="2523" spans="2:22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</row>
    <row r="2524" spans="2:22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</row>
    <row r="2525" spans="2:22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</row>
    <row r="2526" spans="2:22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</row>
    <row r="2527" spans="2:22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</row>
    <row r="2528" spans="2:22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</row>
    <row r="2529" spans="2:22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</row>
    <row r="2530" spans="2:22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</row>
    <row r="2531" spans="2:22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</row>
    <row r="2532" spans="2:22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</row>
    <row r="2533" spans="2:22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</row>
    <row r="2534" spans="2:22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</row>
    <row r="2535" spans="2:22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</row>
    <row r="2536" spans="2:22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</row>
    <row r="2537" spans="2:22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</row>
    <row r="2538" spans="2:22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</row>
    <row r="2539" spans="2:22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</row>
    <row r="2540" spans="2:22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</row>
    <row r="2541" spans="2:22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</row>
    <row r="2542" spans="2:22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</row>
    <row r="2543" spans="2:22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</row>
    <row r="2544" spans="2:22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</row>
    <row r="2545" spans="2:22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</row>
    <row r="2546" spans="2:22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</row>
    <row r="2547" spans="2:22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</row>
    <row r="2548" spans="2:22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</row>
    <row r="2549" spans="2:22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</row>
    <row r="2550" spans="2:22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</row>
    <row r="2551" spans="2:22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</row>
    <row r="2552" spans="2:22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</row>
    <row r="2553" spans="2:22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</row>
    <row r="2554" spans="2:22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</row>
    <row r="2555" spans="2:22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</row>
    <row r="2556" spans="2:22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</row>
    <row r="2557" spans="2:22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</row>
    <row r="2558" spans="2:22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</row>
    <row r="2559" spans="2:22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</row>
    <row r="2560" spans="2:22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</row>
    <row r="2561" spans="2:20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2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2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25">
      <c r="K2713" s="3"/>
    </row>
  </sheetData>
  <phoneticPr fontId="2" type="noConversion"/>
  <conditionalFormatting sqref="I2713:I1048576 N78 M570:N570 M539:N540 M542:N544 M546:N546 M591:N596 M575:N586 M549:N557 M566:N567 M687:N688 M692:N693 N1141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2:N1185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N1093 M1126:N1129 N1125 M1131:N1140 N1130 M1187:N1190 N1186 M1192:N1199 N1191 N1200 M1229:N1233 N1228 M1235:N1252 N1234 N1253 M1201:N1227 M1094:N1124 M1254:N1325 K16:K1325">
    <cfRule type="cellIs" dxfId="531" priority="2459" operator="equal">
      <formula>"Desactivado"</formula>
    </cfRule>
    <cfRule type="cellIs" dxfId="530" priority="2460" operator="equal">
      <formula>"Sobre Stock"</formula>
    </cfRule>
    <cfRule type="cellIs" dxfId="529" priority="2461" operator="equal">
      <formula>"Bajo Stock"</formula>
    </cfRule>
    <cfRule type="cellIs" dxfId="528" priority="2462" operator="equal">
      <formula>"Stock OK"</formula>
    </cfRule>
    <cfRule type="cellIs" dxfId="527" priority="2463" operator="equal">
      <formula>"Quiebre Stock"</formula>
    </cfRule>
  </conditionalFormatting>
  <conditionalFormatting pivot="1" sqref="G3:G14">
    <cfRule type="cellIs" dxfId="526" priority="2453" operator="lessThan">
      <formula>0.9</formula>
    </cfRule>
  </conditionalFormatting>
  <conditionalFormatting sqref="I3">
    <cfRule type="cellIs" dxfId="525" priority="2448" operator="equal">
      <formula>"Desactivado"</formula>
    </cfRule>
    <cfRule type="cellIs" dxfId="524" priority="2449" operator="equal">
      <formula>"Sobre Stock"</formula>
    </cfRule>
    <cfRule type="cellIs" dxfId="523" priority="2450" operator="equal">
      <formula>"Bajo Stock"</formula>
    </cfRule>
    <cfRule type="cellIs" dxfId="522" priority="2451" operator="equal">
      <formula>"Stock OK"</formula>
    </cfRule>
    <cfRule type="cellIs" dxfId="521" priority="2452" operator="equal">
      <formula>"Quiebre Stock"</formula>
    </cfRule>
  </conditionalFormatting>
  <conditionalFormatting sqref="I4">
    <cfRule type="cellIs" dxfId="520" priority="2443" operator="equal">
      <formula>"Desactivado"</formula>
    </cfRule>
    <cfRule type="cellIs" dxfId="519" priority="2444" operator="equal">
      <formula>"Sobre Stock"</formula>
    </cfRule>
    <cfRule type="cellIs" dxfId="518" priority="2445" operator="equal">
      <formula>"Bajo Stock"</formula>
    </cfRule>
    <cfRule type="cellIs" dxfId="517" priority="2446" operator="equal">
      <formula>"Stock OK"</formula>
    </cfRule>
    <cfRule type="cellIs" dxfId="516" priority="2447" operator="equal">
      <formula>"Quiebre Stock"</formula>
    </cfRule>
  </conditionalFormatting>
  <conditionalFormatting sqref="I6">
    <cfRule type="cellIs" dxfId="515" priority="2438" operator="equal">
      <formula>"Desactivado"</formula>
    </cfRule>
    <cfRule type="cellIs" dxfId="514" priority="2439" operator="equal">
      <formula>"Sobre Stock"</formula>
    </cfRule>
    <cfRule type="cellIs" dxfId="513" priority="2440" operator="equal">
      <formula>"Bajo Stock"</formula>
    </cfRule>
    <cfRule type="cellIs" dxfId="512" priority="2441" operator="equal">
      <formula>"Stock OK"</formula>
    </cfRule>
    <cfRule type="cellIs" dxfId="511" priority="2442" operator="equal">
      <formula>"Quiebre Stock"</formula>
    </cfRule>
  </conditionalFormatting>
  <conditionalFormatting sqref="I5">
    <cfRule type="cellIs" dxfId="510" priority="2433" operator="equal">
      <formula>"Desactivado"</formula>
    </cfRule>
    <cfRule type="cellIs" dxfId="509" priority="2434" operator="equal">
      <formula>"Sobre Stock"</formula>
    </cfRule>
    <cfRule type="cellIs" dxfId="508" priority="2435" operator="equal">
      <formula>"Bajo Stock"</formula>
    </cfRule>
    <cfRule type="cellIs" dxfId="507" priority="2436" operator="equal">
      <formula>"Stock OK"</formula>
    </cfRule>
    <cfRule type="cellIs" dxfId="506" priority="2437" operator="equal">
      <formula>"Quiebre Stock"</formula>
    </cfRule>
  </conditionalFormatting>
  <conditionalFormatting pivot="1" sqref="J3">
    <cfRule type="cellIs" dxfId="505" priority="2428" operator="equal">
      <formula>"Desactivado"</formula>
    </cfRule>
    <cfRule type="cellIs" dxfId="504" priority="2429" operator="equal">
      <formula>"Sobre Stock"</formula>
    </cfRule>
    <cfRule type="cellIs" dxfId="503" priority="2430" operator="equal">
      <formula>"Bajo Stock"</formula>
    </cfRule>
    <cfRule type="cellIs" dxfId="502" priority="2431" operator="equal">
      <formula>"Stock OK"</formula>
    </cfRule>
    <cfRule type="cellIs" dxfId="501" priority="2432" operator="equal">
      <formula>"Quiebre Stock"</formula>
    </cfRule>
  </conditionalFormatting>
  <conditionalFormatting sqref="N1326:N2096 R1076:R1077 Q517:R530 R516 Q532:R532 R531 R533:R536 Q537:R1075 Q17:R515 Q1078:R1325">
    <cfRule type="cellIs" dxfId="500" priority="2427" operator="lessThan">
      <formula>TODAY()</formula>
    </cfRule>
  </conditionalFormatting>
  <conditionalFormatting sqref="N547">
    <cfRule type="cellIs" dxfId="499" priority="2379" operator="equal">
      <formula>"Desactivado"</formula>
    </cfRule>
    <cfRule type="cellIs" dxfId="498" priority="2380" operator="equal">
      <formula>"Sobre Stock"</formula>
    </cfRule>
    <cfRule type="cellIs" dxfId="497" priority="2381" operator="equal">
      <formula>"Bajo Stock"</formula>
    </cfRule>
    <cfRule type="cellIs" dxfId="496" priority="2382" operator="equal">
      <formula>"Stock OK"</formula>
    </cfRule>
    <cfRule type="cellIs" dxfId="495" priority="2383" operator="equal">
      <formula>"Quiebre Stock"</formula>
    </cfRule>
  </conditionalFormatting>
  <conditionalFormatting sqref="N651">
    <cfRule type="cellIs" dxfId="494" priority="2373" operator="equal">
      <formula>"Desactivado"</formula>
    </cfRule>
    <cfRule type="cellIs" dxfId="493" priority="2374" operator="equal">
      <formula>"Sobre Stock"</formula>
    </cfRule>
    <cfRule type="cellIs" dxfId="492" priority="2375" operator="equal">
      <formula>"Bajo Stock"</formula>
    </cfRule>
    <cfRule type="cellIs" dxfId="491" priority="2376" operator="equal">
      <formula>"Stock OK"</formula>
    </cfRule>
    <cfRule type="cellIs" dxfId="490" priority="2377" operator="equal">
      <formula>"Quiebre Stock"</formula>
    </cfRule>
  </conditionalFormatting>
  <conditionalFormatting sqref="N652">
    <cfRule type="cellIs" dxfId="489" priority="2367" operator="equal">
      <formula>"Desactivado"</formula>
    </cfRule>
    <cfRule type="cellIs" dxfId="488" priority="2368" operator="equal">
      <formula>"Sobre Stock"</formula>
    </cfRule>
    <cfRule type="cellIs" dxfId="487" priority="2369" operator="equal">
      <formula>"Bajo Stock"</formula>
    </cfRule>
    <cfRule type="cellIs" dxfId="486" priority="2370" operator="equal">
      <formula>"Stock OK"</formula>
    </cfRule>
    <cfRule type="cellIs" dxfId="485" priority="2371" operator="equal">
      <formula>"Quiebre Stock"</formula>
    </cfRule>
  </conditionalFormatting>
  <conditionalFormatting sqref="M659:N659">
    <cfRule type="cellIs" dxfId="484" priority="2355" operator="equal">
      <formula>"Desactivado"</formula>
    </cfRule>
    <cfRule type="cellIs" dxfId="483" priority="2356" operator="equal">
      <formula>"Sobre Stock"</formula>
    </cfRule>
    <cfRule type="cellIs" dxfId="482" priority="2357" operator="equal">
      <formula>"Bajo Stock"</formula>
    </cfRule>
    <cfRule type="cellIs" dxfId="481" priority="2358" operator="equal">
      <formula>"Stock OK"</formula>
    </cfRule>
    <cfRule type="cellIs" dxfId="480" priority="2359" operator="equal">
      <formula>"Quiebre Stock"</formula>
    </cfRule>
  </conditionalFormatting>
  <conditionalFormatting sqref="M686:N686">
    <cfRule type="cellIs" dxfId="479" priority="2349" operator="equal">
      <formula>"Desactivado"</formula>
    </cfRule>
    <cfRule type="cellIs" dxfId="478" priority="2350" operator="equal">
      <formula>"Sobre Stock"</formula>
    </cfRule>
    <cfRule type="cellIs" dxfId="477" priority="2351" operator="equal">
      <formula>"Bajo Stock"</formula>
    </cfRule>
    <cfRule type="cellIs" dxfId="476" priority="2352" operator="equal">
      <formula>"Stock OK"</formula>
    </cfRule>
    <cfRule type="cellIs" dxfId="475" priority="2353" operator="equal">
      <formula>"Quiebre Stock"</formula>
    </cfRule>
  </conditionalFormatting>
  <conditionalFormatting sqref="M689:N689">
    <cfRule type="cellIs" dxfId="474" priority="2343" operator="equal">
      <formula>"Desactivado"</formula>
    </cfRule>
    <cfRule type="cellIs" dxfId="473" priority="2344" operator="equal">
      <formula>"Sobre Stock"</formula>
    </cfRule>
    <cfRule type="cellIs" dxfId="472" priority="2345" operator="equal">
      <formula>"Bajo Stock"</formula>
    </cfRule>
    <cfRule type="cellIs" dxfId="471" priority="2346" operator="equal">
      <formula>"Stock OK"</formula>
    </cfRule>
    <cfRule type="cellIs" dxfId="470" priority="2347" operator="equal">
      <formula>"Quiebre Stock"</formula>
    </cfRule>
  </conditionalFormatting>
  <conditionalFormatting sqref="M658:N658">
    <cfRule type="cellIs" dxfId="469" priority="2337" operator="equal">
      <formula>"Desactivado"</formula>
    </cfRule>
    <cfRule type="cellIs" dxfId="468" priority="2338" operator="equal">
      <formula>"Sobre Stock"</formula>
    </cfRule>
    <cfRule type="cellIs" dxfId="467" priority="2339" operator="equal">
      <formula>"Bajo Stock"</formula>
    </cfRule>
    <cfRule type="cellIs" dxfId="466" priority="2340" operator="equal">
      <formula>"Stock OK"</formula>
    </cfRule>
    <cfRule type="cellIs" dxfId="465" priority="2341" operator="equal">
      <formula>"Quiebre Stock"</formula>
    </cfRule>
  </conditionalFormatting>
  <conditionalFormatting sqref="M691:N691">
    <cfRule type="cellIs" dxfId="464" priority="2331" operator="equal">
      <formula>"Desactivado"</formula>
    </cfRule>
    <cfRule type="cellIs" dxfId="463" priority="2332" operator="equal">
      <formula>"Sobre Stock"</formula>
    </cfRule>
    <cfRule type="cellIs" dxfId="462" priority="2333" operator="equal">
      <formula>"Bajo Stock"</formula>
    </cfRule>
    <cfRule type="cellIs" dxfId="461" priority="2334" operator="equal">
      <formula>"Stock OK"</formula>
    </cfRule>
    <cfRule type="cellIs" dxfId="460" priority="2335" operator="equal">
      <formula>"Quiebre Stock"</formula>
    </cfRule>
  </conditionalFormatting>
  <conditionalFormatting sqref="M694:N694">
    <cfRule type="cellIs" dxfId="459" priority="2325" operator="equal">
      <formula>"Desactivado"</formula>
    </cfRule>
    <cfRule type="cellIs" dxfId="458" priority="2326" operator="equal">
      <formula>"Sobre Stock"</formula>
    </cfRule>
    <cfRule type="cellIs" dxfId="457" priority="2327" operator="equal">
      <formula>"Bajo Stock"</formula>
    </cfRule>
    <cfRule type="cellIs" dxfId="456" priority="2328" operator="equal">
      <formula>"Stock OK"</formula>
    </cfRule>
    <cfRule type="cellIs" dxfId="455" priority="2329" operator="equal">
      <formula>"Quiebre Stock"</formula>
    </cfRule>
  </conditionalFormatting>
  <conditionalFormatting sqref="M705:N705">
    <cfRule type="cellIs" dxfId="454" priority="2319" operator="equal">
      <formula>"Desactivado"</formula>
    </cfRule>
    <cfRule type="cellIs" dxfId="453" priority="2320" operator="equal">
      <formula>"Sobre Stock"</formula>
    </cfRule>
    <cfRule type="cellIs" dxfId="452" priority="2321" operator="equal">
      <formula>"Bajo Stock"</formula>
    </cfRule>
    <cfRule type="cellIs" dxfId="451" priority="2322" operator="equal">
      <formula>"Stock OK"</formula>
    </cfRule>
    <cfRule type="cellIs" dxfId="450" priority="2323" operator="equal">
      <formula>"Quiebre Stock"</formula>
    </cfRule>
  </conditionalFormatting>
  <conditionalFormatting sqref="M706:N706">
    <cfRule type="cellIs" dxfId="449" priority="2313" operator="equal">
      <formula>"Desactivado"</formula>
    </cfRule>
    <cfRule type="cellIs" dxfId="448" priority="2314" operator="equal">
      <formula>"Sobre Stock"</formula>
    </cfRule>
    <cfRule type="cellIs" dxfId="447" priority="2315" operator="equal">
      <formula>"Bajo Stock"</formula>
    </cfRule>
    <cfRule type="cellIs" dxfId="446" priority="2316" operator="equal">
      <formula>"Stock OK"</formula>
    </cfRule>
    <cfRule type="cellIs" dxfId="445" priority="2317" operator="equal">
      <formula>"Quiebre Stock"</formula>
    </cfRule>
  </conditionalFormatting>
  <conditionalFormatting sqref="M772:N772">
    <cfRule type="cellIs" dxfId="444" priority="2307" operator="equal">
      <formula>"Desactivado"</formula>
    </cfRule>
    <cfRule type="cellIs" dxfId="443" priority="2308" operator="equal">
      <formula>"Sobre Stock"</formula>
    </cfRule>
    <cfRule type="cellIs" dxfId="442" priority="2309" operator="equal">
      <formula>"Bajo Stock"</formula>
    </cfRule>
    <cfRule type="cellIs" dxfId="441" priority="2310" operator="equal">
      <formula>"Stock OK"</formula>
    </cfRule>
    <cfRule type="cellIs" dxfId="440" priority="2311" operator="equal">
      <formula>"Quiebre Stock"</formula>
    </cfRule>
  </conditionalFormatting>
  <conditionalFormatting sqref="N717">
    <cfRule type="cellIs" dxfId="439" priority="2295" operator="equal">
      <formula>"Desactivado"</formula>
    </cfRule>
    <cfRule type="cellIs" dxfId="438" priority="2296" operator="equal">
      <formula>"Sobre Stock"</formula>
    </cfRule>
    <cfRule type="cellIs" dxfId="437" priority="2297" operator="equal">
      <formula>"Bajo Stock"</formula>
    </cfRule>
    <cfRule type="cellIs" dxfId="436" priority="2298" operator="equal">
      <formula>"Stock OK"</formula>
    </cfRule>
    <cfRule type="cellIs" dxfId="435" priority="2299" operator="equal">
      <formula>"Quiebre Stock"</formula>
    </cfRule>
  </conditionalFormatting>
  <conditionalFormatting sqref="M739:N739">
    <cfRule type="cellIs" dxfId="434" priority="2289" operator="equal">
      <formula>"Desactivado"</formula>
    </cfRule>
    <cfRule type="cellIs" dxfId="433" priority="2290" operator="equal">
      <formula>"Sobre Stock"</formula>
    </cfRule>
    <cfRule type="cellIs" dxfId="432" priority="2291" operator="equal">
      <formula>"Bajo Stock"</formula>
    </cfRule>
    <cfRule type="cellIs" dxfId="431" priority="2292" operator="equal">
      <formula>"Stock OK"</formula>
    </cfRule>
    <cfRule type="cellIs" dxfId="430" priority="2293" operator="equal">
      <formula>"Quiebre Stock"</formula>
    </cfRule>
  </conditionalFormatting>
  <conditionalFormatting sqref="M823:N823">
    <cfRule type="cellIs" dxfId="429" priority="2283" operator="equal">
      <formula>"Desactivado"</formula>
    </cfRule>
    <cfRule type="cellIs" dxfId="428" priority="2284" operator="equal">
      <formula>"Sobre Stock"</formula>
    </cfRule>
    <cfRule type="cellIs" dxfId="427" priority="2285" operator="equal">
      <formula>"Bajo Stock"</formula>
    </cfRule>
    <cfRule type="cellIs" dxfId="426" priority="2286" operator="equal">
      <formula>"Stock OK"</formula>
    </cfRule>
    <cfRule type="cellIs" dxfId="425" priority="2287" operator="equal">
      <formula>"Quiebre Stock"</formula>
    </cfRule>
  </conditionalFormatting>
  <conditionalFormatting sqref="M846:N846">
    <cfRule type="cellIs" dxfId="424" priority="2277" operator="equal">
      <formula>"Desactivado"</formula>
    </cfRule>
    <cfRule type="cellIs" dxfId="423" priority="2278" operator="equal">
      <formula>"Sobre Stock"</formula>
    </cfRule>
    <cfRule type="cellIs" dxfId="422" priority="2279" operator="equal">
      <formula>"Bajo Stock"</formula>
    </cfRule>
    <cfRule type="cellIs" dxfId="421" priority="2280" operator="equal">
      <formula>"Stock OK"</formula>
    </cfRule>
    <cfRule type="cellIs" dxfId="420" priority="2281" operator="equal">
      <formula>"Quiebre Stock"</formula>
    </cfRule>
  </conditionalFormatting>
  <conditionalFormatting sqref="M847:N847">
    <cfRule type="cellIs" dxfId="419" priority="2271" operator="equal">
      <formula>"Desactivado"</formula>
    </cfRule>
    <cfRule type="cellIs" dxfId="418" priority="2272" operator="equal">
      <formula>"Sobre Stock"</formula>
    </cfRule>
    <cfRule type="cellIs" dxfId="417" priority="2273" operator="equal">
      <formula>"Bajo Stock"</formula>
    </cfRule>
    <cfRule type="cellIs" dxfId="416" priority="2274" operator="equal">
      <formula>"Stock OK"</formula>
    </cfRule>
    <cfRule type="cellIs" dxfId="415" priority="2275" operator="equal">
      <formula>"Quiebre Stock"</formula>
    </cfRule>
  </conditionalFormatting>
  <conditionalFormatting sqref="N848">
    <cfRule type="cellIs" dxfId="414" priority="2265" operator="equal">
      <formula>"Desactivado"</formula>
    </cfRule>
    <cfRule type="cellIs" dxfId="413" priority="2266" operator="equal">
      <formula>"Sobre Stock"</formula>
    </cfRule>
    <cfRule type="cellIs" dxfId="412" priority="2267" operator="equal">
      <formula>"Bajo Stock"</formula>
    </cfRule>
    <cfRule type="cellIs" dxfId="411" priority="2268" operator="equal">
      <formula>"Stock OK"</formula>
    </cfRule>
    <cfRule type="cellIs" dxfId="410" priority="2269" operator="equal">
      <formula>"Quiebre Stock"</formula>
    </cfRule>
  </conditionalFormatting>
  <conditionalFormatting sqref="M849:N849">
    <cfRule type="cellIs" dxfId="409" priority="2259" operator="equal">
      <formula>"Desactivado"</formula>
    </cfRule>
    <cfRule type="cellIs" dxfId="408" priority="2260" operator="equal">
      <formula>"Sobre Stock"</formula>
    </cfRule>
    <cfRule type="cellIs" dxfId="407" priority="2261" operator="equal">
      <formula>"Bajo Stock"</formula>
    </cfRule>
    <cfRule type="cellIs" dxfId="406" priority="2262" operator="equal">
      <formula>"Stock OK"</formula>
    </cfRule>
    <cfRule type="cellIs" dxfId="405" priority="2263" operator="equal">
      <formula>"Quiebre Stock"</formula>
    </cfRule>
  </conditionalFormatting>
  <conditionalFormatting sqref="M872:N872">
    <cfRule type="cellIs" dxfId="404" priority="2223" operator="equal">
      <formula>"Desactivado"</formula>
    </cfRule>
    <cfRule type="cellIs" dxfId="403" priority="2224" operator="equal">
      <formula>"Sobre Stock"</formula>
    </cfRule>
    <cfRule type="cellIs" dxfId="402" priority="2225" operator="equal">
      <formula>"Bajo Stock"</formula>
    </cfRule>
    <cfRule type="cellIs" dxfId="401" priority="2226" operator="equal">
      <formula>"Stock OK"</formula>
    </cfRule>
    <cfRule type="cellIs" dxfId="400" priority="2227" operator="equal">
      <formula>"Quiebre Stock"</formula>
    </cfRule>
  </conditionalFormatting>
  <conditionalFormatting sqref="M873:N873">
    <cfRule type="cellIs" dxfId="399" priority="2217" operator="equal">
      <formula>"Desactivado"</formula>
    </cfRule>
    <cfRule type="cellIs" dxfId="398" priority="2218" operator="equal">
      <formula>"Sobre Stock"</formula>
    </cfRule>
    <cfRule type="cellIs" dxfId="397" priority="2219" operator="equal">
      <formula>"Bajo Stock"</formula>
    </cfRule>
    <cfRule type="cellIs" dxfId="396" priority="2220" operator="equal">
      <formula>"Stock OK"</formula>
    </cfRule>
    <cfRule type="cellIs" dxfId="395" priority="2221" operator="equal">
      <formula>"Quiebre Stock"</formula>
    </cfRule>
  </conditionalFormatting>
  <conditionalFormatting sqref="M364:N364">
    <cfRule type="cellIs" dxfId="394" priority="2181" operator="equal">
      <formula>"Desactivado"</formula>
    </cfRule>
    <cfRule type="cellIs" dxfId="393" priority="2182" operator="equal">
      <formula>"Sobre Stock"</formula>
    </cfRule>
    <cfRule type="cellIs" dxfId="392" priority="2183" operator="equal">
      <formula>"Bajo Stock"</formula>
    </cfRule>
    <cfRule type="cellIs" dxfId="391" priority="2184" operator="equal">
      <formula>"Stock OK"</formula>
    </cfRule>
    <cfRule type="cellIs" dxfId="390" priority="2185" operator="equal">
      <formula>"Quiebre Stock"</formula>
    </cfRule>
  </conditionalFormatting>
  <conditionalFormatting sqref="M467:N467">
    <cfRule type="cellIs" dxfId="389" priority="2175" operator="equal">
      <formula>"Desactivado"</formula>
    </cfRule>
    <cfRule type="cellIs" dxfId="388" priority="2176" operator="equal">
      <formula>"Sobre Stock"</formula>
    </cfRule>
    <cfRule type="cellIs" dxfId="387" priority="2177" operator="equal">
      <formula>"Bajo Stock"</formula>
    </cfRule>
    <cfRule type="cellIs" dxfId="386" priority="2178" operator="equal">
      <formula>"Stock OK"</formula>
    </cfRule>
    <cfRule type="cellIs" dxfId="385" priority="2179" operator="equal">
      <formula>"Quiebre Stock"</formula>
    </cfRule>
  </conditionalFormatting>
  <conditionalFormatting sqref="M78">
    <cfRule type="cellIs" dxfId="384" priority="2047" operator="equal">
      <formula>"Desactivado"</formula>
    </cfRule>
    <cfRule type="cellIs" dxfId="383" priority="2048" operator="equal">
      <formula>"Sobre Stock"</formula>
    </cfRule>
    <cfRule type="cellIs" dxfId="382" priority="2049" operator="equal">
      <formula>"Bajo Stock"</formula>
    </cfRule>
    <cfRule type="cellIs" dxfId="381" priority="2050" operator="equal">
      <formula>"Stock OK"</formula>
    </cfRule>
    <cfRule type="cellIs" dxfId="380" priority="2051" operator="equal">
      <formula>"Quiebre Stock"</formula>
    </cfRule>
  </conditionalFormatting>
  <conditionalFormatting sqref="N532">
    <cfRule type="cellIs" dxfId="379" priority="1818" operator="equal">
      <formula>"Desactivado"</formula>
    </cfRule>
    <cfRule type="cellIs" dxfId="378" priority="1819" operator="equal">
      <formula>"Sobre Stock"</formula>
    </cfRule>
    <cfRule type="cellIs" dxfId="377" priority="1820" operator="equal">
      <formula>"Bajo Stock"</formula>
    </cfRule>
    <cfRule type="cellIs" dxfId="376" priority="1821" operator="equal">
      <formula>"Stock OK"</formula>
    </cfRule>
    <cfRule type="cellIs" dxfId="375" priority="1822" operator="equal">
      <formula>"Quiebre Stock"</formula>
    </cfRule>
  </conditionalFormatting>
  <conditionalFormatting sqref="M532">
    <cfRule type="cellIs" dxfId="374" priority="1812" operator="equal">
      <formula>"Desactivado"</formula>
    </cfRule>
    <cfRule type="cellIs" dxfId="373" priority="1813" operator="equal">
      <formula>"Sobre Stock"</formula>
    </cfRule>
    <cfRule type="cellIs" dxfId="372" priority="1814" operator="equal">
      <formula>"Bajo Stock"</formula>
    </cfRule>
    <cfRule type="cellIs" dxfId="371" priority="1815" operator="equal">
      <formula>"Stock OK"</formula>
    </cfRule>
    <cfRule type="cellIs" dxfId="370" priority="1816" operator="equal">
      <formula>"Quiebre Stock"</formula>
    </cfRule>
  </conditionalFormatting>
  <conditionalFormatting sqref="M536">
    <cfRule type="cellIs" dxfId="369" priority="1797" operator="equal">
      <formula>"Desactivado"</formula>
    </cfRule>
    <cfRule type="cellIs" dxfId="368" priority="1798" operator="equal">
      <formula>"Sobre Stock"</formula>
    </cfRule>
    <cfRule type="cellIs" dxfId="367" priority="1799" operator="equal">
      <formula>"Bajo Stock"</formula>
    </cfRule>
    <cfRule type="cellIs" dxfId="366" priority="1800" operator="equal">
      <formula>"Stock OK"</formula>
    </cfRule>
    <cfRule type="cellIs" dxfId="365" priority="1801" operator="equal">
      <formula>"Quiebre Stock"</formula>
    </cfRule>
  </conditionalFormatting>
  <conditionalFormatting sqref="M537:N537">
    <cfRule type="cellIs" dxfId="364" priority="1786" operator="equal">
      <formula>"Desactivado"</formula>
    </cfRule>
    <cfRule type="cellIs" dxfId="363" priority="1787" operator="equal">
      <formula>"Sobre Stock"</formula>
    </cfRule>
    <cfRule type="cellIs" dxfId="362" priority="1788" operator="equal">
      <formula>"Bajo Stock"</formula>
    </cfRule>
    <cfRule type="cellIs" dxfId="361" priority="1789" operator="equal">
      <formula>"Stock OK"</formula>
    </cfRule>
    <cfRule type="cellIs" dxfId="360" priority="1790" operator="equal">
      <formula>"Quiebre Stock"</formula>
    </cfRule>
  </conditionalFormatting>
  <conditionalFormatting sqref="M538:N538">
    <cfRule type="cellIs" dxfId="359" priority="1775" operator="equal">
      <formula>"Desactivado"</formula>
    </cfRule>
    <cfRule type="cellIs" dxfId="358" priority="1776" operator="equal">
      <formula>"Sobre Stock"</formula>
    </cfRule>
    <cfRule type="cellIs" dxfId="357" priority="1777" operator="equal">
      <formula>"Bajo Stock"</formula>
    </cfRule>
    <cfRule type="cellIs" dxfId="356" priority="1778" operator="equal">
      <formula>"Stock OK"</formula>
    </cfRule>
    <cfRule type="cellIs" dxfId="355" priority="1779" operator="equal">
      <formula>"Quiebre Stock"</formula>
    </cfRule>
  </conditionalFormatting>
  <conditionalFormatting sqref="M541:N541">
    <cfRule type="cellIs" dxfId="354" priority="1764" operator="equal">
      <formula>"Desactivado"</formula>
    </cfRule>
    <cfRule type="cellIs" dxfId="353" priority="1765" operator="equal">
      <formula>"Sobre Stock"</formula>
    </cfRule>
    <cfRule type="cellIs" dxfId="352" priority="1766" operator="equal">
      <formula>"Bajo Stock"</formula>
    </cfRule>
    <cfRule type="cellIs" dxfId="351" priority="1767" operator="equal">
      <formula>"Stock OK"</formula>
    </cfRule>
    <cfRule type="cellIs" dxfId="350" priority="1768" operator="equal">
      <formula>"Quiebre Stock"</formula>
    </cfRule>
  </conditionalFormatting>
  <conditionalFormatting sqref="M545:N545">
    <cfRule type="cellIs" dxfId="349" priority="1753" operator="equal">
      <formula>"Desactivado"</formula>
    </cfRule>
    <cfRule type="cellIs" dxfId="348" priority="1754" operator="equal">
      <formula>"Sobre Stock"</formula>
    </cfRule>
    <cfRule type="cellIs" dxfId="347" priority="1755" operator="equal">
      <formula>"Bajo Stock"</formula>
    </cfRule>
    <cfRule type="cellIs" dxfId="346" priority="1756" operator="equal">
      <formula>"Stock OK"</formula>
    </cfRule>
    <cfRule type="cellIs" dxfId="345" priority="1757" operator="equal">
      <formula>"Quiebre Stock"</formula>
    </cfRule>
  </conditionalFormatting>
  <conditionalFormatting sqref="M547">
    <cfRule type="cellIs" dxfId="344" priority="1732" operator="equal">
      <formula>"Desactivado"</formula>
    </cfRule>
    <cfRule type="cellIs" dxfId="343" priority="1733" operator="equal">
      <formula>"Sobre Stock"</formula>
    </cfRule>
    <cfRule type="cellIs" dxfId="342" priority="1734" operator="equal">
      <formula>"Bajo Stock"</formula>
    </cfRule>
    <cfRule type="cellIs" dxfId="341" priority="1735" operator="equal">
      <formula>"Stock OK"</formula>
    </cfRule>
    <cfRule type="cellIs" dxfId="340" priority="1736" operator="equal">
      <formula>"Quiebre Stock"</formula>
    </cfRule>
  </conditionalFormatting>
  <conditionalFormatting sqref="N548">
    <cfRule type="cellIs" dxfId="339" priority="1727" operator="equal">
      <formula>"Desactivado"</formula>
    </cfRule>
    <cfRule type="cellIs" dxfId="338" priority="1728" operator="equal">
      <formula>"Sobre Stock"</formula>
    </cfRule>
    <cfRule type="cellIs" dxfId="337" priority="1729" operator="equal">
      <formula>"Bajo Stock"</formula>
    </cfRule>
    <cfRule type="cellIs" dxfId="336" priority="1730" operator="equal">
      <formula>"Stock OK"</formula>
    </cfRule>
    <cfRule type="cellIs" dxfId="335" priority="1731" operator="equal">
      <formula>"Quiebre Stock"</formula>
    </cfRule>
  </conditionalFormatting>
  <conditionalFormatting sqref="M548">
    <cfRule type="cellIs" dxfId="334" priority="1716" operator="equal">
      <formula>"Desactivado"</formula>
    </cfRule>
    <cfRule type="cellIs" dxfId="333" priority="1717" operator="equal">
      <formula>"Sobre Stock"</formula>
    </cfRule>
    <cfRule type="cellIs" dxfId="332" priority="1718" operator="equal">
      <formula>"Bajo Stock"</formula>
    </cfRule>
    <cfRule type="cellIs" dxfId="331" priority="1719" operator="equal">
      <formula>"Stock OK"</formula>
    </cfRule>
    <cfRule type="cellIs" dxfId="330" priority="1720" operator="equal">
      <formula>"Quiebre Stock"</formula>
    </cfRule>
  </conditionalFormatting>
  <conditionalFormatting sqref="M558:N558">
    <cfRule type="cellIs" dxfId="329" priority="1701" operator="equal">
      <formula>"Desactivado"</formula>
    </cfRule>
    <cfRule type="cellIs" dxfId="328" priority="1702" operator="equal">
      <formula>"Sobre Stock"</formula>
    </cfRule>
    <cfRule type="cellIs" dxfId="327" priority="1703" operator="equal">
      <formula>"Bajo Stock"</formula>
    </cfRule>
    <cfRule type="cellIs" dxfId="326" priority="1704" operator="equal">
      <formula>"Stock OK"</formula>
    </cfRule>
    <cfRule type="cellIs" dxfId="325" priority="1705" operator="equal">
      <formula>"Quiebre Stock"</formula>
    </cfRule>
  </conditionalFormatting>
  <conditionalFormatting sqref="M565:N565">
    <cfRule type="cellIs" dxfId="324" priority="1676" operator="equal">
      <formula>"Desactivado"</formula>
    </cfRule>
    <cfRule type="cellIs" dxfId="323" priority="1677" operator="equal">
      <formula>"Sobre Stock"</formula>
    </cfRule>
    <cfRule type="cellIs" dxfId="322" priority="1678" operator="equal">
      <formula>"Bajo Stock"</formula>
    </cfRule>
    <cfRule type="cellIs" dxfId="321" priority="1679" operator="equal">
      <formula>"Stock OK"</formula>
    </cfRule>
    <cfRule type="cellIs" dxfId="320" priority="1680" operator="equal">
      <formula>"Quiebre Stock"</formula>
    </cfRule>
  </conditionalFormatting>
  <conditionalFormatting sqref="M568:N568">
    <cfRule type="cellIs" dxfId="319" priority="1665" operator="equal">
      <formula>"Desactivado"</formula>
    </cfRule>
    <cfRule type="cellIs" dxfId="318" priority="1666" operator="equal">
      <formula>"Sobre Stock"</formula>
    </cfRule>
    <cfRule type="cellIs" dxfId="317" priority="1667" operator="equal">
      <formula>"Bajo Stock"</formula>
    </cfRule>
    <cfRule type="cellIs" dxfId="316" priority="1668" operator="equal">
      <formula>"Stock OK"</formula>
    </cfRule>
    <cfRule type="cellIs" dxfId="315" priority="1669" operator="equal">
      <formula>"Quiebre Stock"</formula>
    </cfRule>
  </conditionalFormatting>
  <conditionalFormatting sqref="M569:N569">
    <cfRule type="cellIs" dxfId="314" priority="1654" operator="equal">
      <formula>"Desactivado"</formula>
    </cfRule>
    <cfRule type="cellIs" dxfId="313" priority="1655" operator="equal">
      <formula>"Sobre Stock"</formula>
    </cfRule>
    <cfRule type="cellIs" dxfId="312" priority="1656" operator="equal">
      <formula>"Bajo Stock"</formula>
    </cfRule>
    <cfRule type="cellIs" dxfId="311" priority="1657" operator="equal">
      <formula>"Stock OK"</formula>
    </cfRule>
    <cfRule type="cellIs" dxfId="310" priority="1658" operator="equal">
      <formula>"Quiebre Stock"</formula>
    </cfRule>
  </conditionalFormatting>
  <conditionalFormatting sqref="M571:N571">
    <cfRule type="cellIs" dxfId="309" priority="1643" operator="equal">
      <formula>"Desactivado"</formula>
    </cfRule>
    <cfRule type="cellIs" dxfId="308" priority="1644" operator="equal">
      <formula>"Sobre Stock"</formula>
    </cfRule>
    <cfRule type="cellIs" dxfId="307" priority="1645" operator="equal">
      <formula>"Bajo Stock"</formula>
    </cfRule>
    <cfRule type="cellIs" dxfId="306" priority="1646" operator="equal">
      <formula>"Stock OK"</formula>
    </cfRule>
    <cfRule type="cellIs" dxfId="305" priority="1647" operator="equal">
      <formula>"Quiebre Stock"</formula>
    </cfRule>
  </conditionalFormatting>
  <conditionalFormatting sqref="M572:N572">
    <cfRule type="cellIs" dxfId="304" priority="1632" operator="equal">
      <formula>"Desactivado"</formula>
    </cfRule>
    <cfRule type="cellIs" dxfId="303" priority="1633" operator="equal">
      <formula>"Sobre Stock"</formula>
    </cfRule>
    <cfRule type="cellIs" dxfId="302" priority="1634" operator="equal">
      <formula>"Bajo Stock"</formula>
    </cfRule>
    <cfRule type="cellIs" dxfId="301" priority="1635" operator="equal">
      <formula>"Stock OK"</formula>
    </cfRule>
    <cfRule type="cellIs" dxfId="300" priority="1636" operator="equal">
      <formula>"Quiebre Stock"</formula>
    </cfRule>
  </conditionalFormatting>
  <conditionalFormatting sqref="M574:N574">
    <cfRule type="cellIs" dxfId="299" priority="1621" operator="equal">
      <formula>"Desactivado"</formula>
    </cfRule>
    <cfRule type="cellIs" dxfId="298" priority="1622" operator="equal">
      <formula>"Sobre Stock"</formula>
    </cfRule>
    <cfRule type="cellIs" dxfId="297" priority="1623" operator="equal">
      <formula>"Bajo Stock"</formula>
    </cfRule>
    <cfRule type="cellIs" dxfId="296" priority="1624" operator="equal">
      <formula>"Stock OK"</formula>
    </cfRule>
    <cfRule type="cellIs" dxfId="295" priority="1625" operator="equal">
      <formula>"Quiebre Stock"</formula>
    </cfRule>
  </conditionalFormatting>
  <conditionalFormatting sqref="M587:N587">
    <cfRule type="cellIs" dxfId="294" priority="1600" operator="equal">
      <formula>"Desactivado"</formula>
    </cfRule>
    <cfRule type="cellIs" dxfId="293" priority="1601" operator="equal">
      <formula>"Sobre Stock"</formula>
    </cfRule>
    <cfRule type="cellIs" dxfId="292" priority="1602" operator="equal">
      <formula>"Bajo Stock"</formula>
    </cfRule>
    <cfRule type="cellIs" dxfId="291" priority="1603" operator="equal">
      <formula>"Stock OK"</formula>
    </cfRule>
    <cfRule type="cellIs" dxfId="290" priority="1604" operator="equal">
      <formula>"Quiebre Stock"</formula>
    </cfRule>
  </conditionalFormatting>
  <conditionalFormatting sqref="M590:N590">
    <cfRule type="cellIs" dxfId="289" priority="1589" operator="equal">
      <formula>"Desactivado"</formula>
    </cfRule>
    <cfRule type="cellIs" dxfId="288" priority="1590" operator="equal">
      <formula>"Sobre Stock"</formula>
    </cfRule>
    <cfRule type="cellIs" dxfId="287" priority="1591" operator="equal">
      <formula>"Bajo Stock"</formula>
    </cfRule>
    <cfRule type="cellIs" dxfId="286" priority="1592" operator="equal">
      <formula>"Stock OK"</formula>
    </cfRule>
    <cfRule type="cellIs" dxfId="285" priority="1593" operator="equal">
      <formula>"Quiebre Stock"</formula>
    </cfRule>
  </conditionalFormatting>
  <conditionalFormatting sqref="M604:N604">
    <cfRule type="cellIs" dxfId="284" priority="1553" operator="equal">
      <formula>"Desactivado"</formula>
    </cfRule>
    <cfRule type="cellIs" dxfId="283" priority="1554" operator="equal">
      <formula>"Sobre Stock"</formula>
    </cfRule>
    <cfRule type="cellIs" dxfId="282" priority="1555" operator="equal">
      <formula>"Bajo Stock"</formula>
    </cfRule>
    <cfRule type="cellIs" dxfId="281" priority="1556" operator="equal">
      <formula>"Stock OK"</formula>
    </cfRule>
    <cfRule type="cellIs" dxfId="280" priority="1557" operator="equal">
      <formula>"Quiebre Stock"</formula>
    </cfRule>
  </conditionalFormatting>
  <conditionalFormatting sqref="M631:N631">
    <cfRule type="cellIs" dxfId="279" priority="1527" operator="equal">
      <formula>"Desactivado"</formula>
    </cfRule>
    <cfRule type="cellIs" dxfId="278" priority="1528" operator="equal">
      <formula>"Sobre Stock"</formula>
    </cfRule>
    <cfRule type="cellIs" dxfId="277" priority="1529" operator="equal">
      <formula>"Bajo Stock"</formula>
    </cfRule>
    <cfRule type="cellIs" dxfId="276" priority="1530" operator="equal">
      <formula>"Stock OK"</formula>
    </cfRule>
    <cfRule type="cellIs" dxfId="275" priority="1531" operator="equal">
      <formula>"Quiebre Stock"</formula>
    </cfRule>
  </conditionalFormatting>
  <conditionalFormatting sqref="M637:N637">
    <cfRule type="cellIs" dxfId="274" priority="1516" operator="equal">
      <formula>"Desactivado"</formula>
    </cfRule>
    <cfRule type="cellIs" dxfId="273" priority="1517" operator="equal">
      <formula>"Sobre Stock"</formula>
    </cfRule>
    <cfRule type="cellIs" dxfId="272" priority="1518" operator="equal">
      <formula>"Bajo Stock"</formula>
    </cfRule>
    <cfRule type="cellIs" dxfId="271" priority="1519" operator="equal">
      <formula>"Stock OK"</formula>
    </cfRule>
    <cfRule type="cellIs" dxfId="270" priority="1520" operator="equal">
      <formula>"Quiebre Stock"</formula>
    </cfRule>
  </conditionalFormatting>
  <conditionalFormatting sqref="M638:N638">
    <cfRule type="cellIs" dxfId="269" priority="1505" operator="equal">
      <formula>"Desactivado"</formula>
    </cfRule>
    <cfRule type="cellIs" dxfId="268" priority="1506" operator="equal">
      <formula>"Sobre Stock"</formula>
    </cfRule>
    <cfRule type="cellIs" dxfId="267" priority="1507" operator="equal">
      <formula>"Bajo Stock"</formula>
    </cfRule>
    <cfRule type="cellIs" dxfId="266" priority="1508" operator="equal">
      <formula>"Stock OK"</formula>
    </cfRule>
    <cfRule type="cellIs" dxfId="265" priority="1509" operator="equal">
      <formula>"Quiebre Stock"</formula>
    </cfRule>
  </conditionalFormatting>
  <conditionalFormatting sqref="M639:N639">
    <cfRule type="cellIs" dxfId="264" priority="1494" operator="equal">
      <formula>"Desactivado"</formula>
    </cfRule>
    <cfRule type="cellIs" dxfId="263" priority="1495" operator="equal">
      <formula>"Sobre Stock"</formula>
    </cfRule>
    <cfRule type="cellIs" dxfId="262" priority="1496" operator="equal">
      <formula>"Bajo Stock"</formula>
    </cfRule>
    <cfRule type="cellIs" dxfId="261" priority="1497" operator="equal">
      <formula>"Stock OK"</formula>
    </cfRule>
    <cfRule type="cellIs" dxfId="260" priority="1498" operator="equal">
      <formula>"Quiebre Stock"</formula>
    </cfRule>
  </conditionalFormatting>
  <conditionalFormatting sqref="N750">
    <cfRule type="cellIs" dxfId="259" priority="1428" operator="equal">
      <formula>"Desactivado"</formula>
    </cfRule>
    <cfRule type="cellIs" dxfId="258" priority="1429" operator="equal">
      <formula>"Sobre Stock"</formula>
    </cfRule>
    <cfRule type="cellIs" dxfId="257" priority="1430" operator="equal">
      <formula>"Bajo Stock"</formula>
    </cfRule>
    <cfRule type="cellIs" dxfId="256" priority="1431" operator="equal">
      <formula>"Stock OK"</formula>
    </cfRule>
    <cfRule type="cellIs" dxfId="255" priority="1432" operator="equal">
      <formula>"Quiebre Stock"</formula>
    </cfRule>
  </conditionalFormatting>
  <conditionalFormatting sqref="M768:N768">
    <cfRule type="cellIs" dxfId="254" priority="1417" operator="equal">
      <formula>"Desactivado"</formula>
    </cfRule>
    <cfRule type="cellIs" dxfId="253" priority="1418" operator="equal">
      <formula>"Sobre Stock"</formula>
    </cfRule>
    <cfRule type="cellIs" dxfId="252" priority="1419" operator="equal">
      <formula>"Bajo Stock"</formula>
    </cfRule>
    <cfRule type="cellIs" dxfId="251" priority="1420" operator="equal">
      <formula>"Stock OK"</formula>
    </cfRule>
    <cfRule type="cellIs" dxfId="250" priority="1421" operator="equal">
      <formula>"Quiebre Stock"</formula>
    </cfRule>
  </conditionalFormatting>
  <conditionalFormatting sqref="M937:N937">
    <cfRule type="cellIs" dxfId="249" priority="1366" operator="equal">
      <formula>"Desactivado"</formula>
    </cfRule>
    <cfRule type="cellIs" dxfId="248" priority="1367" operator="equal">
      <formula>"Sobre Stock"</formula>
    </cfRule>
    <cfRule type="cellIs" dxfId="247" priority="1368" operator="equal">
      <formula>"Bajo Stock"</formula>
    </cfRule>
    <cfRule type="cellIs" dxfId="246" priority="1369" operator="equal">
      <formula>"Stock OK"</formula>
    </cfRule>
    <cfRule type="cellIs" dxfId="245" priority="1370" operator="equal">
      <formula>"Quiebre Stock"</formula>
    </cfRule>
  </conditionalFormatting>
  <conditionalFormatting sqref="M938:N938">
    <cfRule type="cellIs" dxfId="244" priority="1355" operator="equal">
      <formula>"Desactivado"</formula>
    </cfRule>
    <cfRule type="cellIs" dxfId="243" priority="1356" operator="equal">
      <formula>"Sobre Stock"</formula>
    </cfRule>
    <cfRule type="cellIs" dxfId="242" priority="1357" operator="equal">
      <formula>"Bajo Stock"</formula>
    </cfRule>
    <cfRule type="cellIs" dxfId="241" priority="1358" operator="equal">
      <formula>"Stock OK"</formula>
    </cfRule>
    <cfRule type="cellIs" dxfId="240" priority="1359" operator="equal">
      <formula>"Quiebre Stock"</formula>
    </cfRule>
  </conditionalFormatting>
  <conditionalFormatting sqref="M939:N939">
    <cfRule type="cellIs" dxfId="239" priority="1344" operator="equal">
      <formula>"Desactivado"</formula>
    </cfRule>
    <cfRule type="cellIs" dxfId="238" priority="1345" operator="equal">
      <formula>"Sobre Stock"</formula>
    </cfRule>
    <cfRule type="cellIs" dxfId="237" priority="1346" operator="equal">
      <formula>"Bajo Stock"</formula>
    </cfRule>
    <cfRule type="cellIs" dxfId="236" priority="1347" operator="equal">
      <formula>"Stock OK"</formula>
    </cfRule>
    <cfRule type="cellIs" dxfId="235" priority="1348" operator="equal">
      <formula>"Quiebre Stock"</formula>
    </cfRule>
  </conditionalFormatting>
  <conditionalFormatting sqref="M717 M651">
    <cfRule type="cellIs" dxfId="234" priority="1043" operator="equal">
      <formula>"Desactivado"</formula>
    </cfRule>
    <cfRule type="cellIs" dxfId="233" priority="1044" operator="equal">
      <formula>"Sobre Stock"</formula>
    </cfRule>
    <cfRule type="cellIs" dxfId="232" priority="1045" operator="equal">
      <formula>"Bajo Stock"</formula>
    </cfRule>
    <cfRule type="cellIs" dxfId="231" priority="1046" operator="equal">
      <formula>"Stock OK"</formula>
    </cfRule>
    <cfRule type="cellIs" dxfId="230" priority="1047" operator="equal">
      <formula>"Quiebre Stock"</formula>
    </cfRule>
  </conditionalFormatting>
  <conditionalFormatting sqref="M652">
    <cfRule type="cellIs" dxfId="229" priority="1038" operator="equal">
      <formula>"Desactivado"</formula>
    </cfRule>
    <cfRule type="cellIs" dxfId="228" priority="1039" operator="equal">
      <formula>"Sobre Stock"</formula>
    </cfRule>
    <cfRule type="cellIs" dxfId="227" priority="1040" operator="equal">
      <formula>"Bajo Stock"</formula>
    </cfRule>
    <cfRule type="cellIs" dxfId="226" priority="1041" operator="equal">
      <formula>"Stock OK"</formula>
    </cfRule>
    <cfRule type="cellIs" dxfId="225" priority="1042" operator="equal">
      <formula>"Quiebre Stock"</formula>
    </cfRule>
  </conditionalFormatting>
  <conditionalFormatting sqref="M4">
    <cfRule type="cellIs" dxfId="224" priority="1008" operator="equal">
      <formula>"Desactivado"</formula>
    </cfRule>
    <cfRule type="cellIs" dxfId="223" priority="1009" operator="equal">
      <formula>"Sobre Stock"</formula>
    </cfRule>
    <cfRule type="cellIs" dxfId="222" priority="1010" operator="equal">
      <formula>"Bajo Stock"</formula>
    </cfRule>
    <cfRule type="cellIs" dxfId="221" priority="1011" operator="equal">
      <formula>"Stock OK"</formula>
    </cfRule>
    <cfRule type="cellIs" dxfId="220" priority="1012" operator="equal">
      <formula>"Quiebre Stock"</formula>
    </cfRule>
  </conditionalFormatting>
  <conditionalFormatting sqref="M5">
    <cfRule type="cellIs" dxfId="219" priority="1003" operator="equal">
      <formula>"Desactivado"</formula>
    </cfRule>
    <cfRule type="cellIs" dxfId="218" priority="1004" operator="equal">
      <formula>"Sobre Stock"</formula>
    </cfRule>
    <cfRule type="cellIs" dxfId="217" priority="1005" operator="equal">
      <formula>"Bajo Stock"</formula>
    </cfRule>
    <cfRule type="cellIs" dxfId="216" priority="1006" operator="equal">
      <formula>"Stock OK"</formula>
    </cfRule>
    <cfRule type="cellIs" dxfId="215" priority="1007" operator="equal">
      <formula>"Quiebre Stock"</formula>
    </cfRule>
  </conditionalFormatting>
  <conditionalFormatting sqref="M7">
    <cfRule type="cellIs" dxfId="214" priority="998" operator="equal">
      <formula>"Desactivado"</formula>
    </cfRule>
    <cfRule type="cellIs" dxfId="213" priority="999" operator="equal">
      <formula>"Sobre Stock"</formula>
    </cfRule>
    <cfRule type="cellIs" dxfId="212" priority="1000" operator="equal">
      <formula>"Bajo Stock"</formula>
    </cfRule>
    <cfRule type="cellIs" dxfId="211" priority="1001" operator="equal">
      <formula>"Stock OK"</formula>
    </cfRule>
    <cfRule type="cellIs" dxfId="210" priority="1002" operator="equal">
      <formula>"Quiebre Stock"</formula>
    </cfRule>
  </conditionalFormatting>
  <conditionalFormatting sqref="M6">
    <cfRule type="cellIs" dxfId="209" priority="993" operator="equal">
      <formula>"Desactivado"</formula>
    </cfRule>
    <cfRule type="cellIs" dxfId="208" priority="994" operator="equal">
      <formula>"Sobre Stock"</formula>
    </cfRule>
    <cfRule type="cellIs" dxfId="207" priority="995" operator="equal">
      <formula>"Bajo Stock"</formula>
    </cfRule>
    <cfRule type="cellIs" dxfId="206" priority="996" operator="equal">
      <formula>"Stock OK"</formula>
    </cfRule>
    <cfRule type="cellIs" dxfId="205" priority="997" operator="equal">
      <formula>"Quiebre Stock"</formula>
    </cfRule>
  </conditionalFormatting>
  <conditionalFormatting pivot="1" sqref="N4">
    <cfRule type="cellIs" dxfId="204" priority="988" operator="equal">
      <formula>"Desactivado"</formula>
    </cfRule>
    <cfRule type="cellIs" dxfId="203" priority="989" operator="equal">
      <formula>"Sobre Stock"</formula>
    </cfRule>
    <cfRule type="cellIs" dxfId="202" priority="990" operator="equal">
      <formula>"Bajo Stock"</formula>
    </cfRule>
    <cfRule type="cellIs" dxfId="201" priority="991" operator="equal">
      <formula>"Stock OK"</formula>
    </cfRule>
    <cfRule type="cellIs" dxfId="200" priority="992" operator="equal">
      <formula>"Quiebre Stock"</formula>
    </cfRule>
  </conditionalFormatting>
  <conditionalFormatting sqref="M848">
    <cfRule type="cellIs" dxfId="199" priority="668" operator="equal">
      <formula>"Desactivado"</formula>
    </cfRule>
    <cfRule type="cellIs" dxfId="198" priority="669" operator="equal">
      <formula>"Sobre Stock"</formula>
    </cfRule>
    <cfRule type="cellIs" dxfId="197" priority="670" operator="equal">
      <formula>"Bajo Stock"</formula>
    </cfRule>
    <cfRule type="cellIs" dxfId="196" priority="671" operator="equal">
      <formula>"Stock OK"</formula>
    </cfRule>
    <cfRule type="cellIs" dxfId="195" priority="672" operator="equal">
      <formula>"Quiebre Stock"</formula>
    </cfRule>
  </conditionalFormatting>
  <conditionalFormatting sqref="M866">
    <cfRule type="cellIs" dxfId="194" priority="658" operator="equal">
      <formula>"Desactivado"</formula>
    </cfRule>
    <cfRule type="cellIs" dxfId="193" priority="659" operator="equal">
      <formula>"Sobre Stock"</formula>
    </cfRule>
    <cfRule type="cellIs" dxfId="192" priority="660" operator="equal">
      <formula>"Bajo Stock"</formula>
    </cfRule>
    <cfRule type="cellIs" dxfId="191" priority="661" operator="equal">
      <formula>"Stock OK"</formula>
    </cfRule>
    <cfRule type="cellIs" dxfId="190" priority="662" operator="equal">
      <formula>"Quiebre Stock"</formula>
    </cfRule>
  </conditionalFormatting>
  <conditionalFormatting sqref="M948">
    <cfRule type="cellIs" dxfId="189" priority="498" operator="equal">
      <formula>"Desactivado"</formula>
    </cfRule>
    <cfRule type="cellIs" dxfId="188" priority="499" operator="equal">
      <formula>"Sobre Stock"</formula>
    </cfRule>
    <cfRule type="cellIs" dxfId="187" priority="500" operator="equal">
      <formula>"Bajo Stock"</formula>
    </cfRule>
    <cfRule type="cellIs" dxfId="186" priority="501" operator="equal">
      <formula>"Stock OK"</formula>
    </cfRule>
    <cfRule type="cellIs" dxfId="185" priority="502" operator="equal">
      <formula>"Quiebre Stock"</formula>
    </cfRule>
  </conditionalFormatting>
  <conditionalFormatting sqref="N1076:N1077">
    <cfRule type="cellIs" dxfId="184" priority="84" operator="equal">
      <formula>"Desactivado"</formula>
    </cfRule>
    <cfRule type="cellIs" dxfId="183" priority="85" operator="equal">
      <formula>"Sobre Stock"</formula>
    </cfRule>
    <cfRule type="cellIs" dxfId="182" priority="86" operator="equal">
      <formula>"Bajo Stock"</formula>
    </cfRule>
    <cfRule type="cellIs" dxfId="181" priority="87" operator="equal">
      <formula>"Stock OK"</formula>
    </cfRule>
    <cfRule type="cellIs" dxfId="180" priority="88" operator="equal">
      <formula>"Quiebre Stock"</formula>
    </cfRule>
  </conditionalFormatting>
  <conditionalFormatting sqref="Q1076:Q1077">
    <cfRule type="cellIs" dxfId="179" priority="83" operator="lessThan">
      <formula>TODAY()</formula>
    </cfRule>
  </conditionalFormatting>
  <conditionalFormatting sqref="N531">
    <cfRule type="cellIs" dxfId="178" priority="72" operator="equal">
      <formula>"Desactivado"</formula>
    </cfRule>
    <cfRule type="cellIs" dxfId="177" priority="73" operator="equal">
      <formula>"Sobre Stock"</formula>
    </cfRule>
    <cfRule type="cellIs" dxfId="176" priority="74" operator="equal">
      <formula>"Bajo Stock"</formula>
    </cfRule>
    <cfRule type="cellIs" dxfId="175" priority="75" operator="equal">
      <formula>"Stock OK"</formula>
    </cfRule>
    <cfRule type="cellIs" dxfId="174" priority="76" operator="equal">
      <formula>"Quiebre Stock"</formula>
    </cfRule>
  </conditionalFormatting>
  <conditionalFormatting sqref="Q531">
    <cfRule type="cellIs" dxfId="173" priority="71" operator="lessThan">
      <formula>TODAY()</formula>
    </cfRule>
  </conditionalFormatting>
  <conditionalFormatting sqref="N533">
    <cfRule type="cellIs" dxfId="172" priority="66" operator="equal">
      <formula>"Desactivado"</formula>
    </cfRule>
    <cfRule type="cellIs" dxfId="171" priority="67" operator="equal">
      <formula>"Sobre Stock"</formula>
    </cfRule>
    <cfRule type="cellIs" dxfId="170" priority="68" operator="equal">
      <formula>"Bajo Stock"</formula>
    </cfRule>
    <cfRule type="cellIs" dxfId="169" priority="69" operator="equal">
      <formula>"Stock OK"</formula>
    </cfRule>
    <cfRule type="cellIs" dxfId="168" priority="70" operator="equal">
      <formula>"Quiebre Stock"</formula>
    </cfRule>
  </conditionalFormatting>
  <conditionalFormatting sqref="Q533">
    <cfRule type="cellIs" dxfId="167" priority="65" operator="lessThan">
      <formula>TODAY()</formula>
    </cfRule>
  </conditionalFormatting>
  <conditionalFormatting sqref="N534">
    <cfRule type="cellIs" dxfId="166" priority="60" operator="equal">
      <formula>"Desactivado"</formula>
    </cfRule>
    <cfRule type="cellIs" dxfId="165" priority="61" operator="equal">
      <formula>"Sobre Stock"</formula>
    </cfRule>
    <cfRule type="cellIs" dxfId="164" priority="62" operator="equal">
      <formula>"Bajo Stock"</formula>
    </cfRule>
    <cfRule type="cellIs" dxfId="163" priority="63" operator="equal">
      <formula>"Stock OK"</formula>
    </cfRule>
    <cfRule type="cellIs" dxfId="162" priority="64" operator="equal">
      <formula>"Quiebre Stock"</formula>
    </cfRule>
  </conditionalFormatting>
  <conditionalFormatting sqref="Q534">
    <cfRule type="cellIs" dxfId="161" priority="59" operator="lessThan">
      <formula>TODAY()</formula>
    </cfRule>
  </conditionalFormatting>
  <conditionalFormatting sqref="N535">
    <cfRule type="cellIs" dxfId="160" priority="54" operator="equal">
      <formula>"Desactivado"</formula>
    </cfRule>
    <cfRule type="cellIs" dxfId="159" priority="55" operator="equal">
      <formula>"Sobre Stock"</formula>
    </cfRule>
    <cfRule type="cellIs" dxfId="158" priority="56" operator="equal">
      <formula>"Bajo Stock"</formula>
    </cfRule>
    <cfRule type="cellIs" dxfId="157" priority="57" operator="equal">
      <formula>"Stock OK"</formula>
    </cfRule>
    <cfRule type="cellIs" dxfId="156" priority="58" operator="equal">
      <formula>"Quiebre Stock"</formula>
    </cfRule>
  </conditionalFormatting>
  <conditionalFormatting sqref="Q535:Q536">
    <cfRule type="cellIs" dxfId="155" priority="53" operator="lessThan">
      <formula>TODAY()</formula>
    </cfRule>
  </conditionalFormatting>
  <conditionalFormatting sqref="N536">
    <cfRule type="cellIs" dxfId="154" priority="48" operator="equal">
      <formula>"Desactivado"</formula>
    </cfRule>
    <cfRule type="cellIs" dxfId="153" priority="49" operator="equal">
      <formula>"Sobre Stock"</formula>
    </cfRule>
    <cfRule type="cellIs" dxfId="152" priority="50" operator="equal">
      <formula>"Bajo Stock"</formula>
    </cfRule>
    <cfRule type="cellIs" dxfId="151" priority="51" operator="equal">
      <formula>"Stock OK"</formula>
    </cfRule>
    <cfRule type="cellIs" dxfId="150" priority="52" operator="equal">
      <formula>"Quiebre Stock"</formula>
    </cfRule>
  </conditionalFormatting>
  <conditionalFormatting sqref="N516">
    <cfRule type="cellIs" dxfId="149" priority="43" operator="equal">
      <formula>"Desactivado"</formula>
    </cfRule>
    <cfRule type="cellIs" dxfId="148" priority="44" operator="equal">
      <formula>"Sobre Stock"</formula>
    </cfRule>
    <cfRule type="cellIs" dxfId="147" priority="45" operator="equal">
      <formula>"Bajo Stock"</formula>
    </cfRule>
    <cfRule type="cellIs" dxfId="146" priority="46" operator="equal">
      <formula>"Stock OK"</formula>
    </cfRule>
    <cfRule type="cellIs" dxfId="145" priority="47" operator="equal">
      <formula>"Quiebre Stock"</formula>
    </cfRule>
  </conditionalFormatting>
  <conditionalFormatting sqref="Q516">
    <cfRule type="cellIs" dxfId="144" priority="42" operator="lessThan">
      <formula>TODAY()</formula>
    </cfRule>
  </conditionalFormatting>
  <conditionalFormatting sqref="M531">
    <cfRule type="cellIs" dxfId="143" priority="34" operator="equal">
      <formula>"Desactivado"</formula>
    </cfRule>
    <cfRule type="cellIs" dxfId="142" priority="35" operator="equal">
      <formula>"Sobre Stock"</formula>
    </cfRule>
    <cfRule type="cellIs" dxfId="141" priority="36" operator="equal">
      <formula>"Bajo Stock"</formula>
    </cfRule>
    <cfRule type="cellIs" dxfId="140" priority="37" operator="equal">
      <formula>"Stock OK"</formula>
    </cfRule>
    <cfRule type="cellIs" dxfId="139" priority="38" operator="equal">
      <formula>"Quiebre Stock"</formula>
    </cfRule>
  </conditionalFormatting>
  <conditionalFormatting sqref="M597:M599">
    <cfRule type="cellIs" dxfId="138" priority="29" operator="equal">
      <formula>"Desactivado"</formula>
    </cfRule>
    <cfRule type="cellIs" dxfId="137" priority="30" operator="equal">
      <formula>"Sobre Stock"</formula>
    </cfRule>
    <cfRule type="cellIs" dxfId="136" priority="31" operator="equal">
      <formula>"Bajo Stock"</formula>
    </cfRule>
    <cfRule type="cellIs" dxfId="135" priority="32" operator="equal">
      <formula>"Stock OK"</formula>
    </cfRule>
    <cfRule type="cellIs" dxfId="134" priority="33" operator="equal">
      <formula>"Quiebre Stock"</formula>
    </cfRule>
  </conditionalFormatting>
  <conditionalFormatting sqref="L1111">
    <cfRule type="expression" dxfId="133" priority="16">
      <formula>AND($M1111&lt;&gt;"",$Q1111&lt;TODAY(),$E1111="A",$J1111="Quiebre Stock")</formula>
    </cfRule>
  </conditionalFormatting>
  <conditionalFormatting sqref="L1195">
    <cfRule type="expression" dxfId="132" priority="14">
      <formula>AND($M1195&lt;&gt;"",$Q1195&lt;TODAY(),$E1195="A",$J1195="Quiebre Stock")</formula>
    </cfRule>
  </conditionalFormatting>
  <conditionalFormatting sqref="B17:B1325">
    <cfRule type="duplicateValues" dxfId="131" priority="6563"/>
    <cfRule type="duplicateValues" dxfId="130" priority="6564"/>
    <cfRule type="duplicateValues" dxfId="129" priority="656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1564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1565</v>
      </c>
    </row>
    <row r="8" spans="1:11" hidden="1" x14ac:dyDescent="0.25">
      <c r="A8" s="33">
        <v>20004806</v>
      </c>
      <c r="B8" s="36" t="s">
        <v>1214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1239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1342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1231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1232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1233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1408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1234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1235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1236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1270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1265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1452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1237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1238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1240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1241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1418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1436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1242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1243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1244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1409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1245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1246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1453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1247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1244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1248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1244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1249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360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1217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359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361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1376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362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1341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1426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1438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1439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1440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1116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1457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1267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1218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1221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1220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1437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1368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363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1328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1225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1065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1066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1067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1551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1109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1458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1068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1222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1419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1491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1492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1523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1279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1280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1497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1524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1380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1381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1382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1261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364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1383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1281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1282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1283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1215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1384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1493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1273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1274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1375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1385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1365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1410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1528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1434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792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1059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1111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1411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1529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1276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1501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1386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1502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1475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1503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1504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1302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1413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1347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1339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1348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1349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1110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1303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1329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1304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1330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1331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1284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1250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1332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1333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1285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365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1476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1023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1286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1414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1305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1552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1530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1415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1535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1536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1377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1387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1537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1538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1334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1487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1378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1344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1262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1533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1388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1226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1531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1223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1389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1390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1306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1287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1224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1431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1494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1369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1350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1391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1060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1251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874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1307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1392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1252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366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367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1253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368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369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370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371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372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373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374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375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376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377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378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379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380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381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382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383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1351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384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1288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385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386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1447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1534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387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388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389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390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1370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391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392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393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394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395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396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397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398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399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400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401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402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403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404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405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406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407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408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409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410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411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412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413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414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415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416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417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418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419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420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421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1500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422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423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1495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424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425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426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1402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427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1488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1484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428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429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1345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430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431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432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433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434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435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436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437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438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439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440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441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442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1063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443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444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1277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445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446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447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448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449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1254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1554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450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451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452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453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454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455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456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457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458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459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460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461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1216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462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463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1555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464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465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466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467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1393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468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1394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1395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1396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1397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469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470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471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472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473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474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475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476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477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478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479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480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1532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481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482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483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484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485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486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1485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487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488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489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490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491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492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493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1477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1429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494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1454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495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496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497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498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499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500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501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502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503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504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505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1478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506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507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508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509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510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511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512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513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1479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514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515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516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517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518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519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520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1209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1210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1211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1212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521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522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1112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1406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784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1407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784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795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1441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1227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1268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1269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1480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1335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1289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1481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1505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1432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1446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1401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1400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1427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1482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1514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1559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796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523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1113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1442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1498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524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525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526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527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1405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528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1308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529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1264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1117</v>
      </c>
      <c r="C669" s="37" t="s">
        <v>89</v>
      </c>
      <c r="D669" s="38" t="s">
        <v>1228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1118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1119</v>
      </c>
      <c r="C671" s="37" t="s">
        <v>89</v>
      </c>
      <c r="D671" s="38" t="s">
        <v>1228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1521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1120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1121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1122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1123</v>
      </c>
      <c r="C676" s="37" t="s">
        <v>89</v>
      </c>
      <c r="D676" s="38" t="s">
        <v>1228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1124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1125</v>
      </c>
      <c r="C678" s="37" t="s">
        <v>89</v>
      </c>
      <c r="D678" s="38" t="s">
        <v>1228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530</v>
      </c>
      <c r="C679" s="37" t="s">
        <v>89</v>
      </c>
      <c r="D679" s="38" t="s">
        <v>1228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1126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1127</v>
      </c>
      <c r="C681" s="37" t="s">
        <v>89</v>
      </c>
      <c r="D681" s="38" t="s">
        <v>1228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1128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1129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1130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1131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1132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1133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1435</v>
      </c>
      <c r="C688" s="37" t="s">
        <v>89</v>
      </c>
      <c r="D688" s="38" t="s">
        <v>1228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1135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1136</v>
      </c>
      <c r="C690" s="37" t="s">
        <v>89</v>
      </c>
      <c r="D690" s="38" t="s">
        <v>1228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1137</v>
      </c>
      <c r="C691" s="37" t="s">
        <v>89</v>
      </c>
      <c r="D691" s="38" t="s">
        <v>1228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531</v>
      </c>
      <c r="C692" s="37" t="s">
        <v>89</v>
      </c>
      <c r="D692" s="38" t="s">
        <v>1228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1138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1139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1140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1141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1142</v>
      </c>
      <c r="C697" s="37" t="s">
        <v>89</v>
      </c>
      <c r="D697" s="38" t="s">
        <v>1228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1069</v>
      </c>
      <c r="C698" s="37" t="s">
        <v>89</v>
      </c>
      <c r="D698" s="38" t="s">
        <v>1228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1061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1144</v>
      </c>
      <c r="C700" s="37" t="s">
        <v>89</v>
      </c>
      <c r="D700" s="38" t="s">
        <v>1228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797</v>
      </c>
      <c r="C701" s="37" t="s">
        <v>89</v>
      </c>
      <c r="D701" s="38" t="s">
        <v>1228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798</v>
      </c>
      <c r="C702" s="37" t="s">
        <v>89</v>
      </c>
      <c r="D702" s="38" t="s">
        <v>1228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799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800</v>
      </c>
      <c r="C704" s="37" t="s">
        <v>89</v>
      </c>
      <c r="D704" s="38" t="s">
        <v>1228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801</v>
      </c>
      <c r="C705" s="37" t="s">
        <v>89</v>
      </c>
      <c r="D705" s="38" t="s">
        <v>1228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802</v>
      </c>
      <c r="C706" s="37" t="s">
        <v>89</v>
      </c>
      <c r="D706" s="38" t="s">
        <v>1228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803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804</v>
      </c>
      <c r="C708" s="37" t="s">
        <v>89</v>
      </c>
      <c r="D708" s="38" t="s">
        <v>1228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805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806</v>
      </c>
      <c r="C710" s="37" t="s">
        <v>89</v>
      </c>
      <c r="D710" s="38" t="s">
        <v>1228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807</v>
      </c>
      <c r="C711" s="37" t="s">
        <v>89</v>
      </c>
      <c r="D711" s="38" t="s">
        <v>1228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875</v>
      </c>
      <c r="C712" s="37" t="s">
        <v>89</v>
      </c>
      <c r="D712" s="38" t="s">
        <v>1228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808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809</v>
      </c>
      <c r="C714" s="37" t="s">
        <v>89</v>
      </c>
      <c r="D714" s="38" t="s">
        <v>1228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810</v>
      </c>
      <c r="C715" s="37" t="s">
        <v>89</v>
      </c>
      <c r="D715" s="38" t="s">
        <v>1228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811</v>
      </c>
      <c r="C716" s="37" t="s">
        <v>89</v>
      </c>
      <c r="D716" s="38" t="s">
        <v>1228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812</v>
      </c>
      <c r="C717" s="37" t="s">
        <v>89</v>
      </c>
      <c r="D717" s="38" t="s">
        <v>1228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814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1070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815</v>
      </c>
      <c r="C720" s="37" t="s">
        <v>89</v>
      </c>
      <c r="D720" s="38" t="s">
        <v>1228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816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818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819</v>
      </c>
      <c r="C723" s="37" t="s">
        <v>89</v>
      </c>
      <c r="D723" s="38" t="s">
        <v>1228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820</v>
      </c>
      <c r="C724" s="37" t="s">
        <v>89</v>
      </c>
      <c r="D724" s="38" t="s">
        <v>1228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821</v>
      </c>
      <c r="C725" s="37" t="s">
        <v>89</v>
      </c>
      <c r="D725" s="38" t="s">
        <v>1228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822</v>
      </c>
      <c r="C726" s="37" t="s">
        <v>89</v>
      </c>
      <c r="D726" s="38" t="s">
        <v>1228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823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876</v>
      </c>
      <c r="C728" s="37" t="s">
        <v>89</v>
      </c>
      <c r="D728" s="38" t="s">
        <v>1228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1071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1072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1073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877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1420</v>
      </c>
      <c r="C733" s="37" t="s">
        <v>89</v>
      </c>
      <c r="D733" s="38" t="s">
        <v>1228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824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1473</v>
      </c>
      <c r="C735" s="37" t="s">
        <v>89</v>
      </c>
      <c r="D735" s="38" t="s">
        <v>1228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826</v>
      </c>
      <c r="C736" s="37" t="s">
        <v>89</v>
      </c>
      <c r="D736" s="38" t="s">
        <v>1228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827</v>
      </c>
      <c r="C737" s="37" t="s">
        <v>89</v>
      </c>
      <c r="D737" s="38" t="s">
        <v>1228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1107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1145</v>
      </c>
      <c r="C739" s="37" t="s">
        <v>89</v>
      </c>
      <c r="D739" s="38" t="s">
        <v>1228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1486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829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830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831</v>
      </c>
      <c r="C743" s="37" t="s">
        <v>89</v>
      </c>
      <c r="D743" s="38" t="s">
        <v>1228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1108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834</v>
      </c>
      <c r="C745" s="37" t="s">
        <v>89</v>
      </c>
      <c r="D745" s="38" t="s">
        <v>1228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835</v>
      </c>
      <c r="C746" s="37" t="s">
        <v>89</v>
      </c>
      <c r="D746" s="38" t="s">
        <v>1228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836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837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838</v>
      </c>
      <c r="C749" s="37" t="s">
        <v>89</v>
      </c>
      <c r="D749" s="38" t="s">
        <v>1228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839</v>
      </c>
      <c r="C750" s="37" t="s">
        <v>89</v>
      </c>
      <c r="D750" s="38" t="s">
        <v>1228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840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841</v>
      </c>
      <c r="C752" s="37" t="s">
        <v>89</v>
      </c>
      <c r="D752" s="38" t="s">
        <v>1228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842</v>
      </c>
      <c r="C753" s="37" t="s">
        <v>89</v>
      </c>
      <c r="D753" s="38" t="s">
        <v>1228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843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844</v>
      </c>
      <c r="C755" s="37" t="s">
        <v>89</v>
      </c>
      <c r="D755" s="38" t="s">
        <v>1228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1290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532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1309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1024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533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534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878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1459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1366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1310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1311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535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536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537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1075</v>
      </c>
      <c r="C770" s="37" t="s">
        <v>89</v>
      </c>
      <c r="D770" s="38" t="s">
        <v>1228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845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846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879</v>
      </c>
      <c r="C773" s="37" t="s">
        <v>89</v>
      </c>
      <c r="D773" s="38" t="s">
        <v>1228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880</v>
      </c>
      <c r="C774" s="37" t="s">
        <v>89</v>
      </c>
      <c r="D774" s="38" t="s">
        <v>1228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847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848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881</v>
      </c>
      <c r="C777" s="37" t="s">
        <v>89</v>
      </c>
      <c r="D777" s="38" t="s">
        <v>1228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1146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882</v>
      </c>
      <c r="C779" s="37" t="s">
        <v>89</v>
      </c>
      <c r="D779" s="38" t="s">
        <v>1228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883</v>
      </c>
      <c r="C780" s="37" t="s">
        <v>89</v>
      </c>
      <c r="D780" s="38" t="s">
        <v>1228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1025</v>
      </c>
      <c r="C781" s="37" t="s">
        <v>89</v>
      </c>
      <c r="D781" s="38" t="s">
        <v>1228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1076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885</v>
      </c>
      <c r="C783" s="37" t="s">
        <v>89</v>
      </c>
      <c r="D783" s="38" t="s">
        <v>1228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849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1026</v>
      </c>
      <c r="C785" s="37" t="s">
        <v>89</v>
      </c>
      <c r="D785" s="38" t="s">
        <v>1228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886</v>
      </c>
      <c r="C786" s="37" t="s">
        <v>89</v>
      </c>
      <c r="D786" s="38" t="s">
        <v>1228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538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1527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1424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1027</v>
      </c>
      <c r="C790" s="37" t="s">
        <v>89</v>
      </c>
      <c r="D790" s="38" t="s">
        <v>1228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1077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1147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1028</v>
      </c>
      <c r="C793" s="37" t="s">
        <v>89</v>
      </c>
      <c r="D793" s="38" t="s">
        <v>1228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539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540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541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542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1029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1030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1078</v>
      </c>
      <c r="C800" s="37" t="s">
        <v>89</v>
      </c>
      <c r="D800" s="38" t="s">
        <v>1228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1031</v>
      </c>
      <c r="C801" s="37" t="s">
        <v>89</v>
      </c>
      <c r="D801" s="38" t="s">
        <v>1228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1079</v>
      </c>
      <c r="C802" s="37" t="s">
        <v>89</v>
      </c>
      <c r="D802" s="38" t="s">
        <v>1228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1080</v>
      </c>
      <c r="C803" s="37" t="s">
        <v>89</v>
      </c>
      <c r="D803" s="38" t="s">
        <v>1228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1032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1033</v>
      </c>
      <c r="C805" s="37" t="s">
        <v>89</v>
      </c>
      <c r="D805" s="38" t="s">
        <v>1228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1034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1035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543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544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545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1036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1037</v>
      </c>
      <c r="C812" s="37" t="s">
        <v>89</v>
      </c>
      <c r="D812" s="38" t="s">
        <v>1228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1038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1039</v>
      </c>
      <c r="C814" s="37" t="s">
        <v>89</v>
      </c>
      <c r="D814" s="38" t="s">
        <v>1228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1040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1081</v>
      </c>
      <c r="C816" s="37" t="s">
        <v>89</v>
      </c>
      <c r="D816" s="38" t="s">
        <v>1228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1082</v>
      </c>
      <c r="C817" s="37" t="s">
        <v>89</v>
      </c>
      <c r="D817" s="38" t="s">
        <v>1228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1083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546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1041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1084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1085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1042</v>
      </c>
      <c r="C823" s="37" t="s">
        <v>89</v>
      </c>
      <c r="D823" s="38" t="s">
        <v>1228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1043</v>
      </c>
      <c r="C824" s="37" t="s">
        <v>89</v>
      </c>
      <c r="D824" s="38" t="s">
        <v>1228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1044</v>
      </c>
      <c r="C825" s="37" t="s">
        <v>89</v>
      </c>
      <c r="D825" s="38" t="s">
        <v>1228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1045</v>
      </c>
      <c r="C826" s="37" t="s">
        <v>89</v>
      </c>
      <c r="D826" s="38" t="s">
        <v>1228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1046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1048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547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548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549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1049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1050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1051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1052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550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551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1489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552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1499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553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554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1496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1506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555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556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793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557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1525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558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1460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1086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1461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559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1462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560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561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562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563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564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565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566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567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568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1463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569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1464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1465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1466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1467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1087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1553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570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1556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1398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1468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1291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1312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1336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1313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571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1053</v>
      </c>
      <c r="C883" s="37" t="s">
        <v>89</v>
      </c>
      <c r="D883" s="38" t="s">
        <v>1228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1372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572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1507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887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573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574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575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1337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576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888</v>
      </c>
      <c r="C893" s="37" t="s">
        <v>89</v>
      </c>
      <c r="D893" s="38" t="s">
        <v>1228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1148</v>
      </c>
      <c r="C894" s="37" t="s">
        <v>89</v>
      </c>
      <c r="D894" s="38" t="s">
        <v>1228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1149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1150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889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1151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1152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1153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890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1154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577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1155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850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891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1156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1314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851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1114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578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579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1428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892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580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581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582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583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852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1315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1054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1088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584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893</v>
      </c>
      <c r="C924" s="37" t="s">
        <v>89</v>
      </c>
      <c r="D924" s="38" t="s">
        <v>1228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1266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853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854</v>
      </c>
      <c r="C927" s="37" t="s">
        <v>89</v>
      </c>
      <c r="D927" s="38" t="s">
        <v>1228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585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586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587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1469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588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1470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589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590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591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592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1471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1472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593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594</v>
      </c>
      <c r="C941" s="37" t="s">
        <v>89</v>
      </c>
      <c r="D941" s="38" t="s">
        <v>1228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595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596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597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598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599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1157</v>
      </c>
      <c r="C947" s="37" t="s">
        <v>89</v>
      </c>
      <c r="D947" s="38" t="s">
        <v>1228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1158</v>
      </c>
      <c r="C948" s="37" t="s">
        <v>89</v>
      </c>
      <c r="D948" s="38" t="s">
        <v>1228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1159</v>
      </c>
      <c r="C949" s="37" t="s">
        <v>89</v>
      </c>
      <c r="D949" s="38" t="s">
        <v>1228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1160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1161</v>
      </c>
      <c r="C951" s="37" t="s">
        <v>89</v>
      </c>
      <c r="D951" s="38" t="s">
        <v>1228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1162</v>
      </c>
      <c r="C952" s="37" t="s">
        <v>89</v>
      </c>
      <c r="D952" s="38" t="s">
        <v>1228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1364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894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895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855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896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856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600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1163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897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898</v>
      </c>
      <c r="C962" s="37" t="s">
        <v>89</v>
      </c>
      <c r="D962" s="38" t="s">
        <v>1228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899</v>
      </c>
      <c r="C963" s="37" t="s">
        <v>89</v>
      </c>
      <c r="D963" s="38" t="s">
        <v>1228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857</v>
      </c>
      <c r="C964" s="37" t="s">
        <v>89</v>
      </c>
      <c r="D964" s="38" t="s">
        <v>1228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900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858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1164</v>
      </c>
      <c r="C967" s="37" t="s">
        <v>89</v>
      </c>
      <c r="D967" s="38" t="s">
        <v>1228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859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1064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901</v>
      </c>
      <c r="C970" s="37" t="s">
        <v>89</v>
      </c>
      <c r="D970" s="38" t="s">
        <v>1228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902</v>
      </c>
      <c r="C971" s="37" t="s">
        <v>89</v>
      </c>
      <c r="D971" s="38" t="s">
        <v>1228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601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903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860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904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602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603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604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1055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1352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605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606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607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608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1292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609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610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611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1490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1373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612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613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1353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614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615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1165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1166</v>
      </c>
      <c r="C997" s="37" t="s">
        <v>89</v>
      </c>
      <c r="D997" s="38" t="s">
        <v>1228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616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617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618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1167</v>
      </c>
      <c r="C1001" s="37" t="s">
        <v>89</v>
      </c>
      <c r="D1001" s="38" t="s">
        <v>1228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619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620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1403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905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906</v>
      </c>
      <c r="C1006" s="37" t="s">
        <v>89</v>
      </c>
      <c r="D1006" s="38" t="s">
        <v>1228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907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908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909</v>
      </c>
      <c r="C1009" s="37" t="s">
        <v>89</v>
      </c>
      <c r="D1009" s="38" t="s">
        <v>1228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910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911</v>
      </c>
      <c r="C1011" s="37" t="s">
        <v>89</v>
      </c>
      <c r="D1011" s="38" t="s">
        <v>1228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621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1404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912</v>
      </c>
      <c r="C1014" s="37" t="s">
        <v>89</v>
      </c>
      <c r="D1014" s="38" t="s">
        <v>1228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1089</v>
      </c>
      <c r="C1015" s="37" t="s">
        <v>89</v>
      </c>
      <c r="D1015" s="38" t="s">
        <v>1228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1354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622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1275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1056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1168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623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1355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624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861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862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1169</v>
      </c>
      <c r="C1026" s="37" t="s">
        <v>89</v>
      </c>
      <c r="D1026" s="38" t="s">
        <v>1228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1316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625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1508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626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627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628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913</v>
      </c>
      <c r="C1033" s="37" t="s">
        <v>89</v>
      </c>
      <c r="D1033" s="38" t="s">
        <v>1228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914</v>
      </c>
      <c r="C1034" s="37" t="s">
        <v>89</v>
      </c>
      <c r="D1034" s="38" t="s">
        <v>1228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915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629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1456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1293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1317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1318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630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631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632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633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634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635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636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637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638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916</v>
      </c>
      <c r="C1050" s="37" t="s">
        <v>89</v>
      </c>
      <c r="D1050" s="38" t="s">
        <v>1228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639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1356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1319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1320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640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641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1539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1540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1541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642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1057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643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644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1058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645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646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647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648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1258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1170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1512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863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649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1321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650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651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652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653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1343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654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655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864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917</v>
      </c>
      <c r="C1083" s="37" t="s">
        <v>89</v>
      </c>
      <c r="D1083" s="38" t="s">
        <v>1228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918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1421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656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657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658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659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660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661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662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663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1271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664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665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666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667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668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669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670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671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672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673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674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675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676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677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678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679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680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681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682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683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684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685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1542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1543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686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1526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687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688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689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690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691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692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693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1263</v>
      </c>
      <c r="C1130" s="37" t="s">
        <v>89</v>
      </c>
      <c r="D1130" s="38" t="s">
        <v>1228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694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794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695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696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697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1544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698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699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1545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1546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1272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700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701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1547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702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1548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703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1549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704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705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1550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706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707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708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709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710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711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712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713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714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715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716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717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920</v>
      </c>
      <c r="C1167" s="37" t="s">
        <v>89</v>
      </c>
      <c r="D1167" s="38" t="s">
        <v>1228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718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865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719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720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721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722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723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724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725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726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727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728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729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730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731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732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733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734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1092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735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736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737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1093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738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1094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866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867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921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739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740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741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742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743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744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745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746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747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748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749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750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1256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1257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751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873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922</v>
      </c>
      <c r="C1212" s="37" t="s">
        <v>89</v>
      </c>
      <c r="D1212" s="38" t="s">
        <v>1228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752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753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754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755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756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757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758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759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1510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760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761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1346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1172</v>
      </c>
      <c r="C1225" s="37" t="s">
        <v>89</v>
      </c>
      <c r="D1225" s="38" t="s">
        <v>1228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762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763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764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765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766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767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768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769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770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1095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923</v>
      </c>
      <c r="C1236" s="37" t="s">
        <v>89</v>
      </c>
      <c r="D1236" s="38" t="s">
        <v>1228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924</v>
      </c>
      <c r="C1237" s="37" t="s">
        <v>89</v>
      </c>
      <c r="D1237" s="38" t="s">
        <v>1228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925</v>
      </c>
      <c r="C1238" s="37" t="s">
        <v>89</v>
      </c>
      <c r="D1238" s="38" t="s">
        <v>1228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926</v>
      </c>
      <c r="C1239" s="37" t="s">
        <v>89</v>
      </c>
      <c r="D1239" s="38" t="s">
        <v>1228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1379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771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772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773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774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775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776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1422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777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778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927</v>
      </c>
      <c r="C1250" s="37" t="s">
        <v>89</v>
      </c>
      <c r="D1250" s="38" t="s">
        <v>1228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1255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779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780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781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782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1322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783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928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868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784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1340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869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1062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870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871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1259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785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1443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1323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1219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786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784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1374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787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788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789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1423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1324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790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791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872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1515</v>
      </c>
      <c r="C1280" s="37" t="s">
        <v>89</v>
      </c>
      <c r="D1280" s="38" t="s">
        <v>1228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1516</v>
      </c>
      <c r="C1281" s="37" t="s">
        <v>89</v>
      </c>
      <c r="D1281" s="38" t="s">
        <v>1228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1517</v>
      </c>
      <c r="C1282" s="37" t="s">
        <v>89</v>
      </c>
      <c r="D1282" s="38" t="s">
        <v>1228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1518</v>
      </c>
      <c r="C1283" s="37" t="s">
        <v>89</v>
      </c>
      <c r="D1283" s="38" t="s">
        <v>1228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1519</v>
      </c>
      <c r="C1284" s="37" t="s">
        <v>89</v>
      </c>
      <c r="D1284" s="38" t="s">
        <v>1228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1294</v>
      </c>
      <c r="C1285" s="37" t="s">
        <v>89</v>
      </c>
      <c r="D1285" s="38" t="s">
        <v>1228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1483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1260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1511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1357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1295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1296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1297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1298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1416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1325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1367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1338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1299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1326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1300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1301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1563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1327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1358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1359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1360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1361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1371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1362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1520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1417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1412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1444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1433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1445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1560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1561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1474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85</v>
      </c>
      <c r="B1" s="29" t="s">
        <v>86</v>
      </c>
      <c r="C1" s="30" t="s">
        <v>87</v>
      </c>
      <c r="D1" s="30">
        <f>COUNTA([2]data!$B$9:$B$10157)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1115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1448</v>
      </c>
    </row>
    <row r="2" spans="1:20" x14ac:dyDescent="0.25">
      <c r="A2" s="33">
        <v>30006604</v>
      </c>
      <c r="B2" s="36" t="s">
        <v>1117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1208</v>
      </c>
      <c r="L2" s="40"/>
      <c r="M2" s="40"/>
      <c r="N2" s="37"/>
      <c r="O2" s="36"/>
      <c r="P2" s="42"/>
      <c r="Q2" s="40"/>
      <c r="R2" s="39" t="s">
        <v>1213</v>
      </c>
      <c r="S2" s="44" t="s">
        <v>74</v>
      </c>
      <c r="T2" s="3" t="s">
        <v>1449</v>
      </c>
    </row>
    <row r="3" spans="1:20" x14ac:dyDescent="0.25">
      <c r="A3" s="33">
        <v>30006607</v>
      </c>
      <c r="B3" s="36" t="s">
        <v>1119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1208</v>
      </c>
      <c r="L3" s="40"/>
      <c r="M3" s="40"/>
      <c r="N3" s="37"/>
      <c r="O3" s="36"/>
      <c r="P3" s="42"/>
      <c r="Q3" s="40"/>
      <c r="R3" s="39" t="s">
        <v>1213</v>
      </c>
      <c r="S3" s="44" t="s">
        <v>74</v>
      </c>
      <c r="T3" s="3" t="s">
        <v>1449</v>
      </c>
    </row>
    <row r="4" spans="1:20" x14ac:dyDescent="0.25">
      <c r="A4" s="33">
        <v>30006617</v>
      </c>
      <c r="B4" s="36" t="s">
        <v>1123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1208</v>
      </c>
      <c r="L4" s="40"/>
      <c r="M4" s="40"/>
      <c r="N4" s="37"/>
      <c r="O4" s="36"/>
      <c r="P4" s="42"/>
      <c r="Q4" s="40"/>
      <c r="R4" s="39" t="s">
        <v>1213</v>
      </c>
      <c r="S4" s="44" t="s">
        <v>74</v>
      </c>
      <c r="T4" s="3" t="s">
        <v>1449</v>
      </c>
    </row>
    <row r="5" spans="1:20" x14ac:dyDescent="0.25">
      <c r="A5" s="33">
        <v>30006621</v>
      </c>
      <c r="B5" s="36" t="s">
        <v>1125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1208</v>
      </c>
      <c r="L5" s="40"/>
      <c r="M5" s="40"/>
      <c r="N5" s="37"/>
      <c r="O5" s="36"/>
      <c r="P5" s="42"/>
      <c r="Q5" s="40"/>
      <c r="R5" s="39" t="s">
        <v>1213</v>
      </c>
      <c r="S5" s="44" t="s">
        <v>74</v>
      </c>
      <c r="T5" s="3" t="s">
        <v>1449</v>
      </c>
    </row>
    <row r="6" spans="1:20" x14ac:dyDescent="0.25">
      <c r="A6" s="33">
        <v>30006632</v>
      </c>
      <c r="B6" s="36" t="s">
        <v>1127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1208</v>
      </c>
      <c r="L6" s="40"/>
      <c r="M6" s="40"/>
      <c r="N6" s="37"/>
      <c r="O6" s="36"/>
      <c r="P6" s="42"/>
      <c r="Q6" s="40"/>
      <c r="R6" s="39" t="s">
        <v>1213</v>
      </c>
      <c r="S6" s="44" t="s">
        <v>74</v>
      </c>
      <c r="T6" s="3" t="s">
        <v>1449</v>
      </c>
    </row>
    <row r="7" spans="1:20" x14ac:dyDescent="0.25">
      <c r="A7" s="33">
        <v>30006715</v>
      </c>
      <c r="B7" s="36" t="s">
        <v>1134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1208</v>
      </c>
      <c r="L7" s="40"/>
      <c r="M7" s="40"/>
      <c r="N7" s="37"/>
      <c r="O7" s="36"/>
      <c r="P7" s="42"/>
      <c r="Q7" s="40"/>
      <c r="R7" s="39" t="s">
        <v>1213</v>
      </c>
      <c r="S7" s="44" t="s">
        <v>66</v>
      </c>
      <c r="T7" s="3" t="s">
        <v>1449</v>
      </c>
    </row>
    <row r="8" spans="1:20" x14ac:dyDescent="0.25">
      <c r="A8" s="33">
        <v>30006717</v>
      </c>
      <c r="B8" s="36" t="s">
        <v>1136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1208</v>
      </c>
      <c r="L8" s="40"/>
      <c r="M8" s="40"/>
      <c r="N8" s="37"/>
      <c r="O8" s="36"/>
      <c r="P8" s="42"/>
      <c r="Q8" s="40"/>
      <c r="R8" s="39" t="s">
        <v>1213</v>
      </c>
      <c r="S8" s="44" t="s">
        <v>66</v>
      </c>
      <c r="T8" s="3" t="s">
        <v>1449</v>
      </c>
    </row>
    <row r="9" spans="1:20" x14ac:dyDescent="0.25">
      <c r="A9" s="33">
        <v>30006723</v>
      </c>
      <c r="B9" s="36" t="s">
        <v>1137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1208</v>
      </c>
      <c r="L9" s="40"/>
      <c r="M9" s="40"/>
      <c r="N9" s="37"/>
      <c r="O9" s="36"/>
      <c r="P9" s="42"/>
      <c r="Q9" s="40"/>
      <c r="R9" s="39" t="s">
        <v>1213</v>
      </c>
      <c r="S9" s="44" t="s">
        <v>66</v>
      </c>
      <c r="T9" s="3" t="s">
        <v>1449</v>
      </c>
    </row>
    <row r="10" spans="1:20" x14ac:dyDescent="0.25">
      <c r="A10" s="33">
        <v>30006724</v>
      </c>
      <c r="B10" s="36" t="s">
        <v>531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1208</v>
      </c>
      <c r="L10" s="40"/>
      <c r="M10" s="40"/>
      <c r="N10" s="37"/>
      <c r="O10" s="36"/>
      <c r="P10" s="42"/>
      <c r="Q10" s="40"/>
      <c r="R10" s="39" t="s">
        <v>1213</v>
      </c>
      <c r="S10" s="44" t="s">
        <v>66</v>
      </c>
      <c r="T10" s="3" t="s">
        <v>1449</v>
      </c>
    </row>
    <row r="11" spans="1:20" x14ac:dyDescent="0.25">
      <c r="A11" s="33">
        <v>30006736</v>
      </c>
      <c r="B11" s="36" t="s">
        <v>1142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1208</v>
      </c>
      <c r="L11" s="40"/>
      <c r="M11" s="40"/>
      <c r="N11" s="37"/>
      <c r="O11" s="36"/>
      <c r="P11" s="42"/>
      <c r="Q11" s="40"/>
      <c r="R11" s="39" t="s">
        <v>1213</v>
      </c>
      <c r="S11" s="44" t="s">
        <v>66</v>
      </c>
      <c r="T11" s="3" t="s">
        <v>1449</v>
      </c>
    </row>
    <row r="12" spans="1:20" x14ac:dyDescent="0.25">
      <c r="A12" s="33">
        <v>30006739</v>
      </c>
      <c r="B12" s="36" t="s">
        <v>1069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1208</v>
      </c>
      <c r="L12" s="40"/>
      <c r="M12" s="40"/>
      <c r="N12" s="37"/>
      <c r="O12" s="36"/>
      <c r="P12" s="42"/>
      <c r="Q12" s="40"/>
      <c r="R12" s="39" t="s">
        <v>1213</v>
      </c>
      <c r="S12" s="44" t="s">
        <v>66</v>
      </c>
      <c r="T12" s="3" t="s">
        <v>1449</v>
      </c>
    </row>
    <row r="13" spans="1:20" x14ac:dyDescent="0.25">
      <c r="A13" s="33">
        <v>30006930</v>
      </c>
      <c r="B13" s="36" t="s">
        <v>1143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1208</v>
      </c>
      <c r="L13" s="40"/>
      <c r="M13" s="40"/>
      <c r="N13" s="37"/>
      <c r="O13" s="36"/>
      <c r="P13" s="42"/>
      <c r="Q13" s="40"/>
      <c r="R13" s="39" t="s">
        <v>1213</v>
      </c>
      <c r="S13" s="44" t="s">
        <v>74</v>
      </c>
      <c r="T13" s="3" t="s">
        <v>1450</v>
      </c>
    </row>
    <row r="14" spans="1:20" x14ac:dyDescent="0.25">
      <c r="A14" s="33">
        <v>30007152</v>
      </c>
      <c r="B14" s="36" t="s">
        <v>1144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1208</v>
      </c>
      <c r="L14" s="40"/>
      <c r="M14" s="40"/>
      <c r="N14" s="37"/>
      <c r="O14" s="36"/>
      <c r="P14" s="42"/>
      <c r="Q14" s="40"/>
      <c r="R14" s="39" t="s">
        <v>1213</v>
      </c>
      <c r="S14" s="44" t="s">
        <v>74</v>
      </c>
      <c r="T14" s="3" t="s">
        <v>1449</v>
      </c>
    </row>
    <row r="15" spans="1:20" x14ac:dyDescent="0.25">
      <c r="A15" s="33">
        <v>30007327</v>
      </c>
      <c r="B15" s="36" t="s">
        <v>797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1208</v>
      </c>
      <c r="L15" s="40"/>
      <c r="M15" s="40"/>
      <c r="N15" s="37"/>
      <c r="O15" s="36"/>
      <c r="P15" s="42"/>
      <c r="Q15" s="40"/>
      <c r="R15" s="39" t="s">
        <v>1213</v>
      </c>
      <c r="S15" s="44" t="s">
        <v>67</v>
      </c>
      <c r="T15" s="3" t="s">
        <v>1449</v>
      </c>
    </row>
    <row r="16" spans="1:20" x14ac:dyDescent="0.25">
      <c r="A16" s="33">
        <v>30007328</v>
      </c>
      <c r="B16" s="36" t="s">
        <v>798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1208</v>
      </c>
      <c r="L16" s="40"/>
      <c r="M16" s="40"/>
      <c r="N16" s="37"/>
      <c r="O16" s="36"/>
      <c r="P16" s="42"/>
      <c r="Q16" s="40"/>
      <c r="R16" s="39" t="s">
        <v>1213</v>
      </c>
      <c r="S16" s="44" t="s">
        <v>67</v>
      </c>
      <c r="T16" s="3" t="s">
        <v>1449</v>
      </c>
    </row>
    <row r="17" spans="1:20" x14ac:dyDescent="0.25">
      <c r="A17" s="33">
        <v>30007330</v>
      </c>
      <c r="B17" s="36" t="s">
        <v>800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1208</v>
      </c>
      <c r="L17" s="40"/>
      <c r="M17" s="40"/>
      <c r="N17" s="37"/>
      <c r="O17" s="36"/>
      <c r="P17" s="42"/>
      <c r="Q17" s="40"/>
      <c r="R17" s="39" t="s">
        <v>1213</v>
      </c>
      <c r="S17" s="44" t="s">
        <v>67</v>
      </c>
      <c r="T17" s="3" t="s">
        <v>1449</v>
      </c>
    </row>
    <row r="18" spans="1:20" x14ac:dyDescent="0.25">
      <c r="A18" s="33">
        <v>30007331</v>
      </c>
      <c r="B18" s="36" t="s">
        <v>801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1208</v>
      </c>
      <c r="L18" s="40"/>
      <c r="M18" s="40"/>
      <c r="N18" s="37"/>
      <c r="O18" s="36"/>
      <c r="P18" s="42"/>
      <c r="Q18" s="40"/>
      <c r="R18" s="39" t="s">
        <v>1213</v>
      </c>
      <c r="S18" s="44" t="s">
        <v>67</v>
      </c>
      <c r="T18" s="3" t="s">
        <v>1449</v>
      </c>
    </row>
    <row r="19" spans="1:20" x14ac:dyDescent="0.25">
      <c r="A19" s="33">
        <v>30007332</v>
      </c>
      <c r="B19" s="36" t="s">
        <v>802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1208</v>
      </c>
      <c r="L19" s="40"/>
      <c r="M19" s="40"/>
      <c r="N19" s="37"/>
      <c r="O19" s="36"/>
      <c r="P19" s="42"/>
      <c r="Q19" s="40"/>
      <c r="R19" s="39" t="s">
        <v>1213</v>
      </c>
      <c r="S19" s="44" t="s">
        <v>67</v>
      </c>
      <c r="T19" s="3" t="s">
        <v>1449</v>
      </c>
    </row>
    <row r="20" spans="1:20" x14ac:dyDescent="0.25">
      <c r="A20" s="33">
        <v>30007363</v>
      </c>
      <c r="B20" s="36" t="s">
        <v>804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1208</v>
      </c>
      <c r="L20" s="40"/>
      <c r="M20" s="40"/>
      <c r="N20" s="37"/>
      <c r="O20" s="36"/>
      <c r="P20" s="42"/>
      <c r="Q20" s="40"/>
      <c r="R20" s="39" t="s">
        <v>1213</v>
      </c>
      <c r="S20" s="44" t="s">
        <v>67</v>
      </c>
      <c r="T20" s="3" t="s">
        <v>1449</v>
      </c>
    </row>
    <row r="21" spans="1:20" x14ac:dyDescent="0.25">
      <c r="A21" s="33">
        <v>30007367</v>
      </c>
      <c r="B21" s="36" t="s">
        <v>806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1208</v>
      </c>
      <c r="L21" s="40"/>
      <c r="M21" s="40"/>
      <c r="N21" s="37"/>
      <c r="O21" s="36"/>
      <c r="P21" s="42"/>
      <c r="Q21" s="40"/>
      <c r="R21" s="39" t="s">
        <v>1213</v>
      </c>
      <c r="S21" s="44" t="s">
        <v>67</v>
      </c>
      <c r="T21" s="3" t="s">
        <v>1449</v>
      </c>
    </row>
    <row r="22" spans="1:20" x14ac:dyDescent="0.25">
      <c r="A22" s="33">
        <v>30007368</v>
      </c>
      <c r="B22" s="36" t="s">
        <v>807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1208</v>
      </c>
      <c r="L22" s="40"/>
      <c r="M22" s="40"/>
      <c r="N22" s="37"/>
      <c r="O22" s="36"/>
      <c r="P22" s="42"/>
      <c r="Q22" s="40"/>
      <c r="R22" s="39" t="s">
        <v>1213</v>
      </c>
      <c r="S22" s="44" t="s">
        <v>67</v>
      </c>
      <c r="T22" s="3" t="s">
        <v>1449</v>
      </c>
    </row>
    <row r="23" spans="1:20" x14ac:dyDescent="0.25">
      <c r="A23" s="33">
        <v>30007369</v>
      </c>
      <c r="B23" s="36" t="s">
        <v>875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1208</v>
      </c>
      <c r="L23" s="40"/>
      <c r="M23" s="40"/>
      <c r="N23" s="37"/>
      <c r="O23" s="36"/>
      <c r="P23" s="42"/>
      <c r="Q23" s="40"/>
      <c r="R23" s="39" t="s">
        <v>1213</v>
      </c>
      <c r="S23" s="44" t="s">
        <v>66</v>
      </c>
      <c r="T23" s="3" t="s">
        <v>1449</v>
      </c>
    </row>
    <row r="24" spans="1:20" x14ac:dyDescent="0.25">
      <c r="A24" s="33">
        <v>30007372</v>
      </c>
      <c r="B24" s="36" t="s">
        <v>809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1208</v>
      </c>
      <c r="L24" s="40"/>
      <c r="M24" s="40"/>
      <c r="N24" s="37"/>
      <c r="O24" s="36"/>
      <c r="P24" s="42"/>
      <c r="Q24" s="40"/>
      <c r="R24" s="39" t="s">
        <v>1213</v>
      </c>
      <c r="S24" s="44" t="s">
        <v>67</v>
      </c>
      <c r="T24" s="3" t="s">
        <v>1449</v>
      </c>
    </row>
    <row r="25" spans="1:20" x14ac:dyDescent="0.25">
      <c r="A25" s="33">
        <v>30007374</v>
      </c>
      <c r="B25" s="36" t="s">
        <v>810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1451</v>
      </c>
      <c r="K25" s="39" t="s">
        <v>1208</v>
      </c>
      <c r="L25" s="40"/>
      <c r="M25" s="40"/>
      <c r="N25" s="37"/>
      <c r="O25" s="36"/>
      <c r="P25" s="42"/>
      <c r="Q25" s="40"/>
      <c r="R25" s="39" t="s">
        <v>1213</v>
      </c>
      <c r="S25" s="44" t="s">
        <v>67</v>
      </c>
      <c r="T25" s="3" t="s">
        <v>1449</v>
      </c>
    </row>
    <row r="26" spans="1:20" x14ac:dyDescent="0.25">
      <c r="A26" s="33">
        <v>30007375</v>
      </c>
      <c r="B26" s="36" t="s">
        <v>811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1451</v>
      </c>
      <c r="K26" s="39" t="s">
        <v>1208</v>
      </c>
      <c r="L26" s="40"/>
      <c r="M26" s="40"/>
      <c r="N26" s="37"/>
      <c r="O26" s="36"/>
      <c r="P26" s="42"/>
      <c r="Q26" s="40"/>
      <c r="R26" s="39" t="s">
        <v>1213</v>
      </c>
      <c r="S26" s="44" t="s">
        <v>67</v>
      </c>
      <c r="T26" s="3" t="s">
        <v>1449</v>
      </c>
    </row>
    <row r="27" spans="1:20" x14ac:dyDescent="0.25">
      <c r="A27" s="33">
        <v>30007378</v>
      </c>
      <c r="B27" s="36" t="s">
        <v>812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1208</v>
      </c>
      <c r="L27" s="40"/>
      <c r="M27" s="40"/>
      <c r="N27" s="37"/>
      <c r="O27" s="36"/>
      <c r="P27" s="42"/>
      <c r="Q27" s="40"/>
      <c r="R27" s="39" t="s">
        <v>1213</v>
      </c>
      <c r="S27" s="44" t="s">
        <v>67</v>
      </c>
      <c r="T27" s="3" t="s">
        <v>1449</v>
      </c>
    </row>
    <row r="28" spans="1:20" x14ac:dyDescent="0.25">
      <c r="A28" s="33">
        <v>30007380</v>
      </c>
      <c r="B28" s="36" t="s">
        <v>813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1208</v>
      </c>
      <c r="L28" s="40"/>
      <c r="M28" s="40"/>
      <c r="N28" s="37"/>
      <c r="O28" s="36"/>
      <c r="P28" s="42"/>
      <c r="Q28" s="40"/>
      <c r="R28" s="39" t="s">
        <v>1213</v>
      </c>
      <c r="S28" s="44" t="s">
        <v>67</v>
      </c>
      <c r="T28" s="3" t="s">
        <v>1450</v>
      </c>
    </row>
    <row r="29" spans="1:20" x14ac:dyDescent="0.25">
      <c r="A29" s="33">
        <v>30007383</v>
      </c>
      <c r="B29" s="36" t="s">
        <v>815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1208</v>
      </c>
      <c r="L29" s="40"/>
      <c r="M29" s="40"/>
      <c r="N29" s="37"/>
      <c r="O29" s="36"/>
      <c r="P29" s="42"/>
      <c r="Q29" s="40"/>
      <c r="R29" s="39" t="s">
        <v>1213</v>
      </c>
      <c r="S29" s="44" t="s">
        <v>67</v>
      </c>
      <c r="T29" s="3" t="s">
        <v>1449</v>
      </c>
    </row>
    <row r="30" spans="1:20" x14ac:dyDescent="0.25">
      <c r="A30" s="33">
        <v>30007386</v>
      </c>
      <c r="B30" s="36" t="s">
        <v>817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1451</v>
      </c>
      <c r="K30" s="39" t="s">
        <v>1208</v>
      </c>
      <c r="L30" s="40"/>
      <c r="M30" s="40"/>
      <c r="N30" s="37"/>
      <c r="O30" s="36"/>
      <c r="P30" s="42"/>
      <c r="Q30" s="40"/>
      <c r="R30" s="39" t="s">
        <v>1213</v>
      </c>
      <c r="S30" s="44" t="s">
        <v>67</v>
      </c>
      <c r="T30" s="3" t="s">
        <v>1450</v>
      </c>
    </row>
    <row r="31" spans="1:20" x14ac:dyDescent="0.25">
      <c r="A31" s="33">
        <v>30007388</v>
      </c>
      <c r="B31" s="36" t="s">
        <v>819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1208</v>
      </c>
      <c r="L31" s="40"/>
      <c r="M31" s="40"/>
      <c r="N31" s="37"/>
      <c r="O31" s="36"/>
      <c r="P31" s="42"/>
      <c r="Q31" s="40"/>
      <c r="R31" s="39" t="s">
        <v>1213</v>
      </c>
      <c r="S31" s="44" t="s">
        <v>67</v>
      </c>
      <c r="T31" s="3" t="s">
        <v>1449</v>
      </c>
    </row>
    <row r="32" spans="1:20" x14ac:dyDescent="0.25">
      <c r="A32" s="33">
        <v>30007389</v>
      </c>
      <c r="B32" s="36" t="s">
        <v>820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1451</v>
      </c>
      <c r="K32" s="39" t="s">
        <v>1208</v>
      </c>
      <c r="L32" s="40"/>
      <c r="M32" s="40"/>
      <c r="N32" s="37"/>
      <c r="O32" s="36"/>
      <c r="P32" s="42"/>
      <c r="Q32" s="40"/>
      <c r="R32" s="39" t="s">
        <v>1213</v>
      </c>
      <c r="S32" s="44" t="s">
        <v>67</v>
      </c>
      <c r="T32" s="3" t="s">
        <v>1449</v>
      </c>
    </row>
    <row r="33" spans="1:20" x14ac:dyDescent="0.25">
      <c r="A33" s="33">
        <v>30007390</v>
      </c>
      <c r="B33" s="36" t="s">
        <v>821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1451</v>
      </c>
      <c r="K33" s="39" t="s">
        <v>1208</v>
      </c>
      <c r="L33" s="40"/>
      <c r="M33" s="40"/>
      <c r="N33" s="37"/>
      <c r="O33" s="36"/>
      <c r="P33" s="42"/>
      <c r="Q33" s="40"/>
      <c r="R33" s="39" t="s">
        <v>1213</v>
      </c>
      <c r="S33" s="44" t="s">
        <v>67</v>
      </c>
      <c r="T33" s="3" t="s">
        <v>1449</v>
      </c>
    </row>
    <row r="34" spans="1:20" x14ac:dyDescent="0.25">
      <c r="A34" s="33">
        <v>30007391</v>
      </c>
      <c r="B34" s="36" t="s">
        <v>822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1208</v>
      </c>
      <c r="L34" s="40"/>
      <c r="M34" s="40"/>
      <c r="N34" s="37"/>
      <c r="O34" s="36"/>
      <c r="P34" s="42"/>
      <c r="Q34" s="40"/>
      <c r="R34" s="39" t="s">
        <v>1213</v>
      </c>
      <c r="S34" s="44" t="s">
        <v>67</v>
      </c>
      <c r="T34" s="3" t="s">
        <v>1449</v>
      </c>
    </row>
    <row r="35" spans="1:20" x14ac:dyDescent="0.25">
      <c r="A35" s="33">
        <v>30007396</v>
      </c>
      <c r="B35" s="36" t="s">
        <v>876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1451</v>
      </c>
      <c r="K35" s="39" t="s">
        <v>1208</v>
      </c>
      <c r="L35" s="40"/>
      <c r="M35" s="40"/>
      <c r="N35" s="37"/>
      <c r="O35" s="36"/>
      <c r="P35" s="42"/>
      <c r="Q35" s="40"/>
      <c r="R35" s="39" t="s">
        <v>1213</v>
      </c>
      <c r="S35" s="44" t="s">
        <v>74</v>
      </c>
      <c r="T35" s="3" t="s">
        <v>1449</v>
      </c>
    </row>
    <row r="36" spans="1:20" x14ac:dyDescent="0.25">
      <c r="A36" s="33">
        <v>30007403</v>
      </c>
      <c r="B36" s="36" t="s">
        <v>1074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1208</v>
      </c>
      <c r="L36" s="40"/>
      <c r="M36" s="40"/>
      <c r="N36" s="37"/>
      <c r="O36" s="36"/>
      <c r="P36" s="42"/>
      <c r="Q36" s="40"/>
      <c r="R36" s="39" t="s">
        <v>1213</v>
      </c>
      <c r="S36" s="44" t="s">
        <v>66</v>
      </c>
      <c r="T36" s="3" t="s">
        <v>1449</v>
      </c>
    </row>
    <row r="37" spans="1:20" x14ac:dyDescent="0.25">
      <c r="A37" s="33">
        <v>30007405</v>
      </c>
      <c r="B37" s="36" t="s">
        <v>825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1208</v>
      </c>
      <c r="L37" s="40"/>
      <c r="M37" s="40"/>
      <c r="N37" s="37"/>
      <c r="O37" s="36"/>
      <c r="P37" s="42"/>
      <c r="Q37" s="40"/>
      <c r="R37" s="39" t="s">
        <v>1213</v>
      </c>
      <c r="S37" s="44" t="s">
        <v>67</v>
      </c>
      <c r="T37" s="3" t="s">
        <v>1449</v>
      </c>
    </row>
    <row r="38" spans="1:20" x14ac:dyDescent="0.25">
      <c r="A38" s="33">
        <v>30007406</v>
      </c>
      <c r="B38" s="36" t="s">
        <v>826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1208</v>
      </c>
      <c r="L38" s="40"/>
      <c r="M38" s="40"/>
      <c r="N38" s="37"/>
      <c r="O38" s="36"/>
      <c r="P38" s="42"/>
      <c r="Q38" s="40"/>
      <c r="R38" s="39" t="s">
        <v>1213</v>
      </c>
      <c r="S38" s="44" t="s">
        <v>67</v>
      </c>
      <c r="T38" s="3" t="s">
        <v>1449</v>
      </c>
    </row>
    <row r="39" spans="1:20" x14ac:dyDescent="0.25">
      <c r="A39" s="33">
        <v>30007407</v>
      </c>
      <c r="B39" s="36" t="s">
        <v>827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1208</v>
      </c>
      <c r="L39" s="40"/>
      <c r="M39" s="40"/>
      <c r="N39" s="37"/>
      <c r="O39" s="36"/>
      <c r="P39" s="42"/>
      <c r="Q39" s="40"/>
      <c r="R39" s="39" t="s">
        <v>1213</v>
      </c>
      <c r="S39" s="44" t="s">
        <v>67</v>
      </c>
      <c r="T39" s="3" t="s">
        <v>1449</v>
      </c>
    </row>
    <row r="40" spans="1:20" x14ac:dyDescent="0.25">
      <c r="A40" s="33">
        <v>30007410</v>
      </c>
      <c r="B40" s="36" t="s">
        <v>828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1451</v>
      </c>
      <c r="K40" s="39" t="s">
        <v>1208</v>
      </c>
      <c r="L40" s="40"/>
      <c r="M40" s="40"/>
      <c r="N40" s="37"/>
      <c r="O40" s="36"/>
      <c r="P40" s="42"/>
      <c r="Q40" s="40"/>
      <c r="R40" s="39" t="s">
        <v>1213</v>
      </c>
      <c r="S40" s="44" t="s">
        <v>67</v>
      </c>
      <c r="T40" s="3" t="s">
        <v>1450</v>
      </c>
    </row>
    <row r="41" spans="1:20" x14ac:dyDescent="0.25">
      <c r="A41" s="33">
        <v>30007413</v>
      </c>
      <c r="B41" s="36" t="s">
        <v>1145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1208</v>
      </c>
      <c r="L41" s="40"/>
      <c r="M41" s="40"/>
      <c r="N41" s="37"/>
      <c r="O41" s="36"/>
      <c r="P41" s="42"/>
      <c r="Q41" s="40"/>
      <c r="R41" s="39" t="s">
        <v>1213</v>
      </c>
      <c r="S41" s="44" t="s">
        <v>66</v>
      </c>
      <c r="T41" s="3" t="s">
        <v>1449</v>
      </c>
    </row>
    <row r="42" spans="1:20" x14ac:dyDescent="0.25">
      <c r="A42" s="33">
        <v>30007424</v>
      </c>
      <c r="B42" s="36" t="s">
        <v>831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1208</v>
      </c>
      <c r="L42" s="40"/>
      <c r="M42" s="40"/>
      <c r="N42" s="37"/>
      <c r="O42" s="36"/>
      <c r="P42" s="42"/>
      <c r="Q42" s="40"/>
      <c r="R42" s="39" t="s">
        <v>1213</v>
      </c>
      <c r="S42" s="44" t="s">
        <v>67</v>
      </c>
      <c r="T42" s="3" t="s">
        <v>1449</v>
      </c>
    </row>
    <row r="43" spans="1:20" x14ac:dyDescent="0.25">
      <c r="A43" s="33">
        <v>30007425</v>
      </c>
      <c r="B43" s="36" t="s">
        <v>832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1451</v>
      </c>
      <c r="K43" s="39" t="s">
        <v>1208</v>
      </c>
      <c r="L43" s="40"/>
      <c r="M43" s="40"/>
      <c r="N43" s="37"/>
      <c r="O43" s="36"/>
      <c r="P43" s="42"/>
      <c r="Q43" s="40"/>
      <c r="R43" s="39" t="s">
        <v>1213</v>
      </c>
      <c r="S43" s="44" t="s">
        <v>67</v>
      </c>
      <c r="T43" s="3" t="s">
        <v>1450</v>
      </c>
    </row>
    <row r="44" spans="1:20" x14ac:dyDescent="0.25">
      <c r="A44" s="33">
        <v>30007430</v>
      </c>
      <c r="B44" s="36" t="s">
        <v>833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1451</v>
      </c>
      <c r="K44" s="39" t="s">
        <v>1208</v>
      </c>
      <c r="L44" s="40"/>
      <c r="M44" s="40"/>
      <c r="N44" s="37"/>
      <c r="O44" s="36"/>
      <c r="P44" s="42"/>
      <c r="Q44" s="40"/>
      <c r="R44" s="39" t="s">
        <v>1213</v>
      </c>
      <c r="S44" s="44" t="s">
        <v>67</v>
      </c>
      <c r="T44" s="3" t="s">
        <v>1450</v>
      </c>
    </row>
    <row r="45" spans="1:20" x14ac:dyDescent="0.25">
      <c r="A45" s="33">
        <v>30007431</v>
      </c>
      <c r="B45" s="36" t="s">
        <v>834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1208</v>
      </c>
      <c r="L45" s="40"/>
      <c r="M45" s="40"/>
      <c r="N45" s="37"/>
      <c r="O45" s="36"/>
      <c r="P45" s="42"/>
      <c r="Q45" s="40"/>
      <c r="R45" s="39" t="s">
        <v>1213</v>
      </c>
      <c r="S45" s="44" t="s">
        <v>67</v>
      </c>
      <c r="T45" s="3" t="s">
        <v>1449</v>
      </c>
    </row>
    <row r="46" spans="1:20" x14ac:dyDescent="0.25">
      <c r="A46" s="33">
        <v>30007432</v>
      </c>
      <c r="B46" s="36" t="s">
        <v>835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1208</v>
      </c>
      <c r="L46" s="40"/>
      <c r="M46" s="40"/>
      <c r="N46" s="37"/>
      <c r="O46" s="36"/>
      <c r="P46" s="42"/>
      <c r="Q46" s="40"/>
      <c r="R46" s="39" t="s">
        <v>1213</v>
      </c>
      <c r="S46" s="44" t="s">
        <v>67</v>
      </c>
      <c r="T46" s="3" t="s">
        <v>1449</v>
      </c>
    </row>
    <row r="47" spans="1:20" x14ac:dyDescent="0.25">
      <c r="A47" s="33">
        <v>30007435</v>
      </c>
      <c r="B47" s="36" t="s">
        <v>838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1208</v>
      </c>
      <c r="L47" s="40"/>
      <c r="M47" s="40"/>
      <c r="N47" s="37"/>
      <c r="O47" s="36"/>
      <c r="P47" s="42"/>
      <c r="Q47" s="40"/>
      <c r="R47" s="39" t="s">
        <v>1213</v>
      </c>
      <c r="S47" s="44" t="s">
        <v>67</v>
      </c>
      <c r="T47" s="3" t="s">
        <v>1449</v>
      </c>
    </row>
    <row r="48" spans="1:20" x14ac:dyDescent="0.25">
      <c r="A48" s="33">
        <v>30007436</v>
      </c>
      <c r="B48" s="36" t="s">
        <v>839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1208</v>
      </c>
      <c r="L48" s="40"/>
      <c r="M48" s="40"/>
      <c r="N48" s="37"/>
      <c r="O48" s="36"/>
      <c r="P48" s="42"/>
      <c r="Q48" s="40"/>
      <c r="R48" s="39" t="s">
        <v>1213</v>
      </c>
      <c r="S48" s="44" t="s">
        <v>67</v>
      </c>
      <c r="T48" s="3" t="s">
        <v>1449</v>
      </c>
    </row>
    <row r="49" spans="1:20" x14ac:dyDescent="0.25">
      <c r="A49" s="33">
        <v>30007440</v>
      </c>
      <c r="B49" s="36" t="s">
        <v>841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1451</v>
      </c>
      <c r="K49" s="39" t="s">
        <v>1208</v>
      </c>
      <c r="L49" s="40"/>
      <c r="M49" s="40"/>
      <c r="N49" s="37"/>
      <c r="O49" s="36"/>
      <c r="P49" s="42"/>
      <c r="Q49" s="40"/>
      <c r="R49" s="39" t="s">
        <v>1213</v>
      </c>
      <c r="S49" s="44" t="s">
        <v>67</v>
      </c>
      <c r="T49" s="3" t="s">
        <v>1449</v>
      </c>
    </row>
    <row r="50" spans="1:20" x14ac:dyDescent="0.25">
      <c r="A50" s="33">
        <v>30007441</v>
      </c>
      <c r="B50" s="36" t="s">
        <v>842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1208</v>
      </c>
      <c r="L50" s="40"/>
      <c r="M50" s="40"/>
      <c r="N50" s="37"/>
      <c r="O50" s="36"/>
      <c r="P50" s="42"/>
      <c r="Q50" s="40"/>
      <c r="R50" s="39" t="s">
        <v>1213</v>
      </c>
      <c r="S50" s="44" t="s">
        <v>67</v>
      </c>
      <c r="T50" s="3" t="s">
        <v>1449</v>
      </c>
    </row>
    <row r="51" spans="1:20" x14ac:dyDescent="0.25">
      <c r="A51" s="33">
        <v>30007444</v>
      </c>
      <c r="B51" s="36" t="s">
        <v>844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1208</v>
      </c>
      <c r="L51" s="40"/>
      <c r="M51" s="40"/>
      <c r="N51" s="37"/>
      <c r="O51" s="36"/>
      <c r="P51" s="42"/>
      <c r="Q51" s="40"/>
      <c r="R51" s="39" t="s">
        <v>1213</v>
      </c>
      <c r="S51" s="44" t="s">
        <v>67</v>
      </c>
      <c r="T51" s="3" t="s">
        <v>1449</v>
      </c>
    </row>
    <row r="52" spans="1:20" x14ac:dyDescent="0.25">
      <c r="A52" s="33">
        <v>30008664</v>
      </c>
      <c r="B52" s="36" t="s">
        <v>1075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1208</v>
      </c>
      <c r="L52" s="40"/>
      <c r="M52" s="40"/>
      <c r="N52" s="37"/>
      <c r="O52" s="36"/>
      <c r="P52" s="42"/>
      <c r="Q52" s="40"/>
      <c r="R52" s="39" t="s">
        <v>1213</v>
      </c>
      <c r="S52" s="44" t="s">
        <v>74</v>
      </c>
      <c r="T52" s="3" t="s">
        <v>1449</v>
      </c>
    </row>
    <row r="53" spans="1:20" x14ac:dyDescent="0.25">
      <c r="A53" s="33">
        <v>30008667</v>
      </c>
      <c r="B53" s="36" t="s">
        <v>879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1451</v>
      </c>
      <c r="K53" s="39" t="s">
        <v>1208</v>
      </c>
      <c r="L53" s="40"/>
      <c r="M53" s="40"/>
      <c r="N53" s="37"/>
      <c r="O53" s="36"/>
      <c r="P53" s="42"/>
      <c r="Q53" s="40"/>
      <c r="R53" s="39" t="s">
        <v>1213</v>
      </c>
      <c r="S53" s="44" t="s">
        <v>74</v>
      </c>
      <c r="T53" s="3" t="s">
        <v>1449</v>
      </c>
    </row>
    <row r="54" spans="1:20" x14ac:dyDescent="0.25">
      <c r="A54" s="33">
        <v>30008668</v>
      </c>
      <c r="B54" s="36" t="s">
        <v>880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1451</v>
      </c>
      <c r="K54" s="39" t="s">
        <v>1208</v>
      </c>
      <c r="L54" s="40"/>
      <c r="M54" s="40"/>
      <c r="N54" s="37"/>
      <c r="O54" s="36"/>
      <c r="P54" s="42"/>
      <c r="Q54" s="40"/>
      <c r="R54" s="39" t="s">
        <v>1213</v>
      </c>
      <c r="S54" s="44" t="s">
        <v>74</v>
      </c>
      <c r="T54" s="3" t="s">
        <v>1449</v>
      </c>
    </row>
    <row r="55" spans="1:20" x14ac:dyDescent="0.25">
      <c r="A55" s="33">
        <v>30008678</v>
      </c>
      <c r="B55" s="36" t="s">
        <v>881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1451</v>
      </c>
      <c r="K55" s="39" t="s">
        <v>1208</v>
      </c>
      <c r="L55" s="40"/>
      <c r="M55" s="40"/>
      <c r="N55" s="37"/>
      <c r="O55" s="36"/>
      <c r="P55" s="42"/>
      <c r="Q55" s="40"/>
      <c r="R55" s="39" t="s">
        <v>1213</v>
      </c>
      <c r="S55" s="44" t="s">
        <v>74</v>
      </c>
      <c r="T55" s="3" t="s">
        <v>1449</v>
      </c>
    </row>
    <row r="56" spans="1:20" x14ac:dyDescent="0.25">
      <c r="A56" s="33">
        <v>30008684</v>
      </c>
      <c r="B56" s="36" t="s">
        <v>882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1451</v>
      </c>
      <c r="K56" s="39" t="s">
        <v>1208</v>
      </c>
      <c r="L56" s="40"/>
      <c r="M56" s="40"/>
      <c r="N56" s="37"/>
      <c r="O56" s="36"/>
      <c r="P56" s="42"/>
      <c r="Q56" s="40"/>
      <c r="R56" s="39" t="s">
        <v>1213</v>
      </c>
      <c r="S56" s="44" t="s">
        <v>74</v>
      </c>
      <c r="T56" s="3" t="s">
        <v>1449</v>
      </c>
    </row>
    <row r="57" spans="1:20" x14ac:dyDescent="0.25">
      <c r="A57" s="33">
        <v>30008685</v>
      </c>
      <c r="B57" s="36" t="s">
        <v>883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1451</v>
      </c>
      <c r="K57" s="39" t="s">
        <v>1208</v>
      </c>
      <c r="L57" s="40"/>
      <c r="M57" s="40"/>
      <c r="N57" s="37"/>
      <c r="O57" s="36"/>
      <c r="P57" s="42"/>
      <c r="Q57" s="40"/>
      <c r="R57" s="39" t="s">
        <v>1213</v>
      </c>
      <c r="S57" s="44" t="s">
        <v>74</v>
      </c>
      <c r="T57" s="3" t="s">
        <v>1449</v>
      </c>
    </row>
    <row r="58" spans="1:20" x14ac:dyDescent="0.25">
      <c r="A58" s="33">
        <v>30008686</v>
      </c>
      <c r="B58" s="36" t="s">
        <v>884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1451</v>
      </c>
      <c r="K58" s="39" t="s">
        <v>1208</v>
      </c>
      <c r="L58" s="40"/>
      <c r="M58" s="40"/>
      <c r="N58" s="37"/>
      <c r="O58" s="36"/>
      <c r="P58" s="42"/>
      <c r="Q58" s="40"/>
      <c r="R58" s="39" t="s">
        <v>1213</v>
      </c>
      <c r="S58" s="44" t="s">
        <v>74</v>
      </c>
      <c r="T58" s="3" t="s">
        <v>1450</v>
      </c>
    </row>
    <row r="59" spans="1:20" x14ac:dyDescent="0.25">
      <c r="A59" s="33">
        <v>30008693</v>
      </c>
      <c r="B59" s="36" t="s">
        <v>1025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1208</v>
      </c>
      <c r="L59" s="40"/>
      <c r="M59" s="40"/>
      <c r="N59" s="37"/>
      <c r="O59" s="36"/>
      <c r="P59" s="42"/>
      <c r="Q59" s="40"/>
      <c r="R59" s="39" t="s">
        <v>1213</v>
      </c>
      <c r="S59" s="44" t="s">
        <v>74</v>
      </c>
      <c r="T59" s="3" t="s">
        <v>1449</v>
      </c>
    </row>
    <row r="60" spans="1:20" x14ac:dyDescent="0.25">
      <c r="A60" s="33">
        <v>30008705</v>
      </c>
      <c r="B60" s="36" t="s">
        <v>885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1451</v>
      </c>
      <c r="K60" s="39" t="s">
        <v>1208</v>
      </c>
      <c r="L60" s="40"/>
      <c r="M60" s="40"/>
      <c r="N60" s="37"/>
      <c r="O60" s="36"/>
      <c r="P60" s="42"/>
      <c r="Q60" s="40"/>
      <c r="R60" s="39" t="s">
        <v>1213</v>
      </c>
      <c r="S60" s="44" t="s">
        <v>74</v>
      </c>
      <c r="T60" s="3" t="s">
        <v>1449</v>
      </c>
    </row>
    <row r="61" spans="1:20" x14ac:dyDescent="0.25">
      <c r="A61" s="33">
        <v>30008707</v>
      </c>
      <c r="B61" s="36" t="s">
        <v>1026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1208</v>
      </c>
      <c r="L61" s="40"/>
      <c r="M61" s="40"/>
      <c r="N61" s="37"/>
      <c r="O61" s="36"/>
      <c r="P61" s="42"/>
      <c r="Q61" s="40"/>
      <c r="R61" s="39" t="s">
        <v>1213</v>
      </c>
      <c r="S61" s="44" t="s">
        <v>74</v>
      </c>
      <c r="T61" s="3" t="s">
        <v>1449</v>
      </c>
    </row>
    <row r="62" spans="1:20" x14ac:dyDescent="0.25">
      <c r="A62" s="33">
        <v>30008708</v>
      </c>
      <c r="B62" s="36" t="s">
        <v>886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1451</v>
      </c>
      <c r="K62" s="39" t="s">
        <v>1208</v>
      </c>
      <c r="L62" s="40"/>
      <c r="M62" s="40"/>
      <c r="N62" s="37"/>
      <c r="O62" s="36"/>
      <c r="P62" s="42"/>
      <c r="Q62" s="40"/>
      <c r="R62" s="39" t="s">
        <v>1213</v>
      </c>
      <c r="S62" s="44" t="s">
        <v>74</v>
      </c>
      <c r="T62" s="3" t="s">
        <v>1449</v>
      </c>
    </row>
    <row r="63" spans="1:20" x14ac:dyDescent="0.25">
      <c r="A63" s="33">
        <v>30008726</v>
      </c>
      <c r="B63" s="36" t="s">
        <v>1027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1208</v>
      </c>
      <c r="L63" s="40"/>
      <c r="M63" s="40"/>
      <c r="N63" s="37"/>
      <c r="O63" s="36"/>
      <c r="P63" s="42"/>
      <c r="Q63" s="40"/>
      <c r="R63" s="39" t="s">
        <v>1213</v>
      </c>
      <c r="S63" s="44" t="s">
        <v>74</v>
      </c>
      <c r="T63" s="3" t="s">
        <v>1449</v>
      </c>
    </row>
    <row r="64" spans="1:20" x14ac:dyDescent="0.25">
      <c r="A64" s="33">
        <v>30008730</v>
      </c>
      <c r="B64" s="36" t="s">
        <v>1028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1208</v>
      </c>
      <c r="L64" s="40"/>
      <c r="M64" s="40"/>
      <c r="N64" s="37"/>
      <c r="O64" s="36"/>
      <c r="P64" s="42"/>
      <c r="Q64" s="40"/>
      <c r="R64" s="39" t="s">
        <v>1213</v>
      </c>
      <c r="S64" s="44" t="s">
        <v>66</v>
      </c>
      <c r="T64" s="3" t="s">
        <v>1449</v>
      </c>
    </row>
    <row r="65" spans="1:20" x14ac:dyDescent="0.25">
      <c r="A65" s="33">
        <v>30008776</v>
      </c>
      <c r="B65" s="36" t="s">
        <v>1078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1208</v>
      </c>
      <c r="L65" s="40"/>
      <c r="M65" s="40"/>
      <c r="N65" s="37"/>
      <c r="O65" s="36"/>
      <c r="P65" s="42"/>
      <c r="Q65" s="40"/>
      <c r="R65" s="39" t="s">
        <v>1213</v>
      </c>
      <c r="S65" s="44" t="s">
        <v>74</v>
      </c>
      <c r="T65" s="3" t="s">
        <v>1449</v>
      </c>
    </row>
    <row r="66" spans="1:20" x14ac:dyDescent="0.25">
      <c r="A66" s="33">
        <v>30008779</v>
      </c>
      <c r="B66" s="36" t="s">
        <v>1031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1208</v>
      </c>
      <c r="L66" s="40"/>
      <c r="M66" s="40"/>
      <c r="N66" s="37"/>
      <c r="O66" s="36"/>
      <c r="P66" s="42"/>
      <c r="Q66" s="40"/>
      <c r="R66" s="39" t="s">
        <v>1213</v>
      </c>
      <c r="S66" s="44" t="s">
        <v>74</v>
      </c>
      <c r="T66" s="3" t="s">
        <v>1449</v>
      </c>
    </row>
    <row r="67" spans="1:20" x14ac:dyDescent="0.25">
      <c r="A67" s="33">
        <v>30008781</v>
      </c>
      <c r="B67" s="36" t="s">
        <v>1079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1208</v>
      </c>
      <c r="L67" s="40"/>
      <c r="M67" s="40"/>
      <c r="N67" s="37"/>
      <c r="O67" s="36"/>
      <c r="P67" s="42"/>
      <c r="Q67" s="40"/>
      <c r="R67" s="39" t="s">
        <v>1213</v>
      </c>
      <c r="S67" s="44" t="s">
        <v>74</v>
      </c>
      <c r="T67" s="3" t="s">
        <v>1449</v>
      </c>
    </row>
    <row r="68" spans="1:20" x14ac:dyDescent="0.25">
      <c r="A68" s="33">
        <v>30008803</v>
      </c>
      <c r="B68" s="36" t="s">
        <v>1081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1451</v>
      </c>
      <c r="K68" s="39" t="s">
        <v>1208</v>
      </c>
      <c r="L68" s="40"/>
      <c r="M68" s="40"/>
      <c r="N68" s="37"/>
      <c r="O68" s="36"/>
      <c r="P68" s="42"/>
      <c r="Q68" s="40"/>
      <c r="R68" s="39" t="s">
        <v>1213</v>
      </c>
      <c r="S68" s="44" t="s">
        <v>74</v>
      </c>
      <c r="T68" s="3" t="s">
        <v>1449</v>
      </c>
    </row>
    <row r="69" spans="1:20" x14ac:dyDescent="0.25">
      <c r="A69" s="33">
        <v>30008804</v>
      </c>
      <c r="B69" s="36" t="s">
        <v>1082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1451</v>
      </c>
      <c r="K69" s="39" t="s">
        <v>1208</v>
      </c>
      <c r="L69" s="40"/>
      <c r="M69" s="40"/>
      <c r="N69" s="37"/>
      <c r="O69" s="36"/>
      <c r="P69" s="42"/>
      <c r="Q69" s="40"/>
      <c r="R69" s="39" t="s">
        <v>1213</v>
      </c>
      <c r="S69" s="44" t="s">
        <v>74</v>
      </c>
      <c r="T69" s="3" t="s">
        <v>1449</v>
      </c>
    </row>
    <row r="70" spans="1:20" x14ac:dyDescent="0.25">
      <c r="A70" s="33">
        <v>30008811</v>
      </c>
      <c r="B70" s="36" t="s">
        <v>1042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1208</v>
      </c>
      <c r="L70" s="40"/>
      <c r="M70" s="40"/>
      <c r="N70" s="37"/>
      <c r="O70" s="36"/>
      <c r="P70" s="42"/>
      <c r="Q70" s="40"/>
      <c r="R70" s="39" t="s">
        <v>1213</v>
      </c>
      <c r="S70" s="44" t="s">
        <v>74</v>
      </c>
      <c r="T70" s="3" t="s">
        <v>1449</v>
      </c>
    </row>
    <row r="71" spans="1:20" x14ac:dyDescent="0.25">
      <c r="A71" s="33">
        <v>30008812</v>
      </c>
      <c r="B71" s="36" t="s">
        <v>1043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1208</v>
      </c>
      <c r="L71" s="40"/>
      <c r="M71" s="40"/>
      <c r="N71" s="37"/>
      <c r="O71" s="36"/>
      <c r="P71" s="42"/>
      <c r="Q71" s="40"/>
      <c r="R71" s="39" t="s">
        <v>1213</v>
      </c>
      <c r="S71" s="44" t="s">
        <v>74</v>
      </c>
      <c r="T71" s="3" t="s">
        <v>1449</v>
      </c>
    </row>
    <row r="72" spans="1:20" x14ac:dyDescent="0.25">
      <c r="A72" s="33">
        <v>30008813</v>
      </c>
      <c r="B72" s="36" t="s">
        <v>1044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1208</v>
      </c>
      <c r="L72" s="40"/>
      <c r="M72" s="40"/>
      <c r="N72" s="37"/>
      <c r="O72" s="36"/>
      <c r="P72" s="42"/>
      <c r="Q72" s="40"/>
      <c r="R72" s="39" t="s">
        <v>1213</v>
      </c>
      <c r="S72" s="44" t="s">
        <v>74</v>
      </c>
      <c r="T72" s="3" t="s">
        <v>1449</v>
      </c>
    </row>
    <row r="73" spans="1:20" x14ac:dyDescent="0.25">
      <c r="A73" s="33">
        <v>30008814</v>
      </c>
      <c r="B73" s="36" t="s">
        <v>1045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1208</v>
      </c>
      <c r="L73" s="40"/>
      <c r="M73" s="40"/>
      <c r="N73" s="37"/>
      <c r="O73" s="36"/>
      <c r="P73" s="42"/>
      <c r="Q73" s="40"/>
      <c r="R73" s="39" t="s">
        <v>1213</v>
      </c>
      <c r="S73" s="44" t="s">
        <v>74</v>
      </c>
      <c r="T73" s="3" t="s">
        <v>1449</v>
      </c>
    </row>
    <row r="74" spans="1:20" x14ac:dyDescent="0.25">
      <c r="A74" s="33">
        <v>30008816</v>
      </c>
      <c r="B74" s="36" t="s">
        <v>1047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1208</v>
      </c>
      <c r="L74" s="40"/>
      <c r="M74" s="40"/>
      <c r="N74" s="37"/>
      <c r="O74" s="36"/>
      <c r="P74" s="42"/>
      <c r="Q74" s="40"/>
      <c r="R74" s="39" t="s">
        <v>1213</v>
      </c>
      <c r="S74" s="44" t="s">
        <v>74</v>
      </c>
      <c r="T74" s="3" t="s">
        <v>1450</v>
      </c>
    </row>
    <row r="75" spans="1:20" x14ac:dyDescent="0.25">
      <c r="A75" s="33">
        <v>30016955</v>
      </c>
      <c r="B75" s="36" t="s">
        <v>888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1208</v>
      </c>
      <c r="L75" s="40"/>
      <c r="M75" s="40"/>
      <c r="N75" s="37"/>
      <c r="O75" s="36"/>
      <c r="P75" s="42"/>
      <c r="Q75" s="40"/>
      <c r="R75" s="39" t="s">
        <v>1213</v>
      </c>
      <c r="S75" s="44" t="s">
        <v>74</v>
      </c>
      <c r="T75" s="3" t="s">
        <v>1449</v>
      </c>
    </row>
    <row r="76" spans="1:20" x14ac:dyDescent="0.25">
      <c r="A76" s="33">
        <v>30017121</v>
      </c>
      <c r="B76" s="36" t="s">
        <v>1148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1208</v>
      </c>
      <c r="L76" s="40"/>
      <c r="M76" s="40"/>
      <c r="N76" s="37"/>
      <c r="O76" s="36"/>
      <c r="P76" s="42"/>
      <c r="Q76" s="40"/>
      <c r="R76" s="39" t="s">
        <v>1213</v>
      </c>
      <c r="S76" s="44" t="s">
        <v>66</v>
      </c>
      <c r="T76" s="3" t="s">
        <v>1449</v>
      </c>
    </row>
    <row r="77" spans="1:20" x14ac:dyDescent="0.25">
      <c r="A77" s="33">
        <v>30021359</v>
      </c>
      <c r="B77" s="36" t="s">
        <v>893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1208</v>
      </c>
      <c r="L77" s="40"/>
      <c r="M77" s="40"/>
      <c r="N77" s="37"/>
      <c r="O77" s="36"/>
      <c r="P77" s="42"/>
      <c r="Q77" s="40"/>
      <c r="R77" s="39" t="s">
        <v>1213</v>
      </c>
      <c r="S77" s="44" t="s">
        <v>74</v>
      </c>
      <c r="T77" s="3" t="s">
        <v>1449</v>
      </c>
    </row>
    <row r="78" spans="1:20" x14ac:dyDescent="0.25">
      <c r="A78" s="33">
        <v>30023557</v>
      </c>
      <c r="B78" s="36" t="s">
        <v>594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1208</v>
      </c>
      <c r="L78" s="40"/>
      <c r="M78" s="40"/>
      <c r="N78" s="37"/>
      <c r="O78" s="36"/>
      <c r="P78" s="42"/>
      <c r="Q78" s="40"/>
      <c r="R78" s="39" t="s">
        <v>1213</v>
      </c>
      <c r="S78" s="44" t="s">
        <v>74</v>
      </c>
      <c r="T78" s="3" t="s">
        <v>1449</v>
      </c>
    </row>
    <row r="79" spans="1:20" x14ac:dyDescent="0.25">
      <c r="A79" s="33">
        <v>30023956</v>
      </c>
      <c r="B79" s="36" t="s">
        <v>1157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1208</v>
      </c>
      <c r="L79" s="40"/>
      <c r="M79" s="40"/>
      <c r="N79" s="37"/>
      <c r="O79" s="36"/>
      <c r="P79" s="42"/>
      <c r="Q79" s="40"/>
      <c r="R79" s="39" t="s">
        <v>1213</v>
      </c>
      <c r="S79" s="44" t="s">
        <v>74</v>
      </c>
      <c r="T79" s="3" t="s">
        <v>1449</v>
      </c>
    </row>
    <row r="80" spans="1:20" x14ac:dyDescent="0.25">
      <c r="A80" s="33">
        <v>30023958</v>
      </c>
      <c r="B80" s="36" t="s">
        <v>1158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1208</v>
      </c>
      <c r="L80" s="40"/>
      <c r="M80" s="40"/>
      <c r="N80" s="37"/>
      <c r="O80" s="36"/>
      <c r="P80" s="42"/>
      <c r="Q80" s="40"/>
      <c r="R80" s="39" t="s">
        <v>1213</v>
      </c>
      <c r="S80" s="44" t="s">
        <v>74</v>
      </c>
      <c r="T80" s="3" t="s">
        <v>1449</v>
      </c>
    </row>
    <row r="81" spans="1:20" x14ac:dyDescent="0.25">
      <c r="A81" s="33">
        <v>30023959</v>
      </c>
      <c r="B81" s="36" t="s">
        <v>1159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1208</v>
      </c>
      <c r="L81" s="40"/>
      <c r="M81" s="40"/>
      <c r="N81" s="37"/>
      <c r="O81" s="36"/>
      <c r="P81" s="42"/>
      <c r="Q81" s="40"/>
      <c r="R81" s="39" t="s">
        <v>1213</v>
      </c>
      <c r="S81" s="44" t="s">
        <v>74</v>
      </c>
      <c r="T81" s="3" t="s">
        <v>1449</v>
      </c>
    </row>
    <row r="82" spans="1:20" x14ac:dyDescent="0.25">
      <c r="A82" s="33">
        <v>30023963</v>
      </c>
      <c r="B82" s="36" t="s">
        <v>1161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1208</v>
      </c>
      <c r="L82" s="40"/>
      <c r="M82" s="40"/>
      <c r="N82" s="37"/>
      <c r="O82" s="36"/>
      <c r="P82" s="42"/>
      <c r="Q82" s="40"/>
      <c r="R82" s="39" t="s">
        <v>1213</v>
      </c>
      <c r="S82" s="44" t="s">
        <v>74</v>
      </c>
      <c r="T82" s="3" t="s">
        <v>1449</v>
      </c>
    </row>
    <row r="83" spans="1:20" x14ac:dyDescent="0.25">
      <c r="A83" s="33">
        <v>30023965</v>
      </c>
      <c r="B83" s="36" t="s">
        <v>1162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1208</v>
      </c>
      <c r="L83" s="40"/>
      <c r="M83" s="40"/>
      <c r="N83" s="37"/>
      <c r="O83" s="36"/>
      <c r="P83" s="42"/>
      <c r="Q83" s="40"/>
      <c r="R83" s="39" t="s">
        <v>1213</v>
      </c>
      <c r="S83" s="44" t="s">
        <v>74</v>
      </c>
      <c r="T83" s="3" t="s">
        <v>1449</v>
      </c>
    </row>
    <row r="84" spans="1:20" x14ac:dyDescent="0.25">
      <c r="A84" s="33">
        <v>30024786</v>
      </c>
      <c r="B84" s="36" t="s">
        <v>898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1208</v>
      </c>
      <c r="L84" s="40"/>
      <c r="M84" s="40"/>
      <c r="N84" s="37"/>
      <c r="O84" s="36"/>
      <c r="P84" s="42"/>
      <c r="Q84" s="40"/>
      <c r="R84" s="39" t="s">
        <v>1213</v>
      </c>
      <c r="S84" s="44" t="s">
        <v>66</v>
      </c>
      <c r="T84" s="3" t="s">
        <v>1449</v>
      </c>
    </row>
    <row r="85" spans="1:20" x14ac:dyDescent="0.25">
      <c r="A85" s="33">
        <v>30024787</v>
      </c>
      <c r="B85" s="36" t="s">
        <v>899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1208</v>
      </c>
      <c r="L85" s="40"/>
      <c r="M85" s="40"/>
      <c r="N85" s="37"/>
      <c r="O85" s="36"/>
      <c r="P85" s="42"/>
      <c r="Q85" s="40"/>
      <c r="R85" s="39" t="s">
        <v>1213</v>
      </c>
      <c r="S85" s="44" t="s">
        <v>66</v>
      </c>
      <c r="T85" s="3" t="s">
        <v>1449</v>
      </c>
    </row>
    <row r="86" spans="1:20" x14ac:dyDescent="0.25">
      <c r="A86" s="33">
        <v>30024790</v>
      </c>
      <c r="B86" s="36" t="s">
        <v>857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1208</v>
      </c>
      <c r="L86" s="40"/>
      <c r="M86" s="40"/>
      <c r="N86" s="37"/>
      <c r="O86" s="36"/>
      <c r="P86" s="42"/>
      <c r="Q86" s="40"/>
      <c r="R86" s="39" t="s">
        <v>1213</v>
      </c>
      <c r="S86" s="44" t="s">
        <v>67</v>
      </c>
      <c r="T86" s="3" t="s">
        <v>1449</v>
      </c>
    </row>
    <row r="87" spans="1:20" x14ac:dyDescent="0.25">
      <c r="A87" s="33">
        <v>30024794</v>
      </c>
      <c r="B87" s="36" t="s">
        <v>1164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1208</v>
      </c>
      <c r="L87" s="40"/>
      <c r="M87" s="40"/>
      <c r="N87" s="37"/>
      <c r="O87" s="36"/>
      <c r="P87" s="42"/>
      <c r="Q87" s="40"/>
      <c r="R87" s="39" t="s">
        <v>1213</v>
      </c>
      <c r="S87" s="44" t="s">
        <v>66</v>
      </c>
      <c r="T87" s="3" t="s">
        <v>1449</v>
      </c>
    </row>
    <row r="88" spans="1:20" x14ac:dyDescent="0.25">
      <c r="A88" s="33">
        <v>30024855</v>
      </c>
      <c r="B88" s="36" t="s">
        <v>901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1208</v>
      </c>
      <c r="L88" s="40"/>
      <c r="M88" s="40"/>
      <c r="N88" s="37"/>
      <c r="O88" s="36"/>
      <c r="P88" s="42"/>
      <c r="Q88" s="40"/>
      <c r="R88" s="39" t="s">
        <v>1213</v>
      </c>
      <c r="S88" s="44" t="s">
        <v>66</v>
      </c>
      <c r="T88" s="3" t="s">
        <v>1449</v>
      </c>
    </row>
    <row r="89" spans="1:20" x14ac:dyDescent="0.25">
      <c r="A89" s="33">
        <v>30024865</v>
      </c>
      <c r="B89" s="36" t="s">
        <v>902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1208</v>
      </c>
      <c r="L89" s="40"/>
      <c r="M89" s="40"/>
      <c r="N89" s="37"/>
      <c r="O89" s="36"/>
      <c r="P89" s="42"/>
      <c r="Q89" s="40"/>
      <c r="R89" s="39" t="s">
        <v>1213</v>
      </c>
      <c r="S89" s="44" t="s">
        <v>74</v>
      </c>
      <c r="T89" s="3" t="s">
        <v>1449</v>
      </c>
    </row>
    <row r="90" spans="1:20" x14ac:dyDescent="0.25">
      <c r="A90" s="33">
        <v>30029757</v>
      </c>
      <c r="B90" s="36" t="s">
        <v>1166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1208</v>
      </c>
      <c r="L90" s="40"/>
      <c r="M90" s="40"/>
      <c r="N90" s="37"/>
      <c r="O90" s="36"/>
      <c r="P90" s="42"/>
      <c r="Q90" s="40"/>
      <c r="R90" s="39" t="s">
        <v>1213</v>
      </c>
      <c r="S90" s="44" t="s">
        <v>70</v>
      </c>
      <c r="T90" s="3" t="s">
        <v>1449</v>
      </c>
    </row>
    <row r="91" spans="1:20" x14ac:dyDescent="0.25">
      <c r="A91" s="33">
        <v>30029934</v>
      </c>
      <c r="B91" s="36" t="s">
        <v>1167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1208</v>
      </c>
      <c r="L91" s="40"/>
      <c r="M91" s="40"/>
      <c r="N91" s="37"/>
      <c r="O91" s="36"/>
      <c r="P91" s="42"/>
      <c r="Q91" s="40"/>
      <c r="R91" s="39" t="s">
        <v>1213</v>
      </c>
      <c r="S91" s="44" t="s">
        <v>70</v>
      </c>
      <c r="T91" s="3" t="s">
        <v>1449</v>
      </c>
    </row>
    <row r="92" spans="1:20" x14ac:dyDescent="0.25">
      <c r="A92" s="33">
        <v>30030285</v>
      </c>
      <c r="B92" s="36" t="s">
        <v>906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1208</v>
      </c>
      <c r="L92" s="40"/>
      <c r="M92" s="40"/>
      <c r="N92" s="37"/>
      <c r="O92" s="36"/>
      <c r="P92" s="42"/>
      <c r="Q92" s="40"/>
      <c r="R92" s="39" t="s">
        <v>1213</v>
      </c>
      <c r="S92" s="44" t="s">
        <v>74</v>
      </c>
      <c r="T92" s="3" t="s">
        <v>1449</v>
      </c>
    </row>
    <row r="93" spans="1:20" x14ac:dyDescent="0.25">
      <c r="A93" s="33">
        <v>30030294</v>
      </c>
      <c r="B93" s="36" t="s">
        <v>909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1451</v>
      </c>
      <c r="K93" s="39" t="s">
        <v>1208</v>
      </c>
      <c r="L93" s="40"/>
      <c r="M93" s="40"/>
      <c r="N93" s="37"/>
      <c r="O93" s="36"/>
      <c r="P93" s="42"/>
      <c r="Q93" s="40"/>
      <c r="R93" s="39" t="s">
        <v>1213</v>
      </c>
      <c r="S93" s="44" t="s">
        <v>66</v>
      </c>
      <c r="T93" s="3" t="s">
        <v>1449</v>
      </c>
    </row>
    <row r="94" spans="1:20" x14ac:dyDescent="0.25">
      <c r="A94" s="33">
        <v>30030298</v>
      </c>
      <c r="B94" s="36" t="s">
        <v>911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1208</v>
      </c>
      <c r="L94" s="40"/>
      <c r="M94" s="40"/>
      <c r="N94" s="37"/>
      <c r="O94" s="36"/>
      <c r="P94" s="42"/>
      <c r="Q94" s="40"/>
      <c r="R94" s="39" t="s">
        <v>1213</v>
      </c>
      <c r="S94" s="44" t="s">
        <v>74</v>
      </c>
      <c r="T94" s="3" t="s">
        <v>1449</v>
      </c>
    </row>
    <row r="95" spans="1:20" x14ac:dyDescent="0.25">
      <c r="A95" s="33">
        <v>30030711</v>
      </c>
      <c r="B95" s="36" t="s">
        <v>912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1208</v>
      </c>
      <c r="L95" s="40"/>
      <c r="M95" s="40"/>
      <c r="N95" s="37"/>
      <c r="O95" s="36"/>
      <c r="P95" s="42"/>
      <c r="Q95" s="40"/>
      <c r="R95" s="39" t="s">
        <v>1213</v>
      </c>
      <c r="S95" s="44" t="s">
        <v>67</v>
      </c>
      <c r="T95" s="3" t="s">
        <v>1449</v>
      </c>
    </row>
    <row r="96" spans="1:20" x14ac:dyDescent="0.25">
      <c r="A96" s="33">
        <v>30030714</v>
      </c>
      <c r="B96" s="36" t="s">
        <v>1089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1208</v>
      </c>
      <c r="L96" s="40"/>
      <c r="M96" s="40"/>
      <c r="N96" s="37"/>
      <c r="O96" s="36"/>
      <c r="P96" s="42"/>
      <c r="Q96" s="40"/>
      <c r="R96" s="39" t="s">
        <v>1213</v>
      </c>
      <c r="S96" s="44" t="s">
        <v>67</v>
      </c>
      <c r="T96" s="3" t="s">
        <v>1449</v>
      </c>
    </row>
    <row r="97" spans="1:20" x14ac:dyDescent="0.25">
      <c r="A97" s="33">
        <v>30031744</v>
      </c>
      <c r="B97" s="36" t="s">
        <v>1169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1451</v>
      </c>
      <c r="K97" s="39" t="s">
        <v>1208</v>
      </c>
      <c r="L97" s="40"/>
      <c r="M97" s="40"/>
      <c r="N97" s="37"/>
      <c r="O97" s="36"/>
      <c r="P97" s="42"/>
      <c r="Q97" s="40"/>
      <c r="R97" s="39" t="s">
        <v>1213</v>
      </c>
      <c r="S97" s="44" t="s">
        <v>67</v>
      </c>
      <c r="T97" s="3" t="s">
        <v>1449</v>
      </c>
    </row>
    <row r="98" spans="1:20" x14ac:dyDescent="0.25">
      <c r="A98" s="33">
        <v>30032493</v>
      </c>
      <c r="B98" s="36" t="s">
        <v>913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1208</v>
      </c>
      <c r="L98" s="40"/>
      <c r="M98" s="40"/>
      <c r="N98" s="37"/>
      <c r="O98" s="36"/>
      <c r="P98" s="42"/>
      <c r="Q98" s="40"/>
      <c r="R98" s="39" t="s">
        <v>1213</v>
      </c>
      <c r="S98" s="44" t="s">
        <v>74</v>
      </c>
      <c r="T98" s="3" t="s">
        <v>1449</v>
      </c>
    </row>
    <row r="99" spans="1:20" x14ac:dyDescent="0.25">
      <c r="A99" s="33">
        <v>30032494</v>
      </c>
      <c r="B99" s="36" t="s">
        <v>914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1208</v>
      </c>
      <c r="L99" s="40"/>
      <c r="M99" s="40"/>
      <c r="N99" s="37"/>
      <c r="O99" s="36"/>
      <c r="P99" s="42"/>
      <c r="Q99" s="40"/>
      <c r="R99" s="39" t="s">
        <v>1213</v>
      </c>
      <c r="S99" s="44" t="s">
        <v>74</v>
      </c>
      <c r="T99" s="3" t="s">
        <v>1449</v>
      </c>
    </row>
    <row r="100" spans="1:20" x14ac:dyDescent="0.25">
      <c r="A100" s="33">
        <v>30033930</v>
      </c>
      <c r="B100" s="36" t="s">
        <v>916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1208</v>
      </c>
      <c r="L100" s="40"/>
      <c r="M100" s="40"/>
      <c r="N100" s="37"/>
      <c r="O100" s="36"/>
      <c r="P100" s="42"/>
      <c r="Q100" s="40"/>
      <c r="R100" s="39" t="s">
        <v>1213</v>
      </c>
      <c r="S100" s="44" t="s">
        <v>67</v>
      </c>
      <c r="T100" s="3" t="s">
        <v>1449</v>
      </c>
    </row>
    <row r="101" spans="1:20" x14ac:dyDescent="0.25">
      <c r="A101" s="33">
        <v>30038594</v>
      </c>
      <c r="B101" s="36" t="s">
        <v>1090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1451</v>
      </c>
      <c r="K101" s="39" t="s">
        <v>1208</v>
      </c>
      <c r="L101" s="40"/>
      <c r="M101" s="40"/>
      <c r="N101" s="37"/>
      <c r="O101" s="36"/>
      <c r="P101" s="42"/>
      <c r="Q101" s="40"/>
      <c r="R101" s="39" t="s">
        <v>1213</v>
      </c>
      <c r="S101" s="44" t="s">
        <v>74</v>
      </c>
      <c r="T101" s="3" t="s">
        <v>1450</v>
      </c>
    </row>
    <row r="102" spans="1:20" x14ac:dyDescent="0.25">
      <c r="A102" s="33">
        <v>30038595</v>
      </c>
      <c r="B102" s="36" t="s">
        <v>1091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1451</v>
      </c>
      <c r="K102" s="39" t="s">
        <v>1208</v>
      </c>
      <c r="L102" s="40"/>
      <c r="M102" s="40"/>
      <c r="N102" s="37"/>
      <c r="O102" s="36"/>
      <c r="P102" s="42"/>
      <c r="Q102" s="40"/>
      <c r="R102" s="39" t="s">
        <v>1213</v>
      </c>
      <c r="S102" s="44" t="s">
        <v>74</v>
      </c>
      <c r="T102" s="3" t="s">
        <v>1450</v>
      </c>
    </row>
    <row r="103" spans="1:20" x14ac:dyDescent="0.25">
      <c r="A103" s="33">
        <v>30039193</v>
      </c>
      <c r="B103" s="36" t="s">
        <v>917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1451</v>
      </c>
      <c r="K103" s="39" t="s">
        <v>1208</v>
      </c>
      <c r="L103" s="40"/>
      <c r="M103" s="40"/>
      <c r="N103" s="37"/>
      <c r="O103" s="36"/>
      <c r="P103" s="42"/>
      <c r="Q103" s="40"/>
      <c r="R103" s="39" t="s">
        <v>1213</v>
      </c>
      <c r="S103" s="44" t="s">
        <v>67</v>
      </c>
      <c r="T103" s="3" t="s">
        <v>1449</v>
      </c>
    </row>
    <row r="104" spans="1:20" x14ac:dyDescent="0.25">
      <c r="A104" s="33">
        <v>30039288</v>
      </c>
      <c r="B104" s="36" t="s">
        <v>1171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1208</v>
      </c>
      <c r="L104" s="40"/>
      <c r="M104" s="40"/>
      <c r="N104" s="37"/>
      <c r="O104" s="36"/>
      <c r="P104" s="42"/>
      <c r="Q104" s="40"/>
      <c r="R104" s="39" t="s">
        <v>1213</v>
      </c>
      <c r="S104" s="44" t="s">
        <v>74</v>
      </c>
      <c r="T104" s="3" t="s">
        <v>1450</v>
      </c>
    </row>
    <row r="105" spans="1:20" x14ac:dyDescent="0.25">
      <c r="A105" s="33">
        <v>30042134</v>
      </c>
      <c r="B105" s="36" t="s">
        <v>919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1208</v>
      </c>
      <c r="L105" s="40"/>
      <c r="M105" s="40"/>
      <c r="N105" s="37"/>
      <c r="O105" s="36"/>
      <c r="P105" s="42"/>
      <c r="Q105" s="40"/>
      <c r="R105" s="39" t="s">
        <v>1213</v>
      </c>
      <c r="S105" s="44" t="s">
        <v>74</v>
      </c>
      <c r="T105" s="3" t="s">
        <v>1449</v>
      </c>
    </row>
    <row r="106" spans="1:20" x14ac:dyDescent="0.25">
      <c r="A106" s="33">
        <v>30043637</v>
      </c>
      <c r="B106" s="36" t="s">
        <v>920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1208</v>
      </c>
      <c r="L106" s="40"/>
      <c r="M106" s="40"/>
      <c r="N106" s="37"/>
      <c r="O106" s="36"/>
      <c r="P106" s="42"/>
      <c r="Q106" s="40"/>
      <c r="R106" s="39" t="s">
        <v>1213</v>
      </c>
      <c r="S106" s="44" t="s">
        <v>74</v>
      </c>
      <c r="T106" s="3" t="s">
        <v>1449</v>
      </c>
    </row>
    <row r="107" spans="1:20" x14ac:dyDescent="0.25">
      <c r="A107" s="33">
        <v>30051151</v>
      </c>
      <c r="B107" s="36" t="s">
        <v>922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1208</v>
      </c>
      <c r="L107" s="40"/>
      <c r="M107" s="40"/>
      <c r="N107" s="37"/>
      <c r="O107" s="36"/>
      <c r="P107" s="42"/>
      <c r="Q107" s="40"/>
      <c r="R107" s="39" t="s">
        <v>1213</v>
      </c>
      <c r="S107" s="44" t="s">
        <v>74</v>
      </c>
      <c r="T107" s="3" t="s">
        <v>1449</v>
      </c>
    </row>
    <row r="108" spans="1:20" x14ac:dyDescent="0.25">
      <c r="A108" s="33">
        <v>30051548</v>
      </c>
      <c r="B108" s="36" t="s">
        <v>1172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1208</v>
      </c>
      <c r="L108" s="40"/>
      <c r="M108" s="40"/>
      <c r="N108" s="37"/>
      <c r="O108" s="36"/>
      <c r="P108" s="42"/>
      <c r="Q108" s="40"/>
      <c r="R108" s="39" t="s">
        <v>1213</v>
      </c>
      <c r="S108" s="44" t="s">
        <v>73</v>
      </c>
      <c r="T108" s="3" t="s">
        <v>1449</v>
      </c>
    </row>
    <row r="109" spans="1:20" x14ac:dyDescent="0.25">
      <c r="A109" s="33">
        <v>30053002</v>
      </c>
      <c r="B109" s="36" t="s">
        <v>923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1208</v>
      </c>
      <c r="L109" s="40"/>
      <c r="M109" s="40"/>
      <c r="N109" s="37"/>
      <c r="O109" s="36"/>
      <c r="P109" s="42"/>
      <c r="Q109" s="40"/>
      <c r="R109" s="39" t="s">
        <v>1213</v>
      </c>
      <c r="S109" s="44" t="s">
        <v>74</v>
      </c>
      <c r="T109" s="3" t="s">
        <v>1449</v>
      </c>
    </row>
    <row r="110" spans="1:20" x14ac:dyDescent="0.25">
      <c r="A110" s="33">
        <v>30053005</v>
      </c>
      <c r="B110" s="36" t="s">
        <v>924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1208</v>
      </c>
      <c r="L110" s="40"/>
      <c r="M110" s="40"/>
      <c r="N110" s="37"/>
      <c r="O110" s="36"/>
      <c r="P110" s="42"/>
      <c r="Q110" s="40"/>
      <c r="R110" s="39" t="s">
        <v>1213</v>
      </c>
      <c r="S110" s="44" t="s">
        <v>74</v>
      </c>
      <c r="T110" s="3" t="s">
        <v>1449</v>
      </c>
    </row>
    <row r="111" spans="1:20" x14ac:dyDescent="0.25">
      <c r="A111" s="33">
        <v>30053006</v>
      </c>
      <c r="B111" s="36" t="s">
        <v>925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1208</v>
      </c>
      <c r="L111" s="40"/>
      <c r="M111" s="40"/>
      <c r="N111" s="37"/>
      <c r="O111" s="36"/>
      <c r="P111" s="42"/>
      <c r="Q111" s="40"/>
      <c r="R111" s="39" t="s">
        <v>1213</v>
      </c>
      <c r="S111" s="44" t="s">
        <v>74</v>
      </c>
      <c r="T111" s="3" t="s">
        <v>1449</v>
      </c>
    </row>
    <row r="112" spans="1:20" x14ac:dyDescent="0.25">
      <c r="A112" s="33">
        <v>30053007</v>
      </c>
      <c r="B112" s="36" t="s">
        <v>926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1208</v>
      </c>
      <c r="L112" s="40"/>
      <c r="M112" s="40"/>
      <c r="N112" s="37"/>
      <c r="O112" s="36"/>
      <c r="P112" s="42"/>
      <c r="Q112" s="40"/>
      <c r="R112" s="39" t="s">
        <v>1213</v>
      </c>
      <c r="S112" s="44" t="s">
        <v>74</v>
      </c>
      <c r="T112" s="3" t="s">
        <v>1449</v>
      </c>
    </row>
    <row r="113" spans="1:20" x14ac:dyDescent="0.25">
      <c r="A113" s="33">
        <v>30063274</v>
      </c>
      <c r="B113" s="36" t="s">
        <v>927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1208</v>
      </c>
      <c r="L113" s="40"/>
      <c r="M113" s="40"/>
      <c r="N113" s="37"/>
      <c r="O113" s="36"/>
      <c r="P113" s="42"/>
      <c r="Q113" s="40"/>
      <c r="R113" s="39" t="s">
        <v>1213</v>
      </c>
      <c r="S113" s="44" t="s">
        <v>74</v>
      </c>
      <c r="T113" s="3" t="s">
        <v>1449</v>
      </c>
    </row>
    <row r="114" spans="1:20" x14ac:dyDescent="0.25">
      <c r="A114" s="33">
        <v>30067418</v>
      </c>
      <c r="B114" s="36" t="s">
        <v>1173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1451</v>
      </c>
      <c r="K114" s="39" t="s">
        <v>1208</v>
      </c>
      <c r="L114" s="40"/>
      <c r="M114" s="40"/>
      <c r="N114" s="37"/>
      <c r="O114" s="36"/>
      <c r="P114" s="42"/>
      <c r="Q114" s="40"/>
      <c r="R114" s="39" t="s">
        <v>1213</v>
      </c>
      <c r="S114" s="44" t="s">
        <v>74</v>
      </c>
      <c r="T114" s="3" t="s">
        <v>1450</v>
      </c>
    </row>
    <row r="115" spans="1:20" x14ac:dyDescent="0.25">
      <c r="A115" s="33">
        <v>30067419</v>
      </c>
      <c r="B115" s="36" t="s">
        <v>1174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1451</v>
      </c>
      <c r="K115" s="39" t="s">
        <v>1208</v>
      </c>
      <c r="L115" s="40"/>
      <c r="M115" s="40"/>
      <c r="N115" s="37"/>
      <c r="O115" s="36"/>
      <c r="P115" s="42"/>
      <c r="Q115" s="40"/>
      <c r="R115" s="39" t="s">
        <v>1213</v>
      </c>
      <c r="S115" s="44" t="s">
        <v>74</v>
      </c>
      <c r="T115" s="3" t="s">
        <v>1450</v>
      </c>
    </row>
    <row r="116" spans="1:20" x14ac:dyDescent="0.25">
      <c r="A116" s="33">
        <v>30067420</v>
      </c>
      <c r="B116" s="36" t="s">
        <v>1175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1451</v>
      </c>
      <c r="K116" s="39" t="s">
        <v>1208</v>
      </c>
      <c r="L116" s="40"/>
      <c r="M116" s="40"/>
      <c r="N116" s="37"/>
      <c r="O116" s="36"/>
      <c r="P116" s="42"/>
      <c r="Q116" s="40"/>
      <c r="R116" s="39" t="s">
        <v>1213</v>
      </c>
      <c r="S116" s="44" t="s">
        <v>74</v>
      </c>
      <c r="T116" s="3" t="s">
        <v>1450</v>
      </c>
    </row>
    <row r="117" spans="1:20" x14ac:dyDescent="0.25">
      <c r="A117" s="33">
        <v>30067421</v>
      </c>
      <c r="B117" s="36" t="s">
        <v>1176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1451</v>
      </c>
      <c r="K117" s="39" t="s">
        <v>1208</v>
      </c>
      <c r="L117" s="40"/>
      <c r="M117" s="40"/>
      <c r="N117" s="37"/>
      <c r="O117" s="36"/>
      <c r="P117" s="42"/>
      <c r="Q117" s="40"/>
      <c r="R117" s="39" t="s">
        <v>1213</v>
      </c>
      <c r="S117" s="44" t="s">
        <v>74</v>
      </c>
      <c r="T117" s="3" t="s">
        <v>1450</v>
      </c>
    </row>
    <row r="118" spans="1:20" x14ac:dyDescent="0.25">
      <c r="A118" s="33">
        <v>30067422</v>
      </c>
      <c r="B118" s="36" t="s">
        <v>1177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1451</v>
      </c>
      <c r="K118" s="39" t="s">
        <v>1208</v>
      </c>
      <c r="L118" s="40"/>
      <c r="M118" s="40"/>
      <c r="N118" s="37"/>
      <c r="O118" s="36"/>
      <c r="P118" s="42"/>
      <c r="Q118" s="40"/>
      <c r="R118" s="39" t="s">
        <v>1213</v>
      </c>
      <c r="S118" s="44" t="s">
        <v>74</v>
      </c>
      <c r="T118" s="3" t="s">
        <v>1450</v>
      </c>
    </row>
    <row r="119" spans="1:20" x14ac:dyDescent="0.25">
      <c r="A119" s="33">
        <v>30067423</v>
      </c>
      <c r="B119" s="36" t="s">
        <v>1178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1208</v>
      </c>
      <c r="L119" s="40"/>
      <c r="M119" s="40"/>
      <c r="N119" s="37"/>
      <c r="O119" s="36"/>
      <c r="P119" s="42"/>
      <c r="Q119" s="40"/>
      <c r="R119" s="39" t="s">
        <v>1213</v>
      </c>
      <c r="S119" s="44" t="s">
        <v>74</v>
      </c>
      <c r="T119" s="3" t="s">
        <v>1450</v>
      </c>
    </row>
    <row r="120" spans="1:20" x14ac:dyDescent="0.25">
      <c r="A120" s="33">
        <v>30067424</v>
      </c>
      <c r="B120" s="36" t="s">
        <v>1179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1451</v>
      </c>
      <c r="K120" s="39" t="s">
        <v>1208</v>
      </c>
      <c r="L120" s="40"/>
      <c r="M120" s="40"/>
      <c r="N120" s="37"/>
      <c r="O120" s="36"/>
      <c r="P120" s="42"/>
      <c r="Q120" s="40"/>
      <c r="R120" s="39" t="s">
        <v>1213</v>
      </c>
      <c r="S120" s="44" t="s">
        <v>74</v>
      </c>
      <c r="T120" s="3" t="s">
        <v>1450</v>
      </c>
    </row>
    <row r="121" spans="1:20" x14ac:dyDescent="0.25">
      <c r="A121" s="33">
        <v>30067425</v>
      </c>
      <c r="B121" s="36" t="s">
        <v>1180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1451</v>
      </c>
      <c r="K121" s="39" t="s">
        <v>1208</v>
      </c>
      <c r="L121" s="40"/>
      <c r="M121" s="40"/>
      <c r="N121" s="37"/>
      <c r="O121" s="36"/>
      <c r="P121" s="42"/>
      <c r="Q121" s="40"/>
      <c r="R121" s="39" t="s">
        <v>1213</v>
      </c>
      <c r="S121" s="44" t="s">
        <v>74</v>
      </c>
      <c r="T121" s="3" t="s">
        <v>1450</v>
      </c>
    </row>
    <row r="122" spans="1:20" x14ac:dyDescent="0.25">
      <c r="A122" s="33">
        <v>30067426</v>
      </c>
      <c r="B122" s="36" t="s">
        <v>1181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1451</v>
      </c>
      <c r="K122" s="39" t="s">
        <v>1208</v>
      </c>
      <c r="L122" s="40"/>
      <c r="M122" s="40"/>
      <c r="N122" s="37"/>
      <c r="O122" s="36"/>
      <c r="P122" s="42"/>
      <c r="Q122" s="40"/>
      <c r="R122" s="39" t="s">
        <v>1213</v>
      </c>
      <c r="S122" s="44" t="s">
        <v>74</v>
      </c>
      <c r="T122" s="3" t="s">
        <v>1450</v>
      </c>
    </row>
    <row r="123" spans="1:20" x14ac:dyDescent="0.25">
      <c r="A123" s="33">
        <v>30067427</v>
      </c>
      <c r="B123" s="36" t="s">
        <v>1182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1451</v>
      </c>
      <c r="K123" s="39" t="s">
        <v>1208</v>
      </c>
      <c r="L123" s="40"/>
      <c r="M123" s="40"/>
      <c r="N123" s="37"/>
      <c r="O123" s="36"/>
      <c r="P123" s="42"/>
      <c r="Q123" s="40"/>
      <c r="R123" s="39" t="s">
        <v>1213</v>
      </c>
      <c r="S123" s="44" t="s">
        <v>74</v>
      </c>
      <c r="T123" s="3" t="s">
        <v>1450</v>
      </c>
    </row>
    <row r="124" spans="1:20" x14ac:dyDescent="0.25">
      <c r="A124" s="33">
        <v>30067428</v>
      </c>
      <c r="B124" s="36" t="s">
        <v>1183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1208</v>
      </c>
      <c r="L124" s="40"/>
      <c r="M124" s="40"/>
      <c r="N124" s="37"/>
      <c r="O124" s="36"/>
      <c r="P124" s="42"/>
      <c r="Q124" s="40"/>
      <c r="R124" s="39" t="s">
        <v>1213</v>
      </c>
      <c r="S124" s="44" t="s">
        <v>74</v>
      </c>
      <c r="T124" s="3" t="s">
        <v>1450</v>
      </c>
    </row>
    <row r="125" spans="1:20" x14ac:dyDescent="0.25">
      <c r="A125" s="33">
        <v>30067429</v>
      </c>
      <c r="B125" s="36" t="s">
        <v>1184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1208</v>
      </c>
      <c r="L125" s="40"/>
      <c r="M125" s="40"/>
      <c r="N125" s="37"/>
      <c r="O125" s="36"/>
      <c r="P125" s="42"/>
      <c r="Q125" s="40"/>
      <c r="R125" s="39" t="s">
        <v>1213</v>
      </c>
      <c r="S125" s="44" t="s">
        <v>74</v>
      </c>
      <c r="T125" s="3" t="s">
        <v>1450</v>
      </c>
    </row>
    <row r="126" spans="1:20" x14ac:dyDescent="0.25">
      <c r="A126" s="33">
        <v>30067430</v>
      </c>
      <c r="B126" s="36" t="s">
        <v>1185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1208</v>
      </c>
      <c r="L126" s="40"/>
      <c r="M126" s="40"/>
      <c r="N126" s="37"/>
      <c r="O126" s="36"/>
      <c r="P126" s="42"/>
      <c r="Q126" s="40"/>
      <c r="R126" s="39" t="s">
        <v>1213</v>
      </c>
      <c r="S126" s="44" t="s">
        <v>74</v>
      </c>
      <c r="T126" s="3" t="s">
        <v>1450</v>
      </c>
    </row>
    <row r="127" spans="1:20" x14ac:dyDescent="0.25">
      <c r="A127" s="33">
        <v>30067431</v>
      </c>
      <c r="B127" s="36" t="s">
        <v>1186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1451</v>
      </c>
      <c r="K127" s="39" t="s">
        <v>1208</v>
      </c>
      <c r="L127" s="40"/>
      <c r="M127" s="40"/>
      <c r="N127" s="37"/>
      <c r="O127" s="36"/>
      <c r="P127" s="42"/>
      <c r="Q127" s="40"/>
      <c r="R127" s="39" t="s">
        <v>1213</v>
      </c>
      <c r="S127" s="44" t="s">
        <v>74</v>
      </c>
      <c r="T127" s="3" t="s">
        <v>1450</v>
      </c>
    </row>
    <row r="128" spans="1:20" x14ac:dyDescent="0.25">
      <c r="A128" s="33">
        <v>30067432</v>
      </c>
      <c r="B128" s="36" t="s">
        <v>1187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1208</v>
      </c>
      <c r="L128" s="40"/>
      <c r="M128" s="40"/>
      <c r="N128" s="37"/>
      <c r="O128" s="36"/>
      <c r="P128" s="42"/>
      <c r="Q128" s="40"/>
      <c r="R128" s="39" t="s">
        <v>1213</v>
      </c>
      <c r="S128" s="44" t="s">
        <v>74</v>
      </c>
      <c r="T128" s="3" t="s">
        <v>1450</v>
      </c>
    </row>
    <row r="129" spans="1:20" x14ac:dyDescent="0.25">
      <c r="A129" s="33">
        <v>30067433</v>
      </c>
      <c r="B129" s="36" t="s">
        <v>1188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1451</v>
      </c>
      <c r="K129" s="39" t="s">
        <v>1208</v>
      </c>
      <c r="L129" s="40"/>
      <c r="M129" s="40"/>
      <c r="N129" s="37"/>
      <c r="O129" s="36"/>
      <c r="P129" s="42"/>
      <c r="Q129" s="40"/>
      <c r="R129" s="39" t="s">
        <v>1213</v>
      </c>
      <c r="S129" s="44" t="s">
        <v>74</v>
      </c>
      <c r="T129" s="3" t="s">
        <v>1450</v>
      </c>
    </row>
    <row r="130" spans="1:20" x14ac:dyDescent="0.25">
      <c r="A130" s="33">
        <v>30067434</v>
      </c>
      <c r="B130" s="36" t="s">
        <v>1189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1451</v>
      </c>
      <c r="K130" s="39" t="s">
        <v>1208</v>
      </c>
      <c r="L130" s="40"/>
      <c r="M130" s="40"/>
      <c r="N130" s="37"/>
      <c r="O130" s="36"/>
      <c r="P130" s="42"/>
      <c r="Q130" s="40"/>
      <c r="R130" s="39" t="s">
        <v>1213</v>
      </c>
      <c r="S130" s="44" t="s">
        <v>74</v>
      </c>
      <c r="T130" s="3" t="s">
        <v>1450</v>
      </c>
    </row>
    <row r="131" spans="1:20" x14ac:dyDescent="0.25">
      <c r="A131" s="33">
        <v>30067435</v>
      </c>
      <c r="B131" s="36" t="s">
        <v>1190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1451</v>
      </c>
      <c r="K131" s="39" t="s">
        <v>1208</v>
      </c>
      <c r="L131" s="40"/>
      <c r="M131" s="40"/>
      <c r="N131" s="37"/>
      <c r="O131" s="36"/>
      <c r="P131" s="42"/>
      <c r="Q131" s="40"/>
      <c r="R131" s="39" t="s">
        <v>1213</v>
      </c>
      <c r="S131" s="44" t="s">
        <v>74</v>
      </c>
      <c r="T131" s="3" t="s">
        <v>1450</v>
      </c>
    </row>
    <row r="132" spans="1:20" x14ac:dyDescent="0.25">
      <c r="A132" s="33">
        <v>30067436</v>
      </c>
      <c r="B132" s="36" t="s">
        <v>1191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1451</v>
      </c>
      <c r="K132" s="39" t="s">
        <v>1208</v>
      </c>
      <c r="L132" s="40"/>
      <c r="M132" s="40"/>
      <c r="N132" s="37"/>
      <c r="O132" s="36"/>
      <c r="P132" s="42"/>
      <c r="Q132" s="40"/>
      <c r="R132" s="39" t="s">
        <v>1213</v>
      </c>
      <c r="S132" s="44" t="s">
        <v>74</v>
      </c>
      <c r="T132" s="3" t="s">
        <v>1450</v>
      </c>
    </row>
    <row r="133" spans="1:20" x14ac:dyDescent="0.25">
      <c r="A133" s="33">
        <v>30067437</v>
      </c>
      <c r="B133" s="36" t="s">
        <v>1192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1451</v>
      </c>
      <c r="K133" s="39" t="s">
        <v>1208</v>
      </c>
      <c r="L133" s="40"/>
      <c r="M133" s="40"/>
      <c r="N133" s="37"/>
      <c r="O133" s="36"/>
      <c r="P133" s="42"/>
      <c r="Q133" s="40"/>
      <c r="R133" s="39" t="s">
        <v>1213</v>
      </c>
      <c r="S133" s="44" t="s">
        <v>74</v>
      </c>
      <c r="T133" s="3" t="s">
        <v>1450</v>
      </c>
    </row>
    <row r="134" spans="1:20" x14ac:dyDescent="0.25">
      <c r="A134" s="33">
        <v>30067438</v>
      </c>
      <c r="B134" s="36" t="s">
        <v>1193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1208</v>
      </c>
      <c r="L134" s="40"/>
      <c r="M134" s="40"/>
      <c r="N134" s="37"/>
      <c r="O134" s="36"/>
      <c r="P134" s="42"/>
      <c r="Q134" s="40"/>
      <c r="R134" s="39" t="s">
        <v>1213</v>
      </c>
      <c r="S134" s="44" t="s">
        <v>74</v>
      </c>
      <c r="T134" s="3" t="s">
        <v>1450</v>
      </c>
    </row>
    <row r="135" spans="1:20" x14ac:dyDescent="0.25">
      <c r="A135" s="33">
        <v>30067439</v>
      </c>
      <c r="B135" s="36" t="s">
        <v>1194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1451</v>
      </c>
      <c r="K135" s="39" t="s">
        <v>1208</v>
      </c>
      <c r="L135" s="40"/>
      <c r="M135" s="40"/>
      <c r="N135" s="37"/>
      <c r="O135" s="36"/>
      <c r="P135" s="42"/>
      <c r="Q135" s="40"/>
      <c r="R135" s="39" t="s">
        <v>1213</v>
      </c>
      <c r="S135" s="44" t="s">
        <v>74</v>
      </c>
      <c r="T135" s="3" t="s">
        <v>1450</v>
      </c>
    </row>
    <row r="136" spans="1:20" x14ac:dyDescent="0.25">
      <c r="A136" s="33">
        <v>30067440</v>
      </c>
      <c r="B136" s="36" t="s">
        <v>1195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1208</v>
      </c>
      <c r="L136" s="40"/>
      <c r="M136" s="40"/>
      <c r="N136" s="37"/>
      <c r="O136" s="36"/>
      <c r="P136" s="42"/>
      <c r="Q136" s="40"/>
      <c r="R136" s="39" t="s">
        <v>1213</v>
      </c>
      <c r="S136" s="44" t="s">
        <v>74</v>
      </c>
      <c r="T136" s="3" t="s">
        <v>1450</v>
      </c>
    </row>
    <row r="137" spans="1:20" x14ac:dyDescent="0.25">
      <c r="A137" s="33">
        <v>30067441</v>
      </c>
      <c r="B137" s="36" t="s">
        <v>1196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1451</v>
      </c>
      <c r="K137" s="39" t="s">
        <v>1208</v>
      </c>
      <c r="L137" s="40"/>
      <c r="M137" s="40"/>
      <c r="N137" s="37"/>
      <c r="O137" s="36"/>
      <c r="P137" s="42"/>
      <c r="Q137" s="40"/>
      <c r="R137" s="39" t="s">
        <v>1213</v>
      </c>
      <c r="S137" s="44" t="s">
        <v>74</v>
      </c>
      <c r="T137" s="3" t="s">
        <v>1450</v>
      </c>
    </row>
    <row r="138" spans="1:20" x14ac:dyDescent="0.25">
      <c r="A138" s="33">
        <v>30067442</v>
      </c>
      <c r="B138" s="36" t="s">
        <v>1197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1451</v>
      </c>
      <c r="K138" s="39" t="s">
        <v>1208</v>
      </c>
      <c r="L138" s="40"/>
      <c r="M138" s="40"/>
      <c r="N138" s="37"/>
      <c r="O138" s="36"/>
      <c r="P138" s="42"/>
      <c r="Q138" s="40"/>
      <c r="R138" s="39" t="s">
        <v>1213</v>
      </c>
      <c r="S138" s="44" t="s">
        <v>74</v>
      </c>
      <c r="T138" s="3" t="s">
        <v>1450</v>
      </c>
    </row>
    <row r="139" spans="1:20" x14ac:dyDescent="0.25">
      <c r="A139" s="33">
        <v>30067443</v>
      </c>
      <c r="B139" s="36" t="s">
        <v>1198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1208</v>
      </c>
      <c r="L139" s="40"/>
      <c r="M139" s="40"/>
      <c r="N139" s="37"/>
      <c r="O139" s="36"/>
      <c r="P139" s="42"/>
      <c r="Q139" s="40"/>
      <c r="R139" s="39" t="s">
        <v>1213</v>
      </c>
      <c r="S139" s="44" t="s">
        <v>74</v>
      </c>
      <c r="T139" s="3" t="s">
        <v>1450</v>
      </c>
    </row>
    <row r="140" spans="1:20" x14ac:dyDescent="0.25">
      <c r="A140" s="33">
        <v>30067444</v>
      </c>
      <c r="B140" s="36" t="s">
        <v>1199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1208</v>
      </c>
      <c r="L140" s="40"/>
      <c r="M140" s="40"/>
      <c r="N140" s="37"/>
      <c r="O140" s="36"/>
      <c r="P140" s="42"/>
      <c r="Q140" s="40"/>
      <c r="R140" s="39" t="s">
        <v>1213</v>
      </c>
      <c r="S140" s="44" t="s">
        <v>74</v>
      </c>
      <c r="T140" s="3" t="s">
        <v>1450</v>
      </c>
    </row>
    <row r="141" spans="1:20" x14ac:dyDescent="0.25">
      <c r="A141" s="33">
        <v>30067445</v>
      </c>
      <c r="B141" s="36" t="s">
        <v>1200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1208</v>
      </c>
      <c r="L141" s="40"/>
      <c r="M141" s="40"/>
      <c r="N141" s="37"/>
      <c r="O141" s="36"/>
      <c r="P141" s="42"/>
      <c r="Q141" s="40"/>
      <c r="R141" s="39" t="s">
        <v>1213</v>
      </c>
      <c r="S141" s="44" t="s">
        <v>74</v>
      </c>
      <c r="T141" s="3" t="s">
        <v>1450</v>
      </c>
    </row>
    <row r="142" spans="1:20" x14ac:dyDescent="0.25">
      <c r="A142" s="33">
        <v>30067446</v>
      </c>
      <c r="B142" s="36" t="s">
        <v>1201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1208</v>
      </c>
      <c r="L142" s="40"/>
      <c r="M142" s="40"/>
      <c r="N142" s="37"/>
      <c r="O142" s="36"/>
      <c r="P142" s="42"/>
      <c r="Q142" s="40"/>
      <c r="R142" s="39" t="s">
        <v>1213</v>
      </c>
      <c r="S142" s="44" t="s">
        <v>74</v>
      </c>
      <c r="T142" s="3" t="s">
        <v>1450</v>
      </c>
    </row>
    <row r="143" spans="1:20" x14ac:dyDescent="0.25">
      <c r="A143" s="33">
        <v>30067447</v>
      </c>
      <c r="B143" s="36" t="s">
        <v>1202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1451</v>
      </c>
      <c r="K143" s="39" t="s">
        <v>1208</v>
      </c>
      <c r="L143" s="40"/>
      <c r="M143" s="40"/>
      <c r="N143" s="37"/>
      <c r="O143" s="36"/>
      <c r="P143" s="42"/>
      <c r="Q143" s="40"/>
      <c r="R143" s="39" t="s">
        <v>1213</v>
      </c>
      <c r="S143" s="44" t="s">
        <v>74</v>
      </c>
      <c r="T143" s="3" t="s">
        <v>1450</v>
      </c>
    </row>
    <row r="144" spans="1:20" x14ac:dyDescent="0.25">
      <c r="A144" s="33">
        <v>30067448</v>
      </c>
      <c r="B144" s="36" t="s">
        <v>1203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1208</v>
      </c>
      <c r="L144" s="40"/>
      <c r="M144" s="40"/>
      <c r="N144" s="37"/>
      <c r="O144" s="36"/>
      <c r="P144" s="42"/>
      <c r="Q144" s="40"/>
      <c r="R144" s="39" t="s">
        <v>1213</v>
      </c>
      <c r="S144" s="44" t="s">
        <v>74</v>
      </c>
      <c r="T144" s="3" t="s">
        <v>1450</v>
      </c>
    </row>
    <row r="145" spans="1:20" x14ac:dyDescent="0.25">
      <c r="A145" s="33">
        <v>30067449</v>
      </c>
      <c r="B145" s="36" t="s">
        <v>1204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1451</v>
      </c>
      <c r="K145" s="39" t="s">
        <v>1208</v>
      </c>
      <c r="L145" s="40"/>
      <c r="M145" s="40"/>
      <c r="N145" s="37"/>
      <c r="O145" s="36"/>
      <c r="P145" s="42"/>
      <c r="Q145" s="40"/>
      <c r="R145" s="39" t="s">
        <v>1213</v>
      </c>
      <c r="S145" s="44" t="s">
        <v>74</v>
      </c>
      <c r="T145" s="3" t="s">
        <v>1450</v>
      </c>
    </row>
    <row r="146" spans="1:20" x14ac:dyDescent="0.25">
      <c r="A146" s="33">
        <v>30067450</v>
      </c>
      <c r="B146" s="36" t="s">
        <v>1205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1208</v>
      </c>
      <c r="L146" s="40"/>
      <c r="M146" s="40"/>
      <c r="N146" s="37"/>
      <c r="O146" s="36"/>
      <c r="P146" s="42"/>
      <c r="Q146" s="40"/>
      <c r="R146" s="39" t="s">
        <v>1213</v>
      </c>
      <c r="S146" s="44" t="s">
        <v>74</v>
      </c>
      <c r="T146" s="3" t="s">
        <v>1449</v>
      </c>
    </row>
    <row r="147" spans="1:20" x14ac:dyDescent="0.25">
      <c r="A147" s="33">
        <v>30067451</v>
      </c>
      <c r="B147" s="36" t="s">
        <v>1206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1451</v>
      </c>
      <c r="K147" s="39" t="s">
        <v>1208</v>
      </c>
      <c r="L147" s="40"/>
      <c r="M147" s="40"/>
      <c r="N147" s="37"/>
      <c r="O147" s="36"/>
      <c r="P147" s="42"/>
      <c r="Q147" s="40"/>
      <c r="R147" s="39" t="s">
        <v>1213</v>
      </c>
      <c r="S147" s="44" t="s">
        <v>74</v>
      </c>
      <c r="T147" s="3" t="s">
        <v>1450</v>
      </c>
    </row>
    <row r="148" spans="1:20" x14ac:dyDescent="0.25">
      <c r="A148" s="33">
        <v>30067453</v>
      </c>
      <c r="B148" s="36" t="s">
        <v>1207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1451</v>
      </c>
      <c r="K148" s="39" t="s">
        <v>1208</v>
      </c>
      <c r="L148" s="40"/>
      <c r="M148" s="40"/>
      <c r="N148" s="37"/>
      <c r="O148" s="36"/>
      <c r="P148" s="42"/>
      <c r="Q148" s="40"/>
      <c r="R148" s="39" t="s">
        <v>1213</v>
      </c>
      <c r="S148" s="44" t="s">
        <v>74</v>
      </c>
      <c r="T148" s="3" t="s">
        <v>1450</v>
      </c>
    </row>
    <row r="149" spans="1:20" x14ac:dyDescent="0.25">
      <c r="A149" s="33">
        <v>30067598</v>
      </c>
      <c r="B149" s="36" t="s">
        <v>929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1451</v>
      </c>
      <c r="K149" s="39" t="s">
        <v>1208</v>
      </c>
      <c r="L149" s="40"/>
      <c r="M149" s="40"/>
      <c r="N149" s="37"/>
      <c r="O149" s="36"/>
      <c r="P149" s="42"/>
      <c r="Q149" s="40"/>
      <c r="R149" s="39" t="s">
        <v>1213</v>
      </c>
      <c r="S149" s="44" t="s">
        <v>74</v>
      </c>
      <c r="T149" s="3" t="s">
        <v>1450</v>
      </c>
    </row>
    <row r="150" spans="1:20" x14ac:dyDescent="0.25">
      <c r="A150" s="33">
        <v>30067599</v>
      </c>
      <c r="B150" s="36" t="s">
        <v>930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1451</v>
      </c>
      <c r="K150" s="39" t="s">
        <v>1208</v>
      </c>
      <c r="L150" s="40"/>
      <c r="M150" s="40"/>
      <c r="N150" s="37"/>
      <c r="O150" s="36"/>
      <c r="P150" s="42"/>
      <c r="Q150" s="40"/>
      <c r="R150" s="39" t="s">
        <v>1213</v>
      </c>
      <c r="S150" s="44" t="s">
        <v>74</v>
      </c>
      <c r="T150" s="3" t="s">
        <v>1450</v>
      </c>
    </row>
    <row r="151" spans="1:20" x14ac:dyDescent="0.25">
      <c r="A151" s="33">
        <v>30067600</v>
      </c>
      <c r="B151" s="36" t="s">
        <v>931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1451</v>
      </c>
      <c r="K151" s="39" t="s">
        <v>1208</v>
      </c>
      <c r="L151" s="40"/>
      <c r="M151" s="40"/>
      <c r="N151" s="37"/>
      <c r="O151" s="36"/>
      <c r="P151" s="42"/>
      <c r="Q151" s="40"/>
      <c r="R151" s="39" t="s">
        <v>1213</v>
      </c>
      <c r="S151" s="44" t="s">
        <v>74</v>
      </c>
      <c r="T151" s="3" t="s">
        <v>1450</v>
      </c>
    </row>
    <row r="152" spans="1:20" x14ac:dyDescent="0.25">
      <c r="A152" s="33">
        <v>30067601</v>
      </c>
      <c r="B152" s="36" t="s">
        <v>932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1451</v>
      </c>
      <c r="K152" s="39" t="s">
        <v>1208</v>
      </c>
      <c r="L152" s="40"/>
      <c r="M152" s="40"/>
      <c r="N152" s="37"/>
      <c r="O152" s="36"/>
      <c r="P152" s="42"/>
      <c r="Q152" s="40"/>
      <c r="R152" s="39" t="s">
        <v>1213</v>
      </c>
      <c r="S152" s="44" t="s">
        <v>74</v>
      </c>
      <c r="T152" s="3" t="s">
        <v>1450</v>
      </c>
    </row>
    <row r="153" spans="1:20" x14ac:dyDescent="0.25">
      <c r="A153" s="33">
        <v>30067602</v>
      </c>
      <c r="B153" s="36" t="s">
        <v>933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1451</v>
      </c>
      <c r="K153" s="39" t="s">
        <v>1208</v>
      </c>
      <c r="L153" s="40"/>
      <c r="M153" s="40"/>
      <c r="N153" s="37"/>
      <c r="O153" s="36"/>
      <c r="P153" s="42"/>
      <c r="Q153" s="40"/>
      <c r="R153" s="39" t="s">
        <v>1213</v>
      </c>
      <c r="S153" s="44" t="s">
        <v>74</v>
      </c>
      <c r="T153" s="3" t="s">
        <v>1450</v>
      </c>
    </row>
    <row r="154" spans="1:20" x14ac:dyDescent="0.25">
      <c r="A154" s="33">
        <v>30067604</v>
      </c>
      <c r="B154" s="36" t="s">
        <v>934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1451</v>
      </c>
      <c r="K154" s="39" t="s">
        <v>1208</v>
      </c>
      <c r="L154" s="40"/>
      <c r="M154" s="40"/>
      <c r="N154" s="37"/>
      <c r="O154" s="36"/>
      <c r="P154" s="42"/>
      <c r="Q154" s="40"/>
      <c r="R154" s="39" t="s">
        <v>1213</v>
      </c>
      <c r="S154" s="44" t="s">
        <v>74</v>
      </c>
      <c r="T154" s="3" t="s">
        <v>1450</v>
      </c>
    </row>
    <row r="155" spans="1:20" x14ac:dyDescent="0.25">
      <c r="A155" s="33">
        <v>30067605</v>
      </c>
      <c r="B155" s="36" t="s">
        <v>935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1451</v>
      </c>
      <c r="K155" s="39" t="s">
        <v>1208</v>
      </c>
      <c r="L155" s="40"/>
      <c r="M155" s="40"/>
      <c r="N155" s="37"/>
      <c r="O155" s="36"/>
      <c r="P155" s="42"/>
      <c r="Q155" s="40"/>
      <c r="R155" s="39" t="s">
        <v>1213</v>
      </c>
      <c r="S155" s="44" t="s">
        <v>74</v>
      </c>
      <c r="T155" s="3" t="s">
        <v>1450</v>
      </c>
    </row>
    <row r="156" spans="1:20" x14ac:dyDescent="0.25">
      <c r="A156" s="33">
        <v>30067606</v>
      </c>
      <c r="B156" s="36" t="s">
        <v>936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1451</v>
      </c>
      <c r="K156" s="39" t="s">
        <v>1208</v>
      </c>
      <c r="L156" s="40"/>
      <c r="M156" s="40"/>
      <c r="N156" s="37"/>
      <c r="O156" s="36"/>
      <c r="P156" s="42"/>
      <c r="Q156" s="40"/>
      <c r="R156" s="39" t="s">
        <v>1213</v>
      </c>
      <c r="S156" s="44" t="s">
        <v>74</v>
      </c>
      <c r="T156" s="3" t="s">
        <v>1450</v>
      </c>
    </row>
    <row r="157" spans="1:20" x14ac:dyDescent="0.25">
      <c r="A157" s="33">
        <v>30067607</v>
      </c>
      <c r="B157" s="36" t="s">
        <v>937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1451</v>
      </c>
      <c r="K157" s="39" t="s">
        <v>1208</v>
      </c>
      <c r="L157" s="40"/>
      <c r="M157" s="40"/>
      <c r="N157" s="37"/>
      <c r="O157" s="36"/>
      <c r="P157" s="42"/>
      <c r="Q157" s="40"/>
      <c r="R157" s="39" t="s">
        <v>1213</v>
      </c>
      <c r="S157" s="44" t="s">
        <v>74</v>
      </c>
      <c r="T157" s="3" t="s">
        <v>1450</v>
      </c>
    </row>
    <row r="158" spans="1:20" x14ac:dyDescent="0.25">
      <c r="A158" s="33">
        <v>30067608</v>
      </c>
      <c r="B158" s="36" t="s">
        <v>938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1451</v>
      </c>
      <c r="K158" s="39" t="s">
        <v>1208</v>
      </c>
      <c r="L158" s="40"/>
      <c r="M158" s="40"/>
      <c r="N158" s="37"/>
      <c r="O158" s="36"/>
      <c r="P158" s="42"/>
      <c r="Q158" s="40"/>
      <c r="R158" s="39" t="s">
        <v>1213</v>
      </c>
      <c r="S158" s="44" t="s">
        <v>74</v>
      </c>
      <c r="T158" s="3" t="s">
        <v>1450</v>
      </c>
    </row>
    <row r="159" spans="1:20" x14ac:dyDescent="0.25">
      <c r="A159" s="33">
        <v>30067609</v>
      </c>
      <c r="B159" s="36" t="s">
        <v>939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1451</v>
      </c>
      <c r="K159" s="39" t="s">
        <v>1208</v>
      </c>
      <c r="L159" s="40"/>
      <c r="M159" s="40"/>
      <c r="N159" s="37"/>
      <c r="O159" s="36"/>
      <c r="P159" s="42"/>
      <c r="Q159" s="40"/>
      <c r="R159" s="39" t="s">
        <v>1213</v>
      </c>
      <c r="S159" s="44" t="s">
        <v>74</v>
      </c>
      <c r="T159" s="3" t="s">
        <v>1450</v>
      </c>
    </row>
    <row r="160" spans="1:20" x14ac:dyDescent="0.25">
      <c r="A160" s="33">
        <v>30067610</v>
      </c>
      <c r="B160" s="36" t="s">
        <v>940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1451</v>
      </c>
      <c r="K160" s="39" t="s">
        <v>1208</v>
      </c>
      <c r="L160" s="40"/>
      <c r="M160" s="40"/>
      <c r="N160" s="37"/>
      <c r="O160" s="36"/>
      <c r="P160" s="42"/>
      <c r="Q160" s="40"/>
      <c r="R160" s="39" t="s">
        <v>1213</v>
      </c>
      <c r="S160" s="44" t="s">
        <v>74</v>
      </c>
      <c r="T160" s="3" t="s">
        <v>1450</v>
      </c>
    </row>
    <row r="161" spans="1:20" x14ac:dyDescent="0.25">
      <c r="A161" s="33">
        <v>30067611</v>
      </c>
      <c r="B161" s="36" t="s">
        <v>941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1451</v>
      </c>
      <c r="K161" s="39" t="s">
        <v>1208</v>
      </c>
      <c r="L161" s="40"/>
      <c r="M161" s="40"/>
      <c r="N161" s="37"/>
      <c r="O161" s="36"/>
      <c r="P161" s="42"/>
      <c r="Q161" s="40"/>
      <c r="R161" s="39" t="s">
        <v>1213</v>
      </c>
      <c r="S161" s="44" t="s">
        <v>74</v>
      </c>
      <c r="T161" s="3" t="s">
        <v>1450</v>
      </c>
    </row>
    <row r="162" spans="1:20" x14ac:dyDescent="0.25">
      <c r="A162" s="33">
        <v>30067612</v>
      </c>
      <c r="B162" s="36" t="s">
        <v>942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1451</v>
      </c>
      <c r="K162" s="39" t="s">
        <v>1208</v>
      </c>
      <c r="L162" s="40"/>
      <c r="M162" s="40"/>
      <c r="N162" s="37"/>
      <c r="O162" s="36"/>
      <c r="P162" s="42"/>
      <c r="Q162" s="40"/>
      <c r="R162" s="39" t="s">
        <v>1213</v>
      </c>
      <c r="S162" s="44" t="s">
        <v>74</v>
      </c>
      <c r="T162" s="3" t="s">
        <v>1450</v>
      </c>
    </row>
    <row r="163" spans="1:20" x14ac:dyDescent="0.25">
      <c r="A163" s="33">
        <v>30067613</v>
      </c>
      <c r="B163" s="36" t="s">
        <v>943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1451</v>
      </c>
      <c r="K163" s="39" t="s">
        <v>1208</v>
      </c>
      <c r="L163" s="40"/>
      <c r="M163" s="40"/>
      <c r="N163" s="37"/>
      <c r="O163" s="36"/>
      <c r="P163" s="42"/>
      <c r="Q163" s="40"/>
      <c r="R163" s="39" t="s">
        <v>1213</v>
      </c>
      <c r="S163" s="44" t="s">
        <v>74</v>
      </c>
      <c r="T163" s="3" t="s">
        <v>1450</v>
      </c>
    </row>
    <row r="164" spans="1:20" x14ac:dyDescent="0.25">
      <c r="A164" s="33">
        <v>30067614</v>
      </c>
      <c r="B164" s="36" t="s">
        <v>944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1451</v>
      </c>
      <c r="K164" s="39" t="s">
        <v>1208</v>
      </c>
      <c r="L164" s="40"/>
      <c r="M164" s="40"/>
      <c r="N164" s="37"/>
      <c r="O164" s="36"/>
      <c r="P164" s="42"/>
      <c r="Q164" s="40"/>
      <c r="R164" s="39" t="s">
        <v>1213</v>
      </c>
      <c r="S164" s="44" t="s">
        <v>74</v>
      </c>
      <c r="T164" s="3" t="s">
        <v>1450</v>
      </c>
    </row>
    <row r="165" spans="1:20" x14ac:dyDescent="0.25">
      <c r="A165" s="33">
        <v>30067615</v>
      </c>
      <c r="B165" s="36" t="s">
        <v>945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1451</v>
      </c>
      <c r="K165" s="39" t="s">
        <v>1208</v>
      </c>
      <c r="L165" s="40"/>
      <c r="M165" s="40"/>
      <c r="N165" s="37"/>
      <c r="O165" s="36"/>
      <c r="P165" s="42"/>
      <c r="Q165" s="40"/>
      <c r="R165" s="39" t="s">
        <v>1213</v>
      </c>
      <c r="S165" s="44" t="s">
        <v>74</v>
      </c>
      <c r="T165" s="3" t="s">
        <v>1450</v>
      </c>
    </row>
    <row r="166" spans="1:20" x14ac:dyDescent="0.25">
      <c r="A166" s="33">
        <v>30067616</v>
      </c>
      <c r="B166" s="36" t="s">
        <v>946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1451</v>
      </c>
      <c r="K166" s="39" t="s">
        <v>1208</v>
      </c>
      <c r="L166" s="40"/>
      <c r="M166" s="40"/>
      <c r="N166" s="37"/>
      <c r="O166" s="36"/>
      <c r="P166" s="42"/>
      <c r="Q166" s="40"/>
      <c r="R166" s="39" t="s">
        <v>1213</v>
      </c>
      <c r="S166" s="44" t="s">
        <v>74</v>
      </c>
      <c r="T166" s="3" t="s">
        <v>1450</v>
      </c>
    </row>
    <row r="167" spans="1:20" x14ac:dyDescent="0.25">
      <c r="A167" s="33">
        <v>30067617</v>
      </c>
      <c r="B167" s="36" t="s">
        <v>947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1451</v>
      </c>
      <c r="K167" s="39" t="s">
        <v>1208</v>
      </c>
      <c r="L167" s="40"/>
      <c r="M167" s="40"/>
      <c r="N167" s="37"/>
      <c r="O167" s="36"/>
      <c r="P167" s="42"/>
      <c r="Q167" s="40"/>
      <c r="R167" s="39" t="s">
        <v>1213</v>
      </c>
      <c r="S167" s="44" t="s">
        <v>74</v>
      </c>
      <c r="T167" s="3" t="s">
        <v>1450</v>
      </c>
    </row>
    <row r="168" spans="1:20" x14ac:dyDescent="0.25">
      <c r="A168" s="33">
        <v>30067618</v>
      </c>
      <c r="B168" s="36" t="s">
        <v>948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1451</v>
      </c>
      <c r="K168" s="39" t="s">
        <v>1208</v>
      </c>
      <c r="L168" s="40"/>
      <c r="M168" s="40"/>
      <c r="N168" s="37"/>
      <c r="O168" s="36"/>
      <c r="P168" s="42"/>
      <c r="Q168" s="40"/>
      <c r="R168" s="39" t="s">
        <v>1213</v>
      </c>
      <c r="S168" s="44" t="s">
        <v>74</v>
      </c>
      <c r="T168" s="3" t="s">
        <v>1450</v>
      </c>
    </row>
    <row r="169" spans="1:20" x14ac:dyDescent="0.25">
      <c r="A169" s="33">
        <v>30067619</v>
      </c>
      <c r="B169" s="36" t="s">
        <v>949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1451</v>
      </c>
      <c r="K169" s="39" t="s">
        <v>1208</v>
      </c>
      <c r="L169" s="40"/>
      <c r="M169" s="40"/>
      <c r="N169" s="37"/>
      <c r="O169" s="36"/>
      <c r="P169" s="42"/>
      <c r="Q169" s="40"/>
      <c r="R169" s="39" t="s">
        <v>1213</v>
      </c>
      <c r="S169" s="44" t="s">
        <v>74</v>
      </c>
      <c r="T169" s="3" t="s">
        <v>1450</v>
      </c>
    </row>
    <row r="170" spans="1:20" x14ac:dyDescent="0.25">
      <c r="A170" s="33">
        <v>30067620</v>
      </c>
      <c r="B170" s="36" t="s">
        <v>950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1451</v>
      </c>
      <c r="K170" s="39" t="s">
        <v>1208</v>
      </c>
      <c r="L170" s="40"/>
      <c r="M170" s="40"/>
      <c r="N170" s="37"/>
      <c r="O170" s="36"/>
      <c r="P170" s="42"/>
      <c r="Q170" s="40"/>
      <c r="R170" s="39" t="s">
        <v>1213</v>
      </c>
      <c r="S170" s="44" t="s">
        <v>74</v>
      </c>
      <c r="T170" s="3" t="s">
        <v>1450</v>
      </c>
    </row>
    <row r="171" spans="1:20" x14ac:dyDescent="0.25">
      <c r="A171" s="33">
        <v>30067621</v>
      </c>
      <c r="B171" s="36" t="s">
        <v>951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1451</v>
      </c>
      <c r="K171" s="39" t="s">
        <v>1208</v>
      </c>
      <c r="L171" s="40"/>
      <c r="M171" s="40"/>
      <c r="N171" s="37"/>
      <c r="O171" s="36"/>
      <c r="P171" s="42"/>
      <c r="Q171" s="40"/>
      <c r="R171" s="39" t="s">
        <v>1213</v>
      </c>
      <c r="S171" s="44" t="s">
        <v>74</v>
      </c>
      <c r="T171" s="3" t="s">
        <v>1450</v>
      </c>
    </row>
    <row r="172" spans="1:20" x14ac:dyDescent="0.25">
      <c r="A172" s="33">
        <v>30067622</v>
      </c>
      <c r="B172" s="36" t="s">
        <v>952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1451</v>
      </c>
      <c r="K172" s="39" t="s">
        <v>1208</v>
      </c>
      <c r="L172" s="40"/>
      <c r="M172" s="40"/>
      <c r="N172" s="37"/>
      <c r="O172" s="36"/>
      <c r="P172" s="42"/>
      <c r="Q172" s="40"/>
      <c r="R172" s="39" t="s">
        <v>1213</v>
      </c>
      <c r="S172" s="44" t="s">
        <v>74</v>
      </c>
      <c r="T172" s="3" t="s">
        <v>1450</v>
      </c>
    </row>
    <row r="173" spans="1:20" x14ac:dyDescent="0.25">
      <c r="A173" s="33">
        <v>30067623</v>
      </c>
      <c r="B173" s="36" t="s">
        <v>953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1451</v>
      </c>
      <c r="K173" s="39" t="s">
        <v>1208</v>
      </c>
      <c r="L173" s="40"/>
      <c r="M173" s="40"/>
      <c r="N173" s="37"/>
      <c r="O173" s="36"/>
      <c r="P173" s="42"/>
      <c r="Q173" s="40"/>
      <c r="R173" s="39" t="s">
        <v>1213</v>
      </c>
      <c r="S173" s="44" t="s">
        <v>74</v>
      </c>
      <c r="T173" s="3" t="s">
        <v>1450</v>
      </c>
    </row>
    <row r="174" spans="1:20" x14ac:dyDescent="0.25">
      <c r="A174" s="33">
        <v>30067624</v>
      </c>
      <c r="B174" s="36" t="s">
        <v>954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1451</v>
      </c>
      <c r="K174" s="39" t="s">
        <v>1208</v>
      </c>
      <c r="L174" s="40"/>
      <c r="M174" s="40"/>
      <c r="N174" s="37"/>
      <c r="O174" s="36"/>
      <c r="P174" s="42"/>
      <c r="Q174" s="40"/>
      <c r="R174" s="39" t="s">
        <v>1213</v>
      </c>
      <c r="S174" s="44" t="s">
        <v>74</v>
      </c>
      <c r="T174" s="3" t="s">
        <v>1450</v>
      </c>
    </row>
    <row r="175" spans="1:20" x14ac:dyDescent="0.25">
      <c r="A175" s="33">
        <v>30067625</v>
      </c>
      <c r="B175" s="36" t="s">
        <v>955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1451</v>
      </c>
      <c r="K175" s="39" t="s">
        <v>1208</v>
      </c>
      <c r="L175" s="40"/>
      <c r="M175" s="40"/>
      <c r="N175" s="37"/>
      <c r="O175" s="36"/>
      <c r="P175" s="42"/>
      <c r="Q175" s="40"/>
      <c r="R175" s="39" t="s">
        <v>1213</v>
      </c>
      <c r="S175" s="44" t="s">
        <v>74</v>
      </c>
      <c r="T175" s="3" t="s">
        <v>1450</v>
      </c>
    </row>
    <row r="176" spans="1:20" x14ac:dyDescent="0.25">
      <c r="A176" s="33">
        <v>30067626</v>
      </c>
      <c r="B176" s="36" t="s">
        <v>956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1451</v>
      </c>
      <c r="K176" s="39" t="s">
        <v>1208</v>
      </c>
      <c r="L176" s="40"/>
      <c r="M176" s="40"/>
      <c r="N176" s="37"/>
      <c r="O176" s="36"/>
      <c r="P176" s="42"/>
      <c r="Q176" s="40"/>
      <c r="R176" s="39" t="s">
        <v>1213</v>
      </c>
      <c r="S176" s="44" t="s">
        <v>74</v>
      </c>
      <c r="T176" s="3" t="s">
        <v>1450</v>
      </c>
    </row>
    <row r="177" spans="1:20" x14ac:dyDescent="0.25">
      <c r="A177" s="33">
        <v>30067627</v>
      </c>
      <c r="B177" s="36" t="s">
        <v>957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1451</v>
      </c>
      <c r="K177" s="39" t="s">
        <v>1208</v>
      </c>
      <c r="L177" s="40"/>
      <c r="M177" s="40"/>
      <c r="N177" s="37"/>
      <c r="O177" s="36"/>
      <c r="P177" s="42"/>
      <c r="Q177" s="40"/>
      <c r="R177" s="39" t="s">
        <v>1213</v>
      </c>
      <c r="S177" s="44" t="s">
        <v>74</v>
      </c>
      <c r="T177" s="3" t="s">
        <v>1450</v>
      </c>
    </row>
    <row r="178" spans="1:20" x14ac:dyDescent="0.25">
      <c r="A178" s="33">
        <v>30067628</v>
      </c>
      <c r="B178" s="36" t="s">
        <v>958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1451</v>
      </c>
      <c r="K178" s="39" t="s">
        <v>1208</v>
      </c>
      <c r="L178" s="40"/>
      <c r="M178" s="40"/>
      <c r="N178" s="37"/>
      <c r="O178" s="36"/>
      <c r="P178" s="42"/>
      <c r="Q178" s="40"/>
      <c r="R178" s="39" t="s">
        <v>1213</v>
      </c>
      <c r="S178" s="44" t="s">
        <v>74</v>
      </c>
      <c r="T178" s="3" t="s">
        <v>1450</v>
      </c>
    </row>
    <row r="179" spans="1:20" x14ac:dyDescent="0.25">
      <c r="A179" s="33">
        <v>30067629</v>
      </c>
      <c r="B179" s="36" t="s">
        <v>959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1451</v>
      </c>
      <c r="K179" s="39" t="s">
        <v>1208</v>
      </c>
      <c r="L179" s="40"/>
      <c r="M179" s="40"/>
      <c r="N179" s="37"/>
      <c r="O179" s="36"/>
      <c r="P179" s="42"/>
      <c r="Q179" s="40"/>
      <c r="R179" s="39" t="s">
        <v>1213</v>
      </c>
      <c r="S179" s="44" t="s">
        <v>74</v>
      </c>
      <c r="T179" s="3" t="s">
        <v>1450</v>
      </c>
    </row>
    <row r="180" spans="1:20" x14ac:dyDescent="0.25">
      <c r="A180" s="33">
        <v>30067630</v>
      </c>
      <c r="B180" s="36" t="s">
        <v>960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1451</v>
      </c>
      <c r="K180" s="39" t="s">
        <v>1208</v>
      </c>
      <c r="L180" s="40"/>
      <c r="M180" s="40"/>
      <c r="N180" s="37"/>
      <c r="O180" s="36"/>
      <c r="P180" s="42"/>
      <c r="Q180" s="40"/>
      <c r="R180" s="39" t="s">
        <v>1213</v>
      </c>
      <c r="S180" s="44" t="s">
        <v>74</v>
      </c>
      <c r="T180" s="3" t="s">
        <v>1450</v>
      </c>
    </row>
    <row r="181" spans="1:20" x14ac:dyDescent="0.25">
      <c r="A181" s="33">
        <v>30067631</v>
      </c>
      <c r="B181" s="36" t="s">
        <v>961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1451</v>
      </c>
      <c r="K181" s="39" t="s">
        <v>1208</v>
      </c>
      <c r="L181" s="40"/>
      <c r="M181" s="40"/>
      <c r="N181" s="37"/>
      <c r="O181" s="36"/>
      <c r="P181" s="42"/>
      <c r="Q181" s="40"/>
      <c r="R181" s="39" t="s">
        <v>1213</v>
      </c>
      <c r="S181" s="44" t="s">
        <v>74</v>
      </c>
      <c r="T181" s="3" t="s">
        <v>1450</v>
      </c>
    </row>
    <row r="182" spans="1:20" x14ac:dyDescent="0.25">
      <c r="A182" s="33">
        <v>30067632</v>
      </c>
      <c r="B182" s="36" t="s">
        <v>962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1451</v>
      </c>
      <c r="K182" s="39" t="s">
        <v>1208</v>
      </c>
      <c r="L182" s="40"/>
      <c r="M182" s="40"/>
      <c r="N182" s="37"/>
      <c r="O182" s="36"/>
      <c r="P182" s="42"/>
      <c r="Q182" s="40"/>
      <c r="R182" s="39" t="s">
        <v>1213</v>
      </c>
      <c r="S182" s="44" t="s">
        <v>74</v>
      </c>
      <c r="T182" s="3" t="s">
        <v>1450</v>
      </c>
    </row>
    <row r="183" spans="1:20" x14ac:dyDescent="0.25">
      <c r="A183" s="33">
        <v>30067633</v>
      </c>
      <c r="B183" s="36" t="s">
        <v>963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1451</v>
      </c>
      <c r="K183" s="39" t="s">
        <v>1208</v>
      </c>
      <c r="L183" s="40"/>
      <c r="M183" s="40"/>
      <c r="N183" s="37"/>
      <c r="O183" s="36"/>
      <c r="P183" s="42"/>
      <c r="Q183" s="40"/>
      <c r="R183" s="39" t="s">
        <v>1213</v>
      </c>
      <c r="S183" s="44" t="s">
        <v>74</v>
      </c>
      <c r="T183" s="3" t="s">
        <v>1450</v>
      </c>
    </row>
    <row r="184" spans="1:20" x14ac:dyDescent="0.25">
      <c r="A184" s="33">
        <v>30067634</v>
      </c>
      <c r="B184" s="36" t="s">
        <v>964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1451</v>
      </c>
      <c r="K184" s="39" t="s">
        <v>1208</v>
      </c>
      <c r="L184" s="40"/>
      <c r="M184" s="40"/>
      <c r="N184" s="37"/>
      <c r="O184" s="36"/>
      <c r="P184" s="42"/>
      <c r="Q184" s="40"/>
      <c r="R184" s="39" t="s">
        <v>1213</v>
      </c>
      <c r="S184" s="44" t="s">
        <v>74</v>
      </c>
      <c r="T184" s="3" t="s">
        <v>1450</v>
      </c>
    </row>
    <row r="185" spans="1:20" x14ac:dyDescent="0.25">
      <c r="A185" s="33">
        <v>30067635</v>
      </c>
      <c r="B185" s="36" t="s">
        <v>965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1451</v>
      </c>
      <c r="K185" s="39" t="s">
        <v>1208</v>
      </c>
      <c r="L185" s="40"/>
      <c r="M185" s="40"/>
      <c r="N185" s="37"/>
      <c r="O185" s="36"/>
      <c r="P185" s="42"/>
      <c r="Q185" s="40"/>
      <c r="R185" s="39" t="s">
        <v>1213</v>
      </c>
      <c r="S185" s="44" t="s">
        <v>74</v>
      </c>
      <c r="T185" s="3" t="s">
        <v>1450</v>
      </c>
    </row>
    <row r="186" spans="1:20" x14ac:dyDescent="0.25">
      <c r="A186" s="33">
        <v>30067636</v>
      </c>
      <c r="B186" s="36" t="s">
        <v>966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1451</v>
      </c>
      <c r="K186" s="39" t="s">
        <v>1208</v>
      </c>
      <c r="L186" s="40"/>
      <c r="M186" s="40"/>
      <c r="N186" s="37"/>
      <c r="O186" s="36"/>
      <c r="P186" s="42"/>
      <c r="Q186" s="40"/>
      <c r="R186" s="39" t="s">
        <v>1213</v>
      </c>
      <c r="S186" s="44" t="s">
        <v>74</v>
      </c>
      <c r="T186" s="3" t="s">
        <v>1450</v>
      </c>
    </row>
    <row r="187" spans="1:20" x14ac:dyDescent="0.25">
      <c r="A187" s="33">
        <v>30067637</v>
      </c>
      <c r="B187" s="36" t="s">
        <v>967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1451</v>
      </c>
      <c r="K187" s="39" t="s">
        <v>1208</v>
      </c>
      <c r="L187" s="40"/>
      <c r="M187" s="40"/>
      <c r="N187" s="37"/>
      <c r="O187" s="36"/>
      <c r="P187" s="42"/>
      <c r="Q187" s="40"/>
      <c r="R187" s="39" t="s">
        <v>1213</v>
      </c>
      <c r="S187" s="44" t="s">
        <v>74</v>
      </c>
      <c r="T187" s="3" t="s">
        <v>1450</v>
      </c>
    </row>
    <row r="188" spans="1:20" x14ac:dyDescent="0.25">
      <c r="A188" s="33">
        <v>30067638</v>
      </c>
      <c r="B188" s="36" t="s">
        <v>968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1451</v>
      </c>
      <c r="K188" s="39" t="s">
        <v>1208</v>
      </c>
      <c r="L188" s="40"/>
      <c r="M188" s="40"/>
      <c r="N188" s="37"/>
      <c r="O188" s="36"/>
      <c r="P188" s="42"/>
      <c r="Q188" s="40"/>
      <c r="R188" s="39" t="s">
        <v>1213</v>
      </c>
      <c r="S188" s="44" t="s">
        <v>66</v>
      </c>
      <c r="T188" s="3" t="s">
        <v>1450</v>
      </c>
    </row>
    <row r="189" spans="1:20" x14ac:dyDescent="0.25">
      <c r="A189" s="33">
        <v>30067639</v>
      </c>
      <c r="B189" s="36" t="s">
        <v>969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1451</v>
      </c>
      <c r="K189" s="39" t="s">
        <v>1208</v>
      </c>
      <c r="L189" s="40"/>
      <c r="M189" s="40"/>
      <c r="N189" s="37"/>
      <c r="O189" s="36"/>
      <c r="P189" s="42"/>
      <c r="Q189" s="40"/>
      <c r="R189" s="39" t="s">
        <v>1213</v>
      </c>
      <c r="S189" s="44" t="s">
        <v>74</v>
      </c>
      <c r="T189" s="3" t="s">
        <v>1450</v>
      </c>
    </row>
    <row r="190" spans="1:20" x14ac:dyDescent="0.25">
      <c r="A190" s="33">
        <v>30067640</v>
      </c>
      <c r="B190" s="36" t="s">
        <v>970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1451</v>
      </c>
      <c r="K190" s="39" t="s">
        <v>1208</v>
      </c>
      <c r="L190" s="40"/>
      <c r="M190" s="40"/>
      <c r="N190" s="37"/>
      <c r="O190" s="36"/>
      <c r="P190" s="42"/>
      <c r="Q190" s="40"/>
      <c r="R190" s="39" t="s">
        <v>1213</v>
      </c>
      <c r="S190" s="44" t="s">
        <v>74</v>
      </c>
      <c r="T190" s="3" t="s">
        <v>1450</v>
      </c>
    </row>
    <row r="191" spans="1:20" x14ac:dyDescent="0.25">
      <c r="A191" s="33">
        <v>30067641</v>
      </c>
      <c r="B191" s="36" t="s">
        <v>971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1451</v>
      </c>
      <c r="K191" s="39" t="s">
        <v>1208</v>
      </c>
      <c r="L191" s="40"/>
      <c r="M191" s="40"/>
      <c r="N191" s="37"/>
      <c r="O191" s="36"/>
      <c r="P191" s="42"/>
      <c r="Q191" s="40"/>
      <c r="R191" s="39" t="s">
        <v>1213</v>
      </c>
      <c r="S191" s="44" t="s">
        <v>74</v>
      </c>
      <c r="T191" s="3" t="s">
        <v>1450</v>
      </c>
    </row>
    <row r="192" spans="1:20" x14ac:dyDescent="0.25">
      <c r="A192" s="33">
        <v>30067642</v>
      </c>
      <c r="B192" s="36" t="s">
        <v>972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1451</v>
      </c>
      <c r="K192" s="39" t="s">
        <v>1208</v>
      </c>
      <c r="L192" s="40"/>
      <c r="M192" s="40"/>
      <c r="N192" s="37"/>
      <c r="O192" s="36"/>
      <c r="P192" s="42"/>
      <c r="Q192" s="40"/>
      <c r="R192" s="39" t="s">
        <v>1213</v>
      </c>
      <c r="S192" s="44" t="s">
        <v>74</v>
      </c>
      <c r="T192" s="3" t="s">
        <v>1450</v>
      </c>
    </row>
    <row r="193" spans="1:20" x14ac:dyDescent="0.25">
      <c r="A193" s="33">
        <v>30067643</v>
      </c>
      <c r="B193" s="36" t="s">
        <v>973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1451</v>
      </c>
      <c r="K193" s="39" t="s">
        <v>1208</v>
      </c>
      <c r="L193" s="40"/>
      <c r="M193" s="40"/>
      <c r="N193" s="37"/>
      <c r="O193" s="36"/>
      <c r="P193" s="42"/>
      <c r="Q193" s="40"/>
      <c r="R193" s="39" t="s">
        <v>1213</v>
      </c>
      <c r="S193" s="44" t="s">
        <v>74</v>
      </c>
      <c r="T193" s="3" t="s">
        <v>1450</v>
      </c>
    </row>
    <row r="194" spans="1:20" x14ac:dyDescent="0.25">
      <c r="A194" s="33">
        <v>30067644</v>
      </c>
      <c r="B194" s="36" t="s">
        <v>974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1451</v>
      </c>
      <c r="K194" s="39" t="s">
        <v>1208</v>
      </c>
      <c r="L194" s="40"/>
      <c r="M194" s="40"/>
      <c r="N194" s="37"/>
      <c r="O194" s="36"/>
      <c r="P194" s="42"/>
      <c r="Q194" s="40"/>
      <c r="R194" s="39" t="s">
        <v>1213</v>
      </c>
      <c r="S194" s="44" t="s">
        <v>74</v>
      </c>
      <c r="T194" s="3" t="s">
        <v>1450</v>
      </c>
    </row>
    <row r="195" spans="1:20" x14ac:dyDescent="0.25">
      <c r="A195" s="33">
        <v>30067645</v>
      </c>
      <c r="B195" s="36" t="s">
        <v>975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1451</v>
      </c>
      <c r="K195" s="39" t="s">
        <v>1208</v>
      </c>
      <c r="L195" s="40"/>
      <c r="M195" s="40"/>
      <c r="N195" s="37"/>
      <c r="O195" s="36"/>
      <c r="P195" s="42"/>
      <c r="Q195" s="40"/>
      <c r="R195" s="39" t="s">
        <v>1213</v>
      </c>
      <c r="S195" s="44" t="s">
        <v>74</v>
      </c>
      <c r="T195" s="3" t="s">
        <v>1450</v>
      </c>
    </row>
    <row r="196" spans="1:20" x14ac:dyDescent="0.25">
      <c r="A196" s="33">
        <v>30067646</v>
      </c>
      <c r="B196" s="36" t="s">
        <v>976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1451</v>
      </c>
      <c r="K196" s="39" t="s">
        <v>1208</v>
      </c>
      <c r="L196" s="40"/>
      <c r="M196" s="40"/>
      <c r="N196" s="37"/>
      <c r="O196" s="36"/>
      <c r="P196" s="42"/>
      <c r="Q196" s="40"/>
      <c r="R196" s="39" t="s">
        <v>1213</v>
      </c>
      <c r="S196" s="44" t="s">
        <v>74</v>
      </c>
      <c r="T196" s="3" t="s">
        <v>1450</v>
      </c>
    </row>
    <row r="197" spans="1:20" x14ac:dyDescent="0.25">
      <c r="A197" s="33">
        <v>30067647</v>
      </c>
      <c r="B197" s="36" t="s">
        <v>977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1451</v>
      </c>
      <c r="K197" s="39" t="s">
        <v>1208</v>
      </c>
      <c r="L197" s="40"/>
      <c r="M197" s="40"/>
      <c r="N197" s="37"/>
      <c r="O197" s="36"/>
      <c r="P197" s="42"/>
      <c r="Q197" s="40"/>
      <c r="R197" s="39" t="s">
        <v>1213</v>
      </c>
      <c r="S197" s="44" t="s">
        <v>74</v>
      </c>
      <c r="T197" s="3" t="s">
        <v>1450</v>
      </c>
    </row>
    <row r="198" spans="1:20" x14ac:dyDescent="0.25">
      <c r="A198" s="33">
        <v>30067648</v>
      </c>
      <c r="B198" s="36" t="s">
        <v>978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1451</v>
      </c>
      <c r="K198" s="39" t="s">
        <v>1208</v>
      </c>
      <c r="L198" s="40"/>
      <c r="M198" s="40"/>
      <c r="N198" s="37"/>
      <c r="O198" s="36"/>
      <c r="P198" s="42"/>
      <c r="Q198" s="40"/>
      <c r="R198" s="39" t="s">
        <v>1213</v>
      </c>
      <c r="S198" s="44" t="s">
        <v>74</v>
      </c>
      <c r="T198" s="3" t="s">
        <v>1450</v>
      </c>
    </row>
    <row r="199" spans="1:20" x14ac:dyDescent="0.25">
      <c r="A199" s="33">
        <v>30067649</v>
      </c>
      <c r="B199" s="36" t="s">
        <v>979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1451</v>
      </c>
      <c r="K199" s="39" t="s">
        <v>1208</v>
      </c>
      <c r="L199" s="40"/>
      <c r="M199" s="40"/>
      <c r="N199" s="37"/>
      <c r="O199" s="36"/>
      <c r="P199" s="42"/>
      <c r="Q199" s="40"/>
      <c r="R199" s="39" t="s">
        <v>1213</v>
      </c>
      <c r="S199" s="44" t="s">
        <v>74</v>
      </c>
      <c r="T199" s="3" t="s">
        <v>1450</v>
      </c>
    </row>
    <row r="200" spans="1:20" x14ac:dyDescent="0.25">
      <c r="A200" s="33">
        <v>30067650</v>
      </c>
      <c r="B200" s="36" t="s">
        <v>980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1451</v>
      </c>
      <c r="K200" s="39" t="s">
        <v>1208</v>
      </c>
      <c r="L200" s="40"/>
      <c r="M200" s="40"/>
      <c r="N200" s="37"/>
      <c r="O200" s="36"/>
      <c r="P200" s="42"/>
      <c r="Q200" s="40"/>
      <c r="R200" s="39" t="s">
        <v>1213</v>
      </c>
      <c r="S200" s="44" t="s">
        <v>74</v>
      </c>
      <c r="T200" s="3" t="s">
        <v>1450</v>
      </c>
    </row>
    <row r="201" spans="1:20" x14ac:dyDescent="0.25">
      <c r="A201" s="33">
        <v>30067651</v>
      </c>
      <c r="B201" s="36" t="s">
        <v>981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1451</v>
      </c>
      <c r="K201" s="39" t="s">
        <v>1208</v>
      </c>
      <c r="L201" s="40"/>
      <c r="M201" s="40"/>
      <c r="N201" s="37"/>
      <c r="O201" s="36"/>
      <c r="P201" s="42"/>
      <c r="Q201" s="40"/>
      <c r="R201" s="39" t="s">
        <v>1213</v>
      </c>
      <c r="S201" s="44" t="s">
        <v>74</v>
      </c>
      <c r="T201" s="3" t="s">
        <v>1450</v>
      </c>
    </row>
    <row r="202" spans="1:20" x14ac:dyDescent="0.25">
      <c r="A202" s="33">
        <v>30067652</v>
      </c>
      <c r="B202" s="36" t="s">
        <v>982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1451</v>
      </c>
      <c r="K202" s="39" t="s">
        <v>1208</v>
      </c>
      <c r="L202" s="40"/>
      <c r="M202" s="40"/>
      <c r="N202" s="37"/>
      <c r="O202" s="36"/>
      <c r="P202" s="42"/>
      <c r="Q202" s="40"/>
      <c r="R202" s="39" t="s">
        <v>1213</v>
      </c>
      <c r="S202" s="44" t="s">
        <v>74</v>
      </c>
      <c r="T202" s="3" t="s">
        <v>1450</v>
      </c>
    </row>
    <row r="203" spans="1:20" x14ac:dyDescent="0.25">
      <c r="A203" s="33">
        <v>30067653</v>
      </c>
      <c r="B203" s="36" t="s">
        <v>983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1451</v>
      </c>
      <c r="K203" s="39" t="s">
        <v>1208</v>
      </c>
      <c r="L203" s="40"/>
      <c r="M203" s="40"/>
      <c r="N203" s="37"/>
      <c r="O203" s="36"/>
      <c r="P203" s="42"/>
      <c r="Q203" s="40"/>
      <c r="R203" s="39" t="s">
        <v>1213</v>
      </c>
      <c r="S203" s="44" t="s">
        <v>74</v>
      </c>
      <c r="T203" s="3" t="s">
        <v>1450</v>
      </c>
    </row>
    <row r="204" spans="1:20" x14ac:dyDescent="0.25">
      <c r="A204" s="33">
        <v>30067654</v>
      </c>
      <c r="B204" s="36" t="s">
        <v>984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1451</v>
      </c>
      <c r="K204" s="39" t="s">
        <v>1208</v>
      </c>
      <c r="L204" s="40"/>
      <c r="M204" s="40"/>
      <c r="N204" s="37"/>
      <c r="O204" s="36"/>
      <c r="P204" s="42"/>
      <c r="Q204" s="40"/>
      <c r="R204" s="39" t="s">
        <v>1213</v>
      </c>
      <c r="S204" s="44" t="s">
        <v>74</v>
      </c>
      <c r="T204" s="3" t="s">
        <v>1450</v>
      </c>
    </row>
    <row r="205" spans="1:20" x14ac:dyDescent="0.25">
      <c r="A205" s="33">
        <v>30067655</v>
      </c>
      <c r="B205" s="36" t="s">
        <v>985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1451</v>
      </c>
      <c r="K205" s="39" t="s">
        <v>1208</v>
      </c>
      <c r="L205" s="40"/>
      <c r="M205" s="40"/>
      <c r="N205" s="37"/>
      <c r="O205" s="36"/>
      <c r="P205" s="42"/>
      <c r="Q205" s="40"/>
      <c r="R205" s="39" t="s">
        <v>1213</v>
      </c>
      <c r="S205" s="44" t="s">
        <v>67</v>
      </c>
      <c r="T205" s="3" t="s">
        <v>1450</v>
      </c>
    </row>
    <row r="206" spans="1:20" x14ac:dyDescent="0.25">
      <c r="A206" s="33">
        <v>30067656</v>
      </c>
      <c r="B206" s="36" t="s">
        <v>986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1451</v>
      </c>
      <c r="K206" s="39" t="s">
        <v>1208</v>
      </c>
      <c r="L206" s="40"/>
      <c r="M206" s="40"/>
      <c r="N206" s="37"/>
      <c r="O206" s="36"/>
      <c r="P206" s="42"/>
      <c r="Q206" s="40"/>
      <c r="R206" s="39" t="s">
        <v>1213</v>
      </c>
      <c r="S206" s="44" t="s">
        <v>67</v>
      </c>
      <c r="T206" s="3" t="s">
        <v>1450</v>
      </c>
    </row>
    <row r="207" spans="1:20" x14ac:dyDescent="0.25">
      <c r="A207" s="33">
        <v>30067657</v>
      </c>
      <c r="B207" s="36" t="s">
        <v>987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1451</v>
      </c>
      <c r="K207" s="39" t="s">
        <v>1208</v>
      </c>
      <c r="L207" s="40"/>
      <c r="M207" s="40"/>
      <c r="N207" s="37"/>
      <c r="O207" s="36"/>
      <c r="P207" s="42"/>
      <c r="Q207" s="40"/>
      <c r="R207" s="39" t="s">
        <v>1213</v>
      </c>
      <c r="S207" s="44" t="s">
        <v>67</v>
      </c>
      <c r="T207" s="3" t="s">
        <v>1450</v>
      </c>
    </row>
    <row r="208" spans="1:20" x14ac:dyDescent="0.25">
      <c r="A208" s="33">
        <v>30067658</v>
      </c>
      <c r="B208" s="36" t="s">
        <v>988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1451</v>
      </c>
      <c r="K208" s="39" t="s">
        <v>1208</v>
      </c>
      <c r="L208" s="40"/>
      <c r="M208" s="40"/>
      <c r="N208" s="37"/>
      <c r="O208" s="36"/>
      <c r="P208" s="42"/>
      <c r="Q208" s="40"/>
      <c r="R208" s="39" t="s">
        <v>1213</v>
      </c>
      <c r="S208" s="44" t="s">
        <v>74</v>
      </c>
      <c r="T208" s="3" t="s">
        <v>1450</v>
      </c>
    </row>
    <row r="209" spans="1:20" x14ac:dyDescent="0.25">
      <c r="A209" s="33">
        <v>30067659</v>
      </c>
      <c r="B209" s="36" t="s">
        <v>1096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1451</v>
      </c>
      <c r="K209" s="39" t="s">
        <v>1208</v>
      </c>
      <c r="L209" s="40"/>
      <c r="M209" s="40"/>
      <c r="N209" s="37"/>
      <c r="O209" s="36"/>
      <c r="P209" s="42"/>
      <c r="Q209" s="40"/>
      <c r="R209" s="39" t="s">
        <v>1213</v>
      </c>
      <c r="S209" s="44" t="s">
        <v>74</v>
      </c>
      <c r="T209" s="3" t="s">
        <v>1450</v>
      </c>
    </row>
    <row r="210" spans="1:20" x14ac:dyDescent="0.25">
      <c r="A210" s="33">
        <v>30067660</v>
      </c>
      <c r="B210" s="36" t="s">
        <v>1097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1451</v>
      </c>
      <c r="K210" s="39" t="s">
        <v>1208</v>
      </c>
      <c r="L210" s="40"/>
      <c r="M210" s="40"/>
      <c r="N210" s="37"/>
      <c r="O210" s="36"/>
      <c r="P210" s="42"/>
      <c r="Q210" s="40"/>
      <c r="R210" s="39" t="s">
        <v>1213</v>
      </c>
      <c r="S210" s="44" t="s">
        <v>74</v>
      </c>
      <c r="T210" s="3" t="s">
        <v>1450</v>
      </c>
    </row>
    <row r="211" spans="1:20" x14ac:dyDescent="0.25">
      <c r="A211" s="33">
        <v>30067661</v>
      </c>
      <c r="B211" s="36" t="s">
        <v>1098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1451</v>
      </c>
      <c r="K211" s="39" t="s">
        <v>1208</v>
      </c>
      <c r="L211" s="40"/>
      <c r="M211" s="40"/>
      <c r="N211" s="37"/>
      <c r="O211" s="36"/>
      <c r="P211" s="42"/>
      <c r="Q211" s="40"/>
      <c r="R211" s="39" t="s">
        <v>1213</v>
      </c>
      <c r="S211" s="44" t="s">
        <v>74</v>
      </c>
      <c r="T211" s="3" t="s">
        <v>1450</v>
      </c>
    </row>
    <row r="212" spans="1:20" x14ac:dyDescent="0.25">
      <c r="A212" s="33">
        <v>30067662</v>
      </c>
      <c r="B212" s="36" t="s">
        <v>1099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1451</v>
      </c>
      <c r="K212" s="39" t="s">
        <v>1208</v>
      </c>
      <c r="L212" s="40"/>
      <c r="M212" s="40"/>
      <c r="N212" s="37"/>
      <c r="O212" s="36"/>
      <c r="P212" s="42"/>
      <c r="Q212" s="40"/>
      <c r="R212" s="39" t="s">
        <v>1213</v>
      </c>
      <c r="S212" s="44" t="s">
        <v>74</v>
      </c>
      <c r="T212" s="3" t="s">
        <v>1450</v>
      </c>
    </row>
    <row r="213" spans="1:20" x14ac:dyDescent="0.25">
      <c r="A213" s="33">
        <v>30067663</v>
      </c>
      <c r="B213" s="36" t="s">
        <v>989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1451</v>
      </c>
      <c r="K213" s="39" t="s">
        <v>1208</v>
      </c>
      <c r="L213" s="40"/>
      <c r="M213" s="40"/>
      <c r="N213" s="37"/>
      <c r="O213" s="36"/>
      <c r="P213" s="42"/>
      <c r="Q213" s="40"/>
      <c r="R213" s="39" t="s">
        <v>1213</v>
      </c>
      <c r="S213" s="44" t="s">
        <v>74</v>
      </c>
      <c r="T213" s="3" t="s">
        <v>1450</v>
      </c>
    </row>
    <row r="214" spans="1:20" x14ac:dyDescent="0.25">
      <c r="A214" s="33">
        <v>30067664</v>
      </c>
      <c r="B214" s="36" t="s">
        <v>990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1451</v>
      </c>
      <c r="K214" s="39" t="s">
        <v>1208</v>
      </c>
      <c r="L214" s="40"/>
      <c r="M214" s="40"/>
      <c r="N214" s="37"/>
      <c r="O214" s="36"/>
      <c r="P214" s="42"/>
      <c r="Q214" s="40"/>
      <c r="R214" s="39" t="s">
        <v>1213</v>
      </c>
      <c r="S214" s="44" t="s">
        <v>74</v>
      </c>
      <c r="T214" s="3" t="s">
        <v>1450</v>
      </c>
    </row>
    <row r="215" spans="1:20" x14ac:dyDescent="0.25">
      <c r="A215" s="33">
        <v>30067665</v>
      </c>
      <c r="B215" s="36" t="s">
        <v>991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1451</v>
      </c>
      <c r="K215" s="39" t="s">
        <v>1208</v>
      </c>
      <c r="L215" s="40"/>
      <c r="M215" s="40"/>
      <c r="N215" s="37"/>
      <c r="O215" s="36"/>
      <c r="P215" s="42"/>
      <c r="Q215" s="40"/>
      <c r="R215" s="39" t="s">
        <v>1213</v>
      </c>
      <c r="S215" s="44" t="s">
        <v>74</v>
      </c>
      <c r="T215" s="3" t="s">
        <v>1450</v>
      </c>
    </row>
    <row r="216" spans="1:20" x14ac:dyDescent="0.25">
      <c r="A216" s="33">
        <v>30067666</v>
      </c>
      <c r="B216" s="36" t="s">
        <v>992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1451</v>
      </c>
      <c r="K216" s="39" t="s">
        <v>1208</v>
      </c>
      <c r="L216" s="40"/>
      <c r="M216" s="40"/>
      <c r="N216" s="37"/>
      <c r="O216" s="36"/>
      <c r="P216" s="42"/>
      <c r="Q216" s="40"/>
      <c r="R216" s="39" t="s">
        <v>1213</v>
      </c>
      <c r="S216" s="44" t="s">
        <v>74</v>
      </c>
      <c r="T216" s="3" t="s">
        <v>1450</v>
      </c>
    </row>
    <row r="217" spans="1:20" x14ac:dyDescent="0.25">
      <c r="A217" s="33">
        <v>30067667</v>
      </c>
      <c r="B217" s="36" t="s">
        <v>993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1451</v>
      </c>
      <c r="K217" s="39" t="s">
        <v>1208</v>
      </c>
      <c r="L217" s="40"/>
      <c r="M217" s="40"/>
      <c r="N217" s="37"/>
      <c r="O217" s="36"/>
      <c r="P217" s="42"/>
      <c r="Q217" s="40"/>
      <c r="R217" s="39" t="s">
        <v>1213</v>
      </c>
      <c r="S217" s="44" t="s">
        <v>74</v>
      </c>
      <c r="T217" s="3" t="s">
        <v>1450</v>
      </c>
    </row>
    <row r="218" spans="1:20" x14ac:dyDescent="0.25">
      <c r="A218" s="33">
        <v>30067668</v>
      </c>
      <c r="B218" s="36" t="s">
        <v>994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1451</v>
      </c>
      <c r="K218" s="39" t="s">
        <v>1208</v>
      </c>
      <c r="L218" s="40"/>
      <c r="M218" s="40"/>
      <c r="N218" s="37"/>
      <c r="O218" s="36"/>
      <c r="P218" s="42"/>
      <c r="Q218" s="40"/>
      <c r="R218" s="39" t="s">
        <v>1213</v>
      </c>
      <c r="S218" s="44" t="s">
        <v>74</v>
      </c>
      <c r="T218" s="3" t="s">
        <v>1450</v>
      </c>
    </row>
    <row r="219" spans="1:20" x14ac:dyDescent="0.25">
      <c r="A219" s="33">
        <v>30067669</v>
      </c>
      <c r="B219" s="36" t="s">
        <v>995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1451</v>
      </c>
      <c r="K219" s="39" t="s">
        <v>1208</v>
      </c>
      <c r="L219" s="40"/>
      <c r="M219" s="40"/>
      <c r="N219" s="37"/>
      <c r="O219" s="36"/>
      <c r="P219" s="42"/>
      <c r="Q219" s="40"/>
      <c r="R219" s="39" t="s">
        <v>1213</v>
      </c>
      <c r="S219" s="44" t="s">
        <v>74</v>
      </c>
      <c r="T219" s="3" t="s">
        <v>1450</v>
      </c>
    </row>
    <row r="220" spans="1:20" x14ac:dyDescent="0.25">
      <c r="A220" s="33">
        <v>30067670</v>
      </c>
      <c r="B220" s="36" t="s">
        <v>996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1451</v>
      </c>
      <c r="K220" s="39" t="s">
        <v>1208</v>
      </c>
      <c r="L220" s="40"/>
      <c r="M220" s="40"/>
      <c r="N220" s="37"/>
      <c r="O220" s="36"/>
      <c r="P220" s="42"/>
      <c r="Q220" s="40"/>
      <c r="R220" s="39" t="s">
        <v>1213</v>
      </c>
      <c r="S220" s="44" t="s">
        <v>74</v>
      </c>
      <c r="T220" s="3" t="s">
        <v>1450</v>
      </c>
    </row>
    <row r="221" spans="1:20" x14ac:dyDescent="0.25">
      <c r="A221" s="33">
        <v>30067671</v>
      </c>
      <c r="B221" s="36" t="s">
        <v>997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1451</v>
      </c>
      <c r="K221" s="39" t="s">
        <v>1208</v>
      </c>
      <c r="L221" s="40"/>
      <c r="M221" s="40"/>
      <c r="N221" s="37"/>
      <c r="O221" s="36"/>
      <c r="P221" s="42"/>
      <c r="Q221" s="40"/>
      <c r="R221" s="39" t="s">
        <v>1213</v>
      </c>
      <c r="S221" s="44" t="s">
        <v>74</v>
      </c>
      <c r="T221" s="3" t="s">
        <v>1450</v>
      </c>
    </row>
    <row r="222" spans="1:20" x14ac:dyDescent="0.25">
      <c r="A222" s="33">
        <v>30067672</v>
      </c>
      <c r="B222" s="36" t="s">
        <v>998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1451</v>
      </c>
      <c r="K222" s="39" t="s">
        <v>1208</v>
      </c>
      <c r="L222" s="40"/>
      <c r="M222" s="40"/>
      <c r="N222" s="37"/>
      <c r="O222" s="36"/>
      <c r="P222" s="42"/>
      <c r="Q222" s="40"/>
      <c r="R222" s="39" t="s">
        <v>1213</v>
      </c>
      <c r="S222" s="44" t="s">
        <v>74</v>
      </c>
      <c r="T222" s="3" t="s">
        <v>1450</v>
      </c>
    </row>
    <row r="223" spans="1:20" x14ac:dyDescent="0.25">
      <c r="A223" s="33">
        <v>30067673</v>
      </c>
      <c r="B223" s="36" t="s">
        <v>999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1451</v>
      </c>
      <c r="K223" s="39" t="s">
        <v>1208</v>
      </c>
      <c r="L223" s="40"/>
      <c r="M223" s="40"/>
      <c r="N223" s="37"/>
      <c r="O223" s="36"/>
      <c r="P223" s="42"/>
      <c r="Q223" s="40"/>
      <c r="R223" s="39" t="s">
        <v>1213</v>
      </c>
      <c r="S223" s="44" t="s">
        <v>74</v>
      </c>
      <c r="T223" s="3" t="s">
        <v>1450</v>
      </c>
    </row>
    <row r="224" spans="1:20" x14ac:dyDescent="0.25">
      <c r="A224" s="33">
        <v>30067674</v>
      </c>
      <c r="B224" s="36" t="s">
        <v>1000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1451</v>
      </c>
      <c r="K224" s="39" t="s">
        <v>1208</v>
      </c>
      <c r="L224" s="40"/>
      <c r="M224" s="40"/>
      <c r="N224" s="37"/>
      <c r="O224" s="36"/>
      <c r="P224" s="42"/>
      <c r="Q224" s="40"/>
      <c r="R224" s="39" t="s">
        <v>1213</v>
      </c>
      <c r="S224" s="44" t="s">
        <v>74</v>
      </c>
      <c r="T224" s="3" t="s">
        <v>1450</v>
      </c>
    </row>
    <row r="225" spans="1:20" x14ac:dyDescent="0.25">
      <c r="A225" s="33">
        <v>30067675</v>
      </c>
      <c r="B225" s="36" t="s">
        <v>1001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1451</v>
      </c>
      <c r="K225" s="39" t="s">
        <v>1208</v>
      </c>
      <c r="L225" s="40"/>
      <c r="M225" s="40"/>
      <c r="N225" s="37"/>
      <c r="O225" s="36"/>
      <c r="P225" s="42"/>
      <c r="Q225" s="40"/>
      <c r="R225" s="39" t="s">
        <v>1213</v>
      </c>
      <c r="S225" s="44" t="s">
        <v>74</v>
      </c>
      <c r="T225" s="3" t="s">
        <v>1450</v>
      </c>
    </row>
    <row r="226" spans="1:20" x14ac:dyDescent="0.25">
      <c r="A226" s="33">
        <v>30067676</v>
      </c>
      <c r="B226" s="36" t="s">
        <v>1002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1451</v>
      </c>
      <c r="K226" s="39" t="s">
        <v>1208</v>
      </c>
      <c r="L226" s="40"/>
      <c r="M226" s="40"/>
      <c r="N226" s="37"/>
      <c r="O226" s="36"/>
      <c r="P226" s="42"/>
      <c r="Q226" s="40"/>
      <c r="R226" s="39" t="s">
        <v>1213</v>
      </c>
      <c r="S226" s="44" t="s">
        <v>74</v>
      </c>
      <c r="T226" s="3" t="s">
        <v>1450</v>
      </c>
    </row>
    <row r="227" spans="1:20" x14ac:dyDescent="0.25">
      <c r="A227" s="33">
        <v>30067677</v>
      </c>
      <c r="B227" s="36" t="s">
        <v>1003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1451</v>
      </c>
      <c r="K227" s="39" t="s">
        <v>1208</v>
      </c>
      <c r="L227" s="40"/>
      <c r="M227" s="40"/>
      <c r="N227" s="37"/>
      <c r="O227" s="36"/>
      <c r="P227" s="42"/>
      <c r="Q227" s="40"/>
      <c r="R227" s="39" t="s">
        <v>1213</v>
      </c>
      <c r="S227" s="44" t="s">
        <v>74</v>
      </c>
      <c r="T227" s="3" t="s">
        <v>1450</v>
      </c>
    </row>
    <row r="228" spans="1:20" x14ac:dyDescent="0.25">
      <c r="A228" s="33">
        <v>30067678</v>
      </c>
      <c r="B228" s="36" t="s">
        <v>1004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1451</v>
      </c>
      <c r="K228" s="39" t="s">
        <v>1208</v>
      </c>
      <c r="L228" s="40"/>
      <c r="M228" s="40"/>
      <c r="N228" s="37"/>
      <c r="O228" s="36"/>
      <c r="P228" s="42"/>
      <c r="Q228" s="40"/>
      <c r="R228" s="39" t="s">
        <v>1213</v>
      </c>
      <c r="S228" s="44" t="s">
        <v>74</v>
      </c>
      <c r="T228" s="3" t="s">
        <v>1450</v>
      </c>
    </row>
    <row r="229" spans="1:20" x14ac:dyDescent="0.25">
      <c r="A229" s="33">
        <v>30067679</v>
      </c>
      <c r="B229" s="36" t="s">
        <v>1005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1451</v>
      </c>
      <c r="K229" s="39" t="s">
        <v>1208</v>
      </c>
      <c r="L229" s="40"/>
      <c r="M229" s="40"/>
      <c r="N229" s="37"/>
      <c r="O229" s="36"/>
      <c r="P229" s="42"/>
      <c r="Q229" s="40"/>
      <c r="R229" s="39" t="s">
        <v>1213</v>
      </c>
      <c r="S229" s="44" t="s">
        <v>74</v>
      </c>
      <c r="T229" s="3" t="s">
        <v>1450</v>
      </c>
    </row>
    <row r="230" spans="1:20" x14ac:dyDescent="0.25">
      <c r="A230" s="33">
        <v>30067680</v>
      </c>
      <c r="B230" s="36" t="s">
        <v>1006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1451</v>
      </c>
      <c r="K230" s="39" t="s">
        <v>1208</v>
      </c>
      <c r="L230" s="40"/>
      <c r="M230" s="40"/>
      <c r="N230" s="37"/>
      <c r="O230" s="36"/>
      <c r="P230" s="42"/>
      <c r="Q230" s="40"/>
      <c r="R230" s="39" t="s">
        <v>1213</v>
      </c>
      <c r="S230" s="44" t="s">
        <v>74</v>
      </c>
      <c r="T230" s="3" t="s">
        <v>1450</v>
      </c>
    </row>
    <row r="231" spans="1:20" x14ac:dyDescent="0.25">
      <c r="A231" s="33">
        <v>30067681</v>
      </c>
      <c r="B231" s="36" t="s">
        <v>1007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1451</v>
      </c>
      <c r="K231" s="39" t="s">
        <v>1208</v>
      </c>
      <c r="L231" s="40"/>
      <c r="M231" s="40"/>
      <c r="N231" s="37"/>
      <c r="O231" s="36"/>
      <c r="P231" s="42"/>
      <c r="Q231" s="40"/>
      <c r="R231" s="39" t="s">
        <v>1213</v>
      </c>
      <c r="S231" s="44" t="s">
        <v>74</v>
      </c>
      <c r="T231" s="3" t="s">
        <v>1450</v>
      </c>
    </row>
    <row r="232" spans="1:20" x14ac:dyDescent="0.25">
      <c r="A232" s="33">
        <v>30067682</v>
      </c>
      <c r="B232" s="36" t="s">
        <v>1008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1451</v>
      </c>
      <c r="K232" s="39" t="s">
        <v>1208</v>
      </c>
      <c r="L232" s="40"/>
      <c r="M232" s="40"/>
      <c r="N232" s="37"/>
      <c r="O232" s="36"/>
      <c r="P232" s="42"/>
      <c r="Q232" s="40"/>
      <c r="R232" s="39" t="s">
        <v>1213</v>
      </c>
      <c r="S232" s="44" t="s">
        <v>74</v>
      </c>
      <c r="T232" s="3" t="s">
        <v>1450</v>
      </c>
    </row>
    <row r="233" spans="1:20" x14ac:dyDescent="0.25">
      <c r="A233" s="33">
        <v>30067683</v>
      </c>
      <c r="B233" s="36" t="s">
        <v>1009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1451</v>
      </c>
      <c r="K233" s="39" t="s">
        <v>1208</v>
      </c>
      <c r="L233" s="40"/>
      <c r="M233" s="40"/>
      <c r="N233" s="37"/>
      <c r="O233" s="36"/>
      <c r="P233" s="42"/>
      <c r="Q233" s="40"/>
      <c r="R233" s="39" t="s">
        <v>1213</v>
      </c>
      <c r="S233" s="44" t="s">
        <v>74</v>
      </c>
      <c r="T233" s="3" t="s">
        <v>1450</v>
      </c>
    </row>
    <row r="234" spans="1:20" x14ac:dyDescent="0.25">
      <c r="A234" s="33">
        <v>30067684</v>
      </c>
      <c r="B234" s="36" t="s">
        <v>1010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1451</v>
      </c>
      <c r="K234" s="39" t="s">
        <v>1208</v>
      </c>
      <c r="L234" s="40"/>
      <c r="M234" s="40"/>
      <c r="N234" s="37"/>
      <c r="O234" s="36"/>
      <c r="P234" s="42"/>
      <c r="Q234" s="40"/>
      <c r="R234" s="39" t="s">
        <v>1213</v>
      </c>
      <c r="S234" s="44" t="s">
        <v>74</v>
      </c>
      <c r="T234" s="3" t="s">
        <v>1450</v>
      </c>
    </row>
    <row r="235" spans="1:20" x14ac:dyDescent="0.25">
      <c r="A235" s="33">
        <v>30067685</v>
      </c>
      <c r="B235" s="36" t="s">
        <v>1011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1451</v>
      </c>
      <c r="K235" s="39" t="s">
        <v>1208</v>
      </c>
      <c r="L235" s="40"/>
      <c r="M235" s="40"/>
      <c r="N235" s="37"/>
      <c r="O235" s="36"/>
      <c r="P235" s="42"/>
      <c r="Q235" s="40"/>
      <c r="R235" s="39" t="s">
        <v>1213</v>
      </c>
      <c r="S235" s="44" t="s">
        <v>74</v>
      </c>
      <c r="T235" s="3" t="s">
        <v>1450</v>
      </c>
    </row>
    <row r="236" spans="1:20" x14ac:dyDescent="0.25">
      <c r="A236" s="33">
        <v>30067686</v>
      </c>
      <c r="B236" s="36" t="s">
        <v>1012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1451</v>
      </c>
      <c r="K236" s="39" t="s">
        <v>1208</v>
      </c>
      <c r="L236" s="40"/>
      <c r="M236" s="40"/>
      <c r="N236" s="37"/>
      <c r="O236" s="36"/>
      <c r="P236" s="42"/>
      <c r="Q236" s="40"/>
      <c r="R236" s="39" t="s">
        <v>1213</v>
      </c>
      <c r="S236" s="44" t="s">
        <v>74</v>
      </c>
      <c r="T236" s="3" t="s">
        <v>1450</v>
      </c>
    </row>
    <row r="237" spans="1:20" x14ac:dyDescent="0.25">
      <c r="A237" s="33">
        <v>30067687</v>
      </c>
      <c r="B237" s="36" t="s">
        <v>1013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1451</v>
      </c>
      <c r="K237" s="39" t="s">
        <v>1208</v>
      </c>
      <c r="L237" s="40"/>
      <c r="M237" s="40"/>
      <c r="N237" s="37"/>
      <c r="O237" s="36"/>
      <c r="P237" s="42"/>
      <c r="Q237" s="40"/>
      <c r="R237" s="39" t="s">
        <v>1213</v>
      </c>
      <c r="S237" s="44" t="s">
        <v>74</v>
      </c>
      <c r="T237" s="3" t="s">
        <v>1450</v>
      </c>
    </row>
    <row r="238" spans="1:20" x14ac:dyDescent="0.25">
      <c r="A238" s="33">
        <v>30067688</v>
      </c>
      <c r="B238" s="36" t="s">
        <v>1014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1451</v>
      </c>
      <c r="K238" s="39" t="s">
        <v>1208</v>
      </c>
      <c r="L238" s="40"/>
      <c r="M238" s="40"/>
      <c r="N238" s="37"/>
      <c r="O238" s="36"/>
      <c r="P238" s="42"/>
      <c r="Q238" s="40"/>
      <c r="R238" s="39" t="s">
        <v>1213</v>
      </c>
      <c r="S238" s="44" t="s">
        <v>74</v>
      </c>
      <c r="T238" s="3" t="s">
        <v>1450</v>
      </c>
    </row>
    <row r="239" spans="1:20" x14ac:dyDescent="0.25">
      <c r="A239" s="33">
        <v>30067689</v>
      </c>
      <c r="B239" s="36" t="s">
        <v>1015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1451</v>
      </c>
      <c r="K239" s="39" t="s">
        <v>1208</v>
      </c>
      <c r="L239" s="40"/>
      <c r="M239" s="40"/>
      <c r="N239" s="37"/>
      <c r="O239" s="36"/>
      <c r="P239" s="42"/>
      <c r="Q239" s="40"/>
      <c r="R239" s="39" t="s">
        <v>1213</v>
      </c>
      <c r="S239" s="44" t="s">
        <v>74</v>
      </c>
      <c r="T239" s="3" t="s">
        <v>1450</v>
      </c>
    </row>
    <row r="240" spans="1:20" x14ac:dyDescent="0.25">
      <c r="A240" s="33">
        <v>30067690</v>
      </c>
      <c r="B240" s="36" t="s">
        <v>1016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1451</v>
      </c>
      <c r="K240" s="39" t="s">
        <v>1208</v>
      </c>
      <c r="L240" s="40"/>
      <c r="M240" s="40"/>
      <c r="N240" s="37"/>
      <c r="O240" s="36"/>
      <c r="P240" s="42"/>
      <c r="Q240" s="40"/>
      <c r="R240" s="39" t="s">
        <v>1213</v>
      </c>
      <c r="S240" s="44" t="s">
        <v>74</v>
      </c>
      <c r="T240" s="3" t="s">
        <v>1450</v>
      </c>
    </row>
    <row r="241" spans="1:20" x14ac:dyDescent="0.25">
      <c r="A241" s="33">
        <v>30067691</v>
      </c>
      <c r="B241" s="36" t="s">
        <v>1017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1451</v>
      </c>
      <c r="K241" s="39" t="s">
        <v>1208</v>
      </c>
      <c r="L241" s="40"/>
      <c r="M241" s="40"/>
      <c r="N241" s="37"/>
      <c r="O241" s="36"/>
      <c r="P241" s="42"/>
      <c r="Q241" s="40"/>
      <c r="R241" s="39" t="s">
        <v>1213</v>
      </c>
      <c r="S241" s="44" t="s">
        <v>74</v>
      </c>
      <c r="T241" s="3" t="s">
        <v>1450</v>
      </c>
    </row>
    <row r="242" spans="1:20" x14ac:dyDescent="0.25">
      <c r="A242" s="33">
        <v>30067692</v>
      </c>
      <c r="B242" s="36" t="s">
        <v>1018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1451</v>
      </c>
      <c r="K242" s="39" t="s">
        <v>1208</v>
      </c>
      <c r="L242" s="40"/>
      <c r="M242" s="40"/>
      <c r="N242" s="37"/>
      <c r="O242" s="36"/>
      <c r="P242" s="42"/>
      <c r="Q242" s="40"/>
      <c r="R242" s="39" t="s">
        <v>1213</v>
      </c>
      <c r="S242" s="44" t="s">
        <v>74</v>
      </c>
      <c r="T242" s="3" t="s">
        <v>1450</v>
      </c>
    </row>
    <row r="243" spans="1:20" x14ac:dyDescent="0.25">
      <c r="A243" s="33">
        <v>30067693</v>
      </c>
      <c r="B243" s="36" t="s">
        <v>1019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1451</v>
      </c>
      <c r="K243" s="39" t="s">
        <v>1208</v>
      </c>
      <c r="L243" s="40"/>
      <c r="M243" s="40"/>
      <c r="N243" s="37"/>
      <c r="O243" s="36"/>
      <c r="P243" s="42"/>
      <c r="Q243" s="40"/>
      <c r="R243" s="39" t="s">
        <v>1213</v>
      </c>
      <c r="S243" s="44" t="s">
        <v>74</v>
      </c>
      <c r="T243" s="3" t="s">
        <v>1450</v>
      </c>
    </row>
    <row r="244" spans="1:20" x14ac:dyDescent="0.25">
      <c r="A244" s="33">
        <v>30067694</v>
      </c>
      <c r="B244" s="36" t="s">
        <v>1020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1451</v>
      </c>
      <c r="K244" s="39" t="s">
        <v>1208</v>
      </c>
      <c r="L244" s="40"/>
      <c r="M244" s="40"/>
      <c r="N244" s="37"/>
      <c r="O244" s="36"/>
      <c r="P244" s="42"/>
      <c r="Q244" s="40"/>
      <c r="R244" s="39" t="s">
        <v>1213</v>
      </c>
      <c r="S244" s="44" t="s">
        <v>74</v>
      </c>
      <c r="T244" s="3" t="s">
        <v>1450</v>
      </c>
    </row>
    <row r="245" spans="1:20" x14ac:dyDescent="0.25">
      <c r="A245" s="33">
        <v>30067695</v>
      </c>
      <c r="B245" s="36" t="s">
        <v>1021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1451</v>
      </c>
      <c r="K245" s="39" t="s">
        <v>1208</v>
      </c>
      <c r="L245" s="40"/>
      <c r="M245" s="40"/>
      <c r="N245" s="37"/>
      <c r="O245" s="36"/>
      <c r="P245" s="42"/>
      <c r="Q245" s="40"/>
      <c r="R245" s="39" t="s">
        <v>1213</v>
      </c>
      <c r="S245" s="44" t="s">
        <v>74</v>
      </c>
      <c r="T245" s="3" t="s">
        <v>1450</v>
      </c>
    </row>
    <row r="246" spans="1:20" x14ac:dyDescent="0.25">
      <c r="A246" s="33">
        <v>30067696</v>
      </c>
      <c r="B246" s="36" t="s">
        <v>1022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1451</v>
      </c>
      <c r="K246" s="39" t="s">
        <v>1208</v>
      </c>
      <c r="L246" s="40"/>
      <c r="M246" s="40"/>
      <c r="N246" s="37"/>
      <c r="O246" s="36"/>
      <c r="P246" s="42"/>
      <c r="Q246" s="40"/>
      <c r="R246" s="39" t="s">
        <v>1213</v>
      </c>
      <c r="S246" s="44" t="s">
        <v>74</v>
      </c>
      <c r="T246" s="3" t="s">
        <v>1450</v>
      </c>
    </row>
    <row r="247" spans="1:20" x14ac:dyDescent="0.25">
      <c r="A247" s="33">
        <v>30067703</v>
      </c>
      <c r="B247" s="36" t="s">
        <v>1100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1451</v>
      </c>
      <c r="K247" s="39" t="s">
        <v>1208</v>
      </c>
      <c r="L247" s="40"/>
      <c r="M247" s="40"/>
      <c r="N247" s="37"/>
      <c r="O247" s="36"/>
      <c r="P247" s="42"/>
      <c r="Q247" s="40"/>
      <c r="R247" s="39" t="s">
        <v>1213</v>
      </c>
      <c r="S247" s="44" t="s">
        <v>74</v>
      </c>
      <c r="T247" s="3" t="s">
        <v>1450</v>
      </c>
    </row>
    <row r="248" spans="1:20" x14ac:dyDescent="0.25">
      <c r="A248" s="33">
        <v>30067704</v>
      </c>
      <c r="B248" s="36" t="s">
        <v>1101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1451</v>
      </c>
      <c r="K248" s="39" t="s">
        <v>1208</v>
      </c>
      <c r="L248" s="40"/>
      <c r="M248" s="40"/>
      <c r="N248" s="37"/>
      <c r="O248" s="36"/>
      <c r="P248" s="42"/>
      <c r="Q248" s="40"/>
      <c r="R248" s="39" t="s">
        <v>1213</v>
      </c>
      <c r="S248" s="44" t="s">
        <v>74</v>
      </c>
      <c r="T248" s="3" t="s">
        <v>1450</v>
      </c>
    </row>
    <row r="249" spans="1:20" x14ac:dyDescent="0.25">
      <c r="A249" s="33">
        <v>30067705</v>
      </c>
      <c r="B249" s="36" t="s">
        <v>1102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1451</v>
      </c>
      <c r="K249" s="39" t="s">
        <v>1208</v>
      </c>
      <c r="L249" s="40"/>
      <c r="M249" s="40"/>
      <c r="N249" s="37"/>
      <c r="O249" s="36"/>
      <c r="P249" s="42"/>
      <c r="Q249" s="40"/>
      <c r="R249" s="39" t="s">
        <v>1213</v>
      </c>
      <c r="S249" s="44" t="s">
        <v>74</v>
      </c>
      <c r="T249" s="3" t="s">
        <v>1450</v>
      </c>
    </row>
    <row r="250" spans="1:20" x14ac:dyDescent="0.25">
      <c r="A250" s="33">
        <v>30067706</v>
      </c>
      <c r="B250" s="36" t="s">
        <v>1103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1451</v>
      </c>
      <c r="K250" s="39" t="s">
        <v>1208</v>
      </c>
      <c r="L250" s="40"/>
      <c r="M250" s="40"/>
      <c r="N250" s="37"/>
      <c r="O250" s="36"/>
      <c r="P250" s="42"/>
      <c r="Q250" s="40"/>
      <c r="R250" s="39" t="s">
        <v>1213</v>
      </c>
      <c r="S250" s="44" t="s">
        <v>74</v>
      </c>
      <c r="T250" s="3" t="s">
        <v>1450</v>
      </c>
    </row>
    <row r="251" spans="1:20" x14ac:dyDescent="0.25">
      <c r="A251" s="33">
        <v>30067707</v>
      </c>
      <c r="B251" s="36" t="s">
        <v>1104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1451</v>
      </c>
      <c r="K251" s="39" t="s">
        <v>1208</v>
      </c>
      <c r="L251" s="40"/>
      <c r="M251" s="40"/>
      <c r="N251" s="37"/>
      <c r="O251" s="36"/>
      <c r="P251" s="42"/>
      <c r="Q251" s="40"/>
      <c r="R251" s="39" t="s">
        <v>1213</v>
      </c>
      <c r="S251" s="44" t="s">
        <v>74</v>
      </c>
      <c r="T251" s="3" t="s">
        <v>1450</v>
      </c>
    </row>
    <row r="252" spans="1:20" x14ac:dyDescent="0.25">
      <c r="A252" s="33">
        <v>30067708</v>
      </c>
      <c r="B252" s="36" t="s">
        <v>1105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1451</v>
      </c>
      <c r="K252" s="39" t="s">
        <v>1208</v>
      </c>
      <c r="L252" s="40"/>
      <c r="M252" s="40"/>
      <c r="N252" s="37"/>
      <c r="O252" s="36"/>
      <c r="P252" s="42"/>
      <c r="Q252" s="40"/>
      <c r="R252" s="39" t="s">
        <v>1213</v>
      </c>
      <c r="S252" s="44" t="s">
        <v>74</v>
      </c>
      <c r="T252" s="3" t="s">
        <v>1450</v>
      </c>
    </row>
    <row r="253" spans="1:20" x14ac:dyDescent="0.25">
      <c r="A253" s="51">
        <v>30067711</v>
      </c>
      <c r="B253" s="46" t="s">
        <v>1106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1451</v>
      </c>
      <c r="K253" s="49" t="s">
        <v>1208</v>
      </c>
      <c r="L253" s="50"/>
      <c r="M253" s="50"/>
      <c r="N253" s="47"/>
      <c r="O253" s="46"/>
      <c r="P253" s="52"/>
      <c r="Q253" s="50"/>
      <c r="R253" s="39" t="s">
        <v>1213</v>
      </c>
      <c r="S253" s="53" t="s">
        <v>74</v>
      </c>
      <c r="T253" s="3" t="s">
        <v>1450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0F3EABCF-BC31-45B6-8D57-45DAD164486F}">
  <ds:schemaRefs/>
</ds:datastoreItem>
</file>

<file path=customXml/itemProps2.xml><?xml version="1.0" encoding="utf-8"?>
<ds:datastoreItem xmlns:ds="http://schemas.openxmlformats.org/officeDocument/2006/customXml" ds:itemID="{FE1DE4F7-E0DC-4D00-98CF-8311553E54C2}">
  <ds:schemaRefs/>
</ds:datastoreItem>
</file>

<file path=customXml/itemProps3.xml><?xml version="1.0" encoding="utf-8"?>
<ds:datastoreItem xmlns:ds="http://schemas.openxmlformats.org/officeDocument/2006/customXml" ds:itemID="{2024EEA9-1EC3-4A27-BA2F-C28822459AF8}">
  <ds:schemaRefs/>
</ds:datastoreItem>
</file>

<file path=customXml/itemProps4.xml><?xml version="1.0" encoding="utf-8"?>
<ds:datastoreItem xmlns:ds="http://schemas.openxmlformats.org/officeDocument/2006/customXml" ds:itemID="{EDEC40CB-5311-4F30-A212-8EBF470E480E}">
  <ds:schemaRefs/>
</ds:datastoreItem>
</file>

<file path=customXml/itemProps5.xml><?xml version="1.0" encoding="utf-8"?>
<ds:datastoreItem xmlns:ds="http://schemas.openxmlformats.org/officeDocument/2006/customXml" ds:itemID="{1039B7D1-58FF-4671-8B7A-AA6647B52214}">
  <ds:schemaRefs/>
</ds:datastoreItem>
</file>

<file path=customXml/itemProps6.xml><?xml version="1.0" encoding="utf-8"?>
<ds:datastoreItem xmlns:ds="http://schemas.openxmlformats.org/officeDocument/2006/customXml" ds:itemID="{E9C85BF8-3150-473C-A79F-6740E28A975F}">
  <ds:schemaRefs/>
</ds:datastoreItem>
</file>

<file path=customXml/itemProps7.xml><?xml version="1.0" encoding="utf-8"?>
<ds:datastoreItem xmlns:ds="http://schemas.openxmlformats.org/officeDocument/2006/customXml" ds:itemID="{46FE3B33-23CB-4C87-9BF9-CA9A6BD8265C}">
  <ds:schemaRefs/>
</ds:datastoreItem>
</file>

<file path=customXml/itemProps8.xml><?xml version="1.0" encoding="utf-8"?>
<ds:datastoreItem xmlns:ds="http://schemas.openxmlformats.org/officeDocument/2006/customXml" ds:itemID="{8701D198-5B20-44C0-A3B8-DDA787C9CC77}">
  <ds:schemaRefs/>
</ds:datastoreItem>
</file>

<file path=customXml/itemProps9.xml><?xml version="1.0" encoding="utf-8"?>
<ds:datastoreItem xmlns:ds="http://schemas.openxmlformats.org/officeDocument/2006/customXml" ds:itemID="{2D93D4C3-C097-499B-BC70-2F81B9BBD3D8}">
  <ds:schemaRefs/>
</ds:datastoreItem>
</file>

<file path=customXml/itemProps10.xml><?xml version="1.0" encoding="utf-8"?>
<ds:datastoreItem xmlns:ds="http://schemas.openxmlformats.org/officeDocument/2006/customXml" ds:itemID="{22A1D83D-34AC-4DC6-BF48-0285EB63DB45}">
  <ds:schemaRefs/>
</ds:datastoreItem>
</file>

<file path=customXml/itemProps11.xml><?xml version="1.0" encoding="utf-8"?>
<ds:datastoreItem xmlns:ds="http://schemas.openxmlformats.org/officeDocument/2006/customXml" ds:itemID="{6D4423D8-6D3E-4B9A-995B-092056B28B25}">
  <ds:schemaRefs/>
</ds:datastoreItem>
</file>

<file path=customXml/itemProps12.xml><?xml version="1.0" encoding="utf-8"?>
<ds:datastoreItem xmlns:ds="http://schemas.openxmlformats.org/officeDocument/2006/customXml" ds:itemID="{FA341D3C-2214-4ACD-AF94-BE9690436CF8}">
  <ds:schemaRefs/>
</ds:datastoreItem>
</file>

<file path=customXml/itemProps13.xml><?xml version="1.0" encoding="utf-8"?>
<ds:datastoreItem xmlns:ds="http://schemas.openxmlformats.org/officeDocument/2006/customXml" ds:itemID="{2B7EA82C-3EED-470A-8A2F-B8E264757E46}">
  <ds:schemaRefs/>
</ds:datastoreItem>
</file>

<file path=customXml/itemProps14.xml><?xml version="1.0" encoding="utf-8"?>
<ds:datastoreItem xmlns:ds="http://schemas.openxmlformats.org/officeDocument/2006/customXml" ds:itemID="{68A1438B-7615-486A-9290-DC8742F17A8D}">
  <ds:schemaRefs/>
</ds:datastoreItem>
</file>

<file path=customXml/itemProps15.xml><?xml version="1.0" encoding="utf-8"?>
<ds:datastoreItem xmlns:ds="http://schemas.openxmlformats.org/officeDocument/2006/customXml" ds:itemID="{10284D1A-666F-4B96-8C6C-F302A34AA26D}">
  <ds:schemaRefs/>
</ds:datastoreItem>
</file>

<file path=customXml/itemProps16.xml><?xml version="1.0" encoding="utf-8"?>
<ds:datastoreItem xmlns:ds="http://schemas.openxmlformats.org/officeDocument/2006/customXml" ds:itemID="{C933F1A4-DB9A-4F45-BB83-65D2D0BC91CF}">
  <ds:schemaRefs/>
</ds:datastoreItem>
</file>

<file path=customXml/itemProps17.xml><?xml version="1.0" encoding="utf-8"?>
<ds:datastoreItem xmlns:ds="http://schemas.openxmlformats.org/officeDocument/2006/customXml" ds:itemID="{299A020A-346D-494F-B795-26FCA9F8CD2C}">
  <ds:schemaRefs/>
</ds:datastoreItem>
</file>

<file path=customXml/itemProps18.xml><?xml version="1.0" encoding="utf-8"?>
<ds:datastoreItem xmlns:ds="http://schemas.openxmlformats.org/officeDocument/2006/customXml" ds:itemID="{C59E9B35-0AE7-49B9-8CF2-1953EBB5ACBC}">
  <ds:schemaRefs/>
</ds:datastoreItem>
</file>

<file path=customXml/itemProps19.xml><?xml version="1.0" encoding="utf-8"?>
<ds:datastoreItem xmlns:ds="http://schemas.openxmlformats.org/officeDocument/2006/customXml" ds:itemID="{53D9BD58-9855-41B1-BBAA-EBD59A28D729}">
  <ds:schemaRefs/>
</ds:datastoreItem>
</file>

<file path=customXml/itemProps20.xml><?xml version="1.0" encoding="utf-8"?>
<ds:datastoreItem xmlns:ds="http://schemas.openxmlformats.org/officeDocument/2006/customXml" ds:itemID="{A2CA7F53-FA6A-4F83-8C83-AF63906A1BA5}">
  <ds:schemaRefs/>
</ds:datastoreItem>
</file>

<file path=customXml/itemProps21.xml><?xml version="1.0" encoding="utf-8"?>
<ds:datastoreItem xmlns:ds="http://schemas.openxmlformats.org/officeDocument/2006/customXml" ds:itemID="{50DD3B1E-ED91-4AE6-BC7E-B098D2684BD1}">
  <ds:schemaRefs/>
</ds:datastoreItem>
</file>

<file path=customXml/itemProps22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205A3807-A078-421E-BF77-6CAFE66F33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2026-06-12T17:39:47Z</dcterms:modified>
</cp:coreProperties>
</file>