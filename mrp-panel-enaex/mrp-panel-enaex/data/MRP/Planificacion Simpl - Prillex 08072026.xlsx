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4EA38188-F8E4-41BC-8AF5-3BCA8B2714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  <sheet name="Hoja1" sheetId="7" r:id="rId2"/>
    <sheet name="Nueva disp" sheetId="6" state="hidden" r:id="rId3"/>
    <sheet name="Codigos en MRP" sheetId="4" r:id="rId4"/>
    <sheet name="Materiales Eliminados del MRP" sheetId="5" r:id="rId5"/>
  </sheets>
  <externalReferences>
    <externalReference r:id="rId6"/>
  </externalReferences>
  <definedNames>
    <definedName name="_xlnm._FilterDatabase" localSheetId="4" hidden="1">'Materiales Eliminados del MRP'!$A$1:$T$253</definedName>
    <definedName name="_xlnm._FilterDatabase" localSheetId="2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data!$B$16:$S$1323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14="http://schemas.microsoft.com/office/spreadsheetml/2009/9/main" uri="{876F7934-8845-4945-9796-88D515C7AA90}">
      <x14:pivotCaches>
        <pivotCache cacheId="4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28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<sst xmlns="http://schemas.openxmlformats.org/spreadsheetml/2006/main" count="16497" uniqueCount="1675">
  <si>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</si>
  <si>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</si>
  <si>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</si>
  <si>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</si>
  <si>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</si>
  <si>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</si>
  <si>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</si>
  <si>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</si>
  <si>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</si>
  <si>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</si>
  <si>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</si>
  <si>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</si>
  <si>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</si>
  <si>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</si>
  <si>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</si>
  <si>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</si>
  <si>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</si>
  <si>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</si>
  <si>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</si>
  <si>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</si>
  <si>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</si>
  <si>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</si>
  <si>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</si>
  <si>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</si>
  <si>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</si>
  <si>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</si>
  <si>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</si>
  <si>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</si>
  <si>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</si>
  <si>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</si>
  <si>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</si>
  <si>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</si>
  <si>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</si>
  <si>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</si>
  <si>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</si>
  <si>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</si>
  <si>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</si>
  <si>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</si>
  <si>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</si>
  <si>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</si>
  <si>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</si>
  <si>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</si>
  <si>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</si>
  <si>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</si>
  <si>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</si>
  <si>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</si>
  <si>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</si>
  <si>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</si>
  <si>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</si>
  <si>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</si>
  <si>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</si>
  <si>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</si>
  <si>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</si>
  <si>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</si>
  <si>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</si>
  <si>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</si>
  <si>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</si>
  <si>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</si>
  <si>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</si>
  <si>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</si>
  <si>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</si>
  <si>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</si>
  <si>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</si>
  <si>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</si>
  <si>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</si>
  <si>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</si>
  <si>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</si>
  <si>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</si>
  <si>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</si>
  <si>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</si>
  <si>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</si>
  <si>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</si>
  <si>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</si>
  <si>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</si>
  <si>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</si>
  <si>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</si>
  <si>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</si>
  <si>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</si>
  <si>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</si>
  <si>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</si>
  <si>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</si>
  <si>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</si>
  <si>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</si>
  <si>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</si>
  <si>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</si>
  <si>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</si>
  <si>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</si>
  <si>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</si>
  <si>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</si>
  <si>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</si>
  <si>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</si>
  <si>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</si>
  <si>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</si>
  <si>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</si>
  <si>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</si>
  <si>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</si>
  <si>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</si>
  <si>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</si>
  <si>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</si>
  <si>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</si>
  <si>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</si>
  <si>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</si>
  <si>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</si>
  <si>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</si>
  <si>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</si>
  <si>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</si>
  <si>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</si>
  <si>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</si>
  <si>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</si>
  <si>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</si>
  <si>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</si>
  <si>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</si>
  <si>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</si>
  <si>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</si>
  <si>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</si>
  <si>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</si>
  <si>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</si>
  <si>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</si>
  <si>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</si>
  <si>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</si>
  <si>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</si>
  <si>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</si>
  <si>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</si>
  <si>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</si>
  <si>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</si>
  <si>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</si>
  <si>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</si>
  <si>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</si>
  <si>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</si>
  <si>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</si>
  <si>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</si>
  <si>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</si>
  <si>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</si>
  <si>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</si>
  <si>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</si>
  <si>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</si>
  <si>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</si>
  <si>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</si>
  <si>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</si>
  <si>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</si>
  <si>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</si>
  <si>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</si>
  <si>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</si>
  <si>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</si>
  <si>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</si>
  <si>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</si>
  <si>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</si>
  <si>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</si>
  <si>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</si>
  <si>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</si>
  <si>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</si>
  <si>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</si>
  <si>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</si>
  <si>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</si>
  <si>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</si>
  <si>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</si>
  <si>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</si>
  <si>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</si>
  <si>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</si>
  <si>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</si>
  <si>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</si>
  <si>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</si>
  <si>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</si>
  <si>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</si>
  <si>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</si>
  <si>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</si>
  <si>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</si>
  <si>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</si>
  <si>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</si>
  <si>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</si>
  <si>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</si>
  <si>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</si>
  <si>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</si>
  <si>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</si>
  <si>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</si>
  <si>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</si>
  <si>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</si>
  <si>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</si>
  <si>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</si>
  <si>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</si>
  <si>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</si>
  <si>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</si>
  <si>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</si>
  <si>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</si>
  <si>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</si>
  <si>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</si>
  <si>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</si>
  <si>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</si>
  <si>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</si>
  <si>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</si>
  <si>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</si>
  <si>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</si>
  <si>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</si>
  <si>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</si>
  <si>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</si>
  <si>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</si>
  <si>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</si>
  <si>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</si>
  <si>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</si>
  <si>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</si>
  <si>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</si>
  <si>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</si>
  <si>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</si>
  <si>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</si>
  <si>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</si>
  <si>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</si>
  <si>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</si>
  <si>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</si>
  <si>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</si>
  <si>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</si>
  <si>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</si>
  <si>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</si>
  <si>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</si>
  <si>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</si>
  <si>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</si>
  <si>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</si>
  <si>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</si>
  <si>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</si>
  <si>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</si>
  <si>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</si>
  <si>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</si>
  <si>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</si>
  <si>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</si>
  <si>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</si>
  <si>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</si>
  <si>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</si>
  <si>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</si>
  <si>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</si>
  <si>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</si>
  <si>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</si>
  <si>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</si>
  <si>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</si>
  <si>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</si>
  <si>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</si>
  <si>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</si>
  <si>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</si>
  <si>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</si>
  <si>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</si>
  <si>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</si>
  <si>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</si>
  <si>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</si>
  <si>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</si>
  <si>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</si>
  <si>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</si>
  <si>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</si>
  <si>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</si>
  <si>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</si>
  <si>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</si>
  <si>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</si>
  <si>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</si>
  <si>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</si>
  <si>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</si>
  <si>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</si>
  <si>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</si>
  <si>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</si>
  <si>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</si>
  <si>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</si>
  <si>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</si>
  <si>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</si>
  <si>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</si>
  <si>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</si>
  <si>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</si>
  <si>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</si>
  <si>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</si>
  <si>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</si>
  <si>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</si>
  <si>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</si>
  <si>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</si>
  <si>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</si>
  <si>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</si>
  <si>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</si>
  <si>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</si>
  <si>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</si>
  <si>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</si>
  <si>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</si>
  <si>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</si>
  <si>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</si>
  <si>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</si>
  <si>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</si>
  <si>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</si>
  <si>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</si>
  <si>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</si>
  <si>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</si>
  <si>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</si>
  <si>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</si>
  <si>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</si>
  <si>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</si>
  <si>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</si>
  <si>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</si>
  <si>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</si>
  <si>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</si>
  <si>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</si>
  <si>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</si>
  <si>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</si>
  <si>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</si>
  <si>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</si>
  <si>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</si>
  <si>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</si>
  <si>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</si>
  <si>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</si>
  <si>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</si>
  <si>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</si>
  <si>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</si>
  <si>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</si>
  <si>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</si>
  <si>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</si>
  <si>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</si>
  <si>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</si>
  <si>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</si>
  <si>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</si>
  <si>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</si>
  <si>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</si>
  <si>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</si>
  <si>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</si>
  <si>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</si>
  <si>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</si>
  <si>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</si>
  <si>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</si>
  <si>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</si>
  <si>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</si>
  <si>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</si>
  <si>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</si>
  <si>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</si>
  <si>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</si>
  <si>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</si>
  <si>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</si>
  <si>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</si>
  <si>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</si>
  <si>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</si>
  <si>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</si>
  <si>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</si>
  <si>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</si>
  <si>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</si>
  <si>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</si>
  <si>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</si>
  <si>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</si>
  <si>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</si>
  <si>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</si>
  <si>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</si>
  <si>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</si>
  <si>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</si>
  <si>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</si>
  <si>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</si>
  <si>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</si>
  <si>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</si>
  <si>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</si>
  <si>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</si>
  <si>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</si>
  <si>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</si>
  <si>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</si>
  <si>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</si>
  <si>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</si>
  <si>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</si>
  <si>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</si>
  <si>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</si>
  <si>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</si>
  <si>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</si>
  <si>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</si>
  <si>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</si>
  <si>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</si>
  <si>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</si>
  <si>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</si>
  <si>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</si>
  <si>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</si>
  <si>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</si>
  <si>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</si>
  <si>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</si>
  <si>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</si>
  <si>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</si>
  <si>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</si>
  <si>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</si>
  <si>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</si>
  <si>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</si>
  <si>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</si>
  <si>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</si>
  <si>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</si>
  <si>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</si>
  <si>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</si>
  <si>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</si>
  <si>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</si>
  <si>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</si>
  <si>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</si>
  <si>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</si>
  <si>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</si>
  <si>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</si>
  <si>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</si>
  <si>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</si>
  <si>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</si>
  <si>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</si>
  <si>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</si>
  <si>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</si>
  <si>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</si>
  <si>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</si>
  <si>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</si>
  <si>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</si>
  <si>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</si>
  <si>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</si>
  <si>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</si>
  <si>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</si>
  <si>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</si>
  <si>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</si>
  <si>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</si>
  <si>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</si>
  <si>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</si>
  <si>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</si>
  <si>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</si>
  <si>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</si>
  <si>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</si>
  <si>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</si>
  <si>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</si>
  <si>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</si>
  <si>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</si>
  <si>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</si>
  <si>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</si>
  <si>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</si>
  <si>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</si>
  <si>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</si>
  <si>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</si>
  <si>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</si>
  <si>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</si>
  <si>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</si>
  <si>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</si>
  <si>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</si>
  <si>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</si>
  <si>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</si>
  <si>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</si>
  <si>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</si>
  <si>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</si>
  <si>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</si>
  <si>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</si>
  <si>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</si>
  <si>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</si>
  <si>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</si>
  <si>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</si>
  <si>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</si>
  <si>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</si>
  <si>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</si>
  <si>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</si>
  <si>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</si>
  <si>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</si>
  <si>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</si>
  <si>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</si>
  <si>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</si>
  <si>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</si>
  <si>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</si>
  <si>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</si>
  <si>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</si>
  <si>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</si>
  <si>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</si>
  <si>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</si>
  <si>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</si>
  <si>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</si>
  <si>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</si>
  <si>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</si>
  <si>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</si>
  <si>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</si>
  <si>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</si>
  <si>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</si>
  <si>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</si>
  <si>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</si>
  <si>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</si>
  <si>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</si>
  <si>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</si>
  <si>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</si>
  <si>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</si>
  <si>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</si>
  <si>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</si>
  <si>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</si>
  <si>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</si>
  <si>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</si>
  <si>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</si>
  <si>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</si>
  <si>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</si>
  <si>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</si>
  <si>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</si>
  <si>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</si>
  <si>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</si>
  <si>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</si>
  <si>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</si>
  <si>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</si>
  <si>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</si>
  <si>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</si>
  <si>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</si>
  <si>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</si>
  <si>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</si>
  <si>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</si>
  <si>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</si>
  <si>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</si>
  <si>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</si>
  <si>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</si>
  <si>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</si>
  <si>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</si>
  <si>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</si>
  <si>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</si>
  <si>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</si>
  <si>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</si>
  <si>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</si>
  <si>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</si>
  <si>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</si>
  <si>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</si>
  <si>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</si>
  <si>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</si>
  <si>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</si>
  <si>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</si>
  <si>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</si>
  <si>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</si>
  <si>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</si>
  <si>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</si>
  <si>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</si>
  <si>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</si>
  <si>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</si>
  <si>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</si>
  <si>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</si>
  <si>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</si>
  <si>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</si>
  <si>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</si>
  <si>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</si>
  <si>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</si>
  <si>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</si>
  <si>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</si>
  <si>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</si>
  <si>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</si>
  <si>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</si>
  <si>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</si>
  <si>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</si>
  <si>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</si>
  <si>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</si>
  <si>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</si>
  <si>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</si>
  <si>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</si>
  <si>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</si>
  <si>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</si>
  <si>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</si>
  <si>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</si>
  <si>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</si>
  <si>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</si>
  <si>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</si>
  <si>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</si>
  <si>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</si>
  <si>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</si>
  <si>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</si>
  <si>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</si>
  <si>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</si>
  <si>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</si>
  <si>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</si>
  <si>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</si>
  <si>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</si>
  <si>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</si>
  <si>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</si>
  <si>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</si>
  <si>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</si>
  <si>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</si>
  <si>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</si>
  <si>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</si>
  <si>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</si>
  <si>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</si>
  <si>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</si>
  <si>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</si>
  <si>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</si>
  <si>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</si>
  <si>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</si>
  <si>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</si>
  <si>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</si>
  <si>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</si>
  <si>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</si>
  <si>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</si>
  <si>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</si>
  <si>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</si>
  <si>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</si>
  <si>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</si>
  <si>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</si>
  <si>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</si>
  <si>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</si>
  <si>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</si>
  <si>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</si>
  <si>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</si>
  <si>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</si>
  <si>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</si>
  <si>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</si>
  <si>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</si>
  <si>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</si>
  <si>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</si>
  <si>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</si>
  <si>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</si>
  <si>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</si>
  <si>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</si>
  <si>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</si>
  <si>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</si>
  <si>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</si>
  <si>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</si>
  <si>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</si>
  <si>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</si>
  <si>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</si>
  <si>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</si>
  <si>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</si>
  <si>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</si>
  <si>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</si>
  <si>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</si>
  <si>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</si>
  <si>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</si>
  <si>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</si>
  <si>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</si>
  <si>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</si>
  <si>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</si>
  <si>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</si>
  <si>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</si>
  <si>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</si>
  <si>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</si>
  <si>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</si>
  <si>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</si>
  <si>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</si>
  <si>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</si>
  <si>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</si>
  <si>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</si>
  <si>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</si>
  <si>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</si>
  <si>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</si>
  <si>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</si>
  <si>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</si>
  <si>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</si>
  <si>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</si>
  <si>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</si>
  <si>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</si>
  <si>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</si>
  <si>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</si>
  <si>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</si>
  <si>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</si>
  <si>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</si>
  <si>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</si>
  <si>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</si>
  <si>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</si>
  <si>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</si>
  <si>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</si>
  <si>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</si>
  <si>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</si>
  <si>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</si>
  <si>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</si>
  <si>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</si>
  <si>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</si>
  <si>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</si>
  <si>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</si>
  <si>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</si>
  <si>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</si>
  <si>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</si>
  <si>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</si>
  <si>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</si>
  <si>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</si>
  <si>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</si>
  <si>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</si>
  <si>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</si>
  <si>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</si>
  <si>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</si>
  <si>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</si>
  <si>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</si>
  <si>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</si>
  <si>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</si>
  <si>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</si>
  <si>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</si>
  <si>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</si>
  <si>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</si>
  <si>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</si>
  <si>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</si>
  <si>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</si>
  <si>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</si>
  <si>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</si>
  <si>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</si>
  <si>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</si>
  <si>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</si>
  <si>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</si>
  <si>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</si>
  <si>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</si>
  <si>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</si>
  <si>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</si>
  <si>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</si>
  <si>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</si>
  <si>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</si>
  <si>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</si>
  <si>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</si>
  <si>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</si>
  <si>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</si>
  <si>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</si>
  <si>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</si>
  <si>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</si>
  <si>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</si>
  <si>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</si>
  <si>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</si>
  <si>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</si>
  <si>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</si>
  <si>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</si>
  <si>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</si>
  <si>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</si>
  <si>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</si>
  <si>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</si>
  <si>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</si>
  <si>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</si>
  <si>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</si>
  <si>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</si>
  <si>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</si>
  <si>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</si>
  <si>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</si>
  <si>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</si>
  <si>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</si>
  <si>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</si>
  <si>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</si>
  <si>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</si>
  <si>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</si>
  <si>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</si>
  <si>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</si>
  <si>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</si>
  <si>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</si>
  <si>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</si>
  <si>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</si>
  <si>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</si>
  <si>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</si>
  <si>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</si>
  <si>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</si>
  <si>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</si>
  <si>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</si>
  <si>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</si>
  <si>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</si>
  <si>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</si>
  <si>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</si>
  <si>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</si>
  <si>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</si>
  <si>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</si>
  <si>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</si>
  <si>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</si>
  <si>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</si>
  <si>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</si>
  <si>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</si>
  <si>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</si>
  <si>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</si>
  <si>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</si>
  <si>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</si>
  <si>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</si>
  <si>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</si>
  <si>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</si>
  <si>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</si>
  <si>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</si>
  <si>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</si>
  <si>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</si>
  <si>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</si>
  <si>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</si>
  <si>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</si>
  <si>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</si>
  <si>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</si>
  <si>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</si>
  <si>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</si>
  <si>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</si>
  <si>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</si>
  <si>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</si>
  <si>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</si>
  <si>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</si>
  <si>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</si>
  <si>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</si>
  <si>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</si>
  <si>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</si>
  <si>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</si>
  <si>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</si>
  <si>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</si>
  <si>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</si>
  <si>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</si>
  <si>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</si>
  <si>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</si>
  <si>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</si>
  <si>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</si>
  <si>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</si>
  <si>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</si>
  <si>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</si>
  <si>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</si>
  <si>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</si>
  <si>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</si>
  <si>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</si>
  <si>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</si>
  <si>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</si>
  <si>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</si>
  <si>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</si>
  <si>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</si>
  <si>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</si>
  <si>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</si>
  <si>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</si>
  <si>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</si>
  <si>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</si>
  <si>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</si>
  <si>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</si>
  <si>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</si>
  <si>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</si>
  <si>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</si>
  <si>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</si>
  <si>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</si>
  <si>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</si>
  <si>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</si>
  <si>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</si>
  <si>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</si>
  <si>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</si>
  <si>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</si>
  <si>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</si>
  <si>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</si>
  <si>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</si>
  <si>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</si>
  <si>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</si>
  <si>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</si>
  <si>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</si>
  <si>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</si>
  <si>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</si>
  <si>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</si>
  <si>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</si>
  <si>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</si>
  <si>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</si>
  <si>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</si>
  <si>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</si>
  <si>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</si>
  <si>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</si>
  <si>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</si>
  <si>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</si>
  <si>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</si>
  <si>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</si>
  <si>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</si>
  <si>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</si>
  <si>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</si>
  <si>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</si>
  <si>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</si>
  <si>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</si>
  <si>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</si>
  <si>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</si>
  <si>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</si>
  <si>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</si>
  <si>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</si>
  <si>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</si>
  <si>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</si>
  <si>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</si>
  <si>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</si>
  <si>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</si>
  <si>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</si>
  <si>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</si>
  <si>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</si>
  <si>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</si>
  <si>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</si>
  <si>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</si>
  <si>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</si>
  <si>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</si>
  <si>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</si>
  <si>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</si>
  <si>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</si>
  <si>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</si>
  <si>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</si>
  <si>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</si>
  <si>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</si>
  <si>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</si>
  <si>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</si>
  <si>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</si>
  <si>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</si>
  <si>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</si>
  <si>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</si>
  <si>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</si>
  <si>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</si>
  <si>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</si>
  <si>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</si>
  <si>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</si>
  <si>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</si>
  <si>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</si>
  <si>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</si>
  <si>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</si>
  <si>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</si>
  <si>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</si>
  <si>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</si>
  <si>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</si>
  <si>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</si>
  <si>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</si>
  <si>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</si>
  <si>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</si>
  <si>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</si>
  <si>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</si>
  <si>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</si>
  <si>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</si>
  <si>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</si>
  <si>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</si>
  <si>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</si>
  <si>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</si>
  <si>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</si>
  <si>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</si>
  <si>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</si>
  <si>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</si>
  <si>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</si>
  <si>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</si>
  <si>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</si>
  <si>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</si>
  <si>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</si>
  <si>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</si>
  <si>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</si>
  <si>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</si>
  <si>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</si>
  <si>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</si>
  <si>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</si>
  <si>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</si>
  <si>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</si>
  <si>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</si>
  <si>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</si>
  <si>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</si>
  <si>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</si>
  <si>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</si>
  <si>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</si>
  <si>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</si>
  <si>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</si>
  <si>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</si>
  <si>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</si>
  <si>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</si>
  <si>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</si>
  <si>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</si>
  <si>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</si>
  <si>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</si>
  <si>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</si>
  <si>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</si>
  <si>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</si>
  <si>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</si>
  <si>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</si>
  <si>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</si>
  <si>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</si>
  <si>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</si>
  <si>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</si>
  <si>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</si>
  <si>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</si>
  <si>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</si>
  <si>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</si>
  <si>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</si>
  <si>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</si>
  <si>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</si>
  <si>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</si>
  <si>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</si>
  <si>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</si>
  <si>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</si>
  <si>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</si>
  <si>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</si>
  <si>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</si>
  <si>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</si>
  <si>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</si>
  <si>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</si>
  <si>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</si>
  <si>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</si>
  <si>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</si>
  <si>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</si>
  <si>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</si>
  <si>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</si>
  <si>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</si>
  <si>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</si>
  <si>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</si>
  <si>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</si>
  <si>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</si>
  <si>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</si>
  <si>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</si>
  <si>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</si>
  <si>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</si>
  <si>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</si>
  <si>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</si>
  <si>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</si>
  <si>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</si>
  <si>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</si>
  <si>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</si>
  <si>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</si>
  <si>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</si>
  <si>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</si>
  <si>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</si>
  <si>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</si>
  <si>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</si>
  <si>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</si>
  <si>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</si>
  <si>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</si>
  <si>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</si>
  <si>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</si>
  <si>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</si>
  <si>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</si>
  <si>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</si>
  <si>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</si>
  <si>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</si>
  <si>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</si>
  <si>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</si>
  <si>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</si>
  <si>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</si>
  <si>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</si>
  <si>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</si>
  <si>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</si>
  <si>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</si>
  <si>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</si>
  <si>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</si>
  <si>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</si>
  <si>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</si>
  <si>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</si>
  <si>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</si>
  <si>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</si>
  <si>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</si>
  <si>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</si>
  <si>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</si>
  <si>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</si>
  <si>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</si>
  <si>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</si>
  <si>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</si>
  <si>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</si>
  <si>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</si>
  <si>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</si>
  <si>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</si>
  <si>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</si>
  <si>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</si>
  <si>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</si>
  <si>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</si>
  <si>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</si>
  <si>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</si>
  <si>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</si>
  <si>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</si>
  <si>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</si>
  <si>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</si>
  <si>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</si>
  <si>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</si>
  <si>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</si>
  <si>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</si>
  <si>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</si>
  <si>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</si>
  <si>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</si>
  <si>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</si>
  <si>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</si>
  <si>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</si>
  <si>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</si>
  <si>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</si>
  <si>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</si>
  <si>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</si>
  <si>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</si>
  <si>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</si>
  <si>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</si>
  <si>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</si>
  <si>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</si>
  <si>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</si>
  <si>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</si>
  <si>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</si>
  <si>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</si>
  <si>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</si>
  <si>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</si>
  <si>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</si>
  <si>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</si>
  <si>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</si>
  <si>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</si>
  <si>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</si>
  <si>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</si>
  <si>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</si>
  <si>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</si>
  <si>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</si>
  <si>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</si>
  <si>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</si>
  <si>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</si>
  <si>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</si>
  <si>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</si>
  <si>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</si>
  <si>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</si>
  <si>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</si>
  <si>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</si>
  <si>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</si>
  <si>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</si>
  <si>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</si>
  <si>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</si>
  <si>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</si>
  <si>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</si>
  <si>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</si>
  <si>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</si>
  <si>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</si>
  <si>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</si>
  <si>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</si>
  <si>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</si>
  <si>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</si>
  <si>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</si>
  <si>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</si>
  <si>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</si>
  <si>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</si>
  <si>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</si>
  <si>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</si>
  <si>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</si>
  <si>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</si>
  <si>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</si>
  <si>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</si>
  <si>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</si>
  <si>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</si>
  <si>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</si>
  <si>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</si>
  <si>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</si>
  <si>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</si>
  <si>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</si>
  <si>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</si>
  <si>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</si>
  <si>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</si>
  <si>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</si>
  <si>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</si>
  <si>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</si>
  <si>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</si>
  <si>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</si>
  <si>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</si>
  <si>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</si>
  <si>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</si>
  <si>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</si>
  <si>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</si>
  <si>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</si>
  <si>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</si>
  <si>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</si>
  <si>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</si>
  <si>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</si>
  <si>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</si>
  <si>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</si>
  <si>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</si>
  <si>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</si>
  <si>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</si>
  <si>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</si>
  <si>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</si>
  <si>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</si>
  <si>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</si>
  <si>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</si>
  <si>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</si>
  <si>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</si>
  <si>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</si>
  <si>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</si>
  <si>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</si>
  <si>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</si>
  <si>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</si>
  <si>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</si>
  <si>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</si>
  <si>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</si>
  <si>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</si>
  <si>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</si>
  <si>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</si>
  <si>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</si>
  <si>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</si>
  <si>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</si>
  <si>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</si>
  <si>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</si>
  <si>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</si>
  <si>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</si>
  <si>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</si>
  <si>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</si>
  <si>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</si>
  <si>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</si>
  <si>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</si>
  <si>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</si>
  <si>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</si>
  <si>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</si>
  <si>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</si>
  <si>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</si>
  <si>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</si>
  <si>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</si>
  <si>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</si>
  <si>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</si>
  <si>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</si>
  <si>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</si>
  <si>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</si>
  <si>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</si>
  <si>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</si>
  <si>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</si>
  <si>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</si>
  <si>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</si>
  <si>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</si>
  <si>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</si>
  <si>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</si>
  <si>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</si>
  <si>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</si>
  <si>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</si>
  <si>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</si>
  <si>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</si>
  <si>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</si>
  <si>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</si>
  <si>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</si>
  <si>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</si>
  <si>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</si>
  <si>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</si>
  <si>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</si>
  <si>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</si>
  <si>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</si>
  <si>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</si>
  <si>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</si>
  <si>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</si>
  <si>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</si>
  <si>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</si>
  <si>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</si>
  <si>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</si>
  <si>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</si>
  <si>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</si>
  <si>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</si>
  <si>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</si>
  <si>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</si>
  <si>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</si>
  <si>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</si>
  <si>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</si>
  <si>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</si>
  <si>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</si>
  <si>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</si>
  <si>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</si>
  <si>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</si>
  <si>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</si>
  <si>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</si>
  <si>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</si>
  <si>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</si>
  <si>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</si>
  <si>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</si>
  <si>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</si>
  <si>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</si>
  <si>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</si>
  <si>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</si>
  <si>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</si>
  <si>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</si>
  <si>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</si>
  <si>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</si>
  <si>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</si>
  <si>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</si>
  <si>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</si>
  <si>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</si>
  <si>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</si>
  <si>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</si>
  <si>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</si>
  <si>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</si>
  <si>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</si>
  <si>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</si>
  <si>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</si>
  <si>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</si>
  <si>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</si>
  <si>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</si>
  <si>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</si>
  <si>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</si>
  <si>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</si>
  <si>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</si>
  <si>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</si>
  <si>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</si>
  <si>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</si>
  <si>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</si>
  <si>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</si>
  <si>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</si>
  <si>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</si>
  <si>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</si>
  <si>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</si>
  <si>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</si>
  <si>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</si>
  <si>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</si>
  <si>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</si>
  <si>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</si>
  <si>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</si>
  <si>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</si>
  <si>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</si>
  <si>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</si>
  <si>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</si>
  <si>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</si>
  <si>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</si>
  <si>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</si>
  <si>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</si>
  <si>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</si>
  <si>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</si>
  <si>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</si>
  <si>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</si>
  <si>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</si>
  <si>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</si>
  <si>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</si>
  <si>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</si>
  <si>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</si>
  <si>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</si>
  <si>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</si>
  <si>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</si>
  <si>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</si>
  <si>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</si>
  <si>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</si>
  <si>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</si>
  <si>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</si>
  <si>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</si>
  <si>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</si>
  <si>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</si>
  <si>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</si>
  <si>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</si>
  <si>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</si>
  <si>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</si>
  <si>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</si>
  <si>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</si>
  <si>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</si>
  <si>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</si>
  <si>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</si>
  <si>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</si>
  <si>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</si>
  <si>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</si>
  <si>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</si>
  <si>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</si>
  <si>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</si>
  <si>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</si>
  <si>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</si>
  <si>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</si>
  <si>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</si>
  <si>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</si>
  <si>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</si>
  <si>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</si>
  <si>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</si>
  <si>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</si>
  <si>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</si>
  <si>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</si>
  <si>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</si>
  <si>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</si>
  <si>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</si>
  <si>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</si>
  <si>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</si>
  <si>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</si>
  <si>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</si>
  <si>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</si>
  <si>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</si>
  <si>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</si>
  <si>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</si>
  <si>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</si>
  <si>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</si>
  <si>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</si>
  <si>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</si>
  <si>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</si>
  <si>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</si>
  <si>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</si>
  <si>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</si>
  <si>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</si>
  <si>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</si>
  <si>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</si>
  <si>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</si>
  <si>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</si>
  <si>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</si>
  <si>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</si>
  <si>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</si>
  <si>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</si>
  <si>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</si>
  <si>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</si>
  <si>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</si>
  <si>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</si>
  <si>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</si>
  <si>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</si>
  <si>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</si>
  <si>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</si>
  <si>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</si>
  <si>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</si>
  <si>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</si>
  <si>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</si>
  <si>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</si>
  <si>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</si>
  <si>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</si>
  <si>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</si>
  <si>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</si>
  <si>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</si>
  <si>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</si>
  <si>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</si>
  <si>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</si>
  <si>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</si>
  <si>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</si>
  <si>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</si>
  <si>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</si>
  <si>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</si>
  <si>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</si>
  <si>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</si>
  <si>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</si>
  <si>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</si>
  <si>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</si>
  <si>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</si>
  <si>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</si>
  <si>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</si>
  <si>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</si>
  <si>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</si>
  <si>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</si>
  <si>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</si>
  <si>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</si>
  <si>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</si>
  <si>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</si>
  <si>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</si>
  <si>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</si>
  <si>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</si>
  <si>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</si>
  <si>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</si>
  <si>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</si>
  <si>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</si>
  <si>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</si>
  <si>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</si>
  <si>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</si>
  <si>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</si>
  <si>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</si>
  <si>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</si>
  <si>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</si>
  <si>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</si>
  <si>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</si>
  <si>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</si>
  <si>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</si>
  <si>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</si>
  <si>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</si>
  <si>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</si>
  <si>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</si>
  <si>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</si>
  <si>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</si>
  <si>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</si>
  <si>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</si>
  <si>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</si>
  <si>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</si>
  <si>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</si>
  <si>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</si>
  <si>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</si>
  <si>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</si>
  <si>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</si>
  <si>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</si>
  <si>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</si>
  <si>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</si>
  <si>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</si>
  <si>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</si>
  <si>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</si>
  <si>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</si>
  <si>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</si>
  <si>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</si>
  <si>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</si>
  <si>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</si>
  <si>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</si>
  <si>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</si>
  <si>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</si>
  <si>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</si>
  <si>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</si>
  <si>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</si>
  <si>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</si>
  <si>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</si>
  <si>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</si>
  <si>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</si>
  <si>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</si>
  <si>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</si>
  <si>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</si>
  <si>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</si>
  <si>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</si>
  <si>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</si>
  <si>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</si>
  <si>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</si>
  <si>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</si>
  <si>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</si>
  <si>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</si>
  <si>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</si>
  <si>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</si>
  <si>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</si>
  <si>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</si>
  <si>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</si>
  <si>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</si>
  <si>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</si>
  <si>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</si>
  <si>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</si>
  <si>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</si>
  <si>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</si>
  <si>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</si>
  <si>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</si>
  <si>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</si>
  <si>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</si>
  <si>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</si>
  <si>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</si>
  <si>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</si>
  <si>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</si>
  <si>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</si>
  <si>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</si>
  <si>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</si>
  <si>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</si>
  <si>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</si>
  <si>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</si>
  <si>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</si>
  <si>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</si>
  <si>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</si>
  <si>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</si>
  <si>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</si>
  <si>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</si>
  <si>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</si>
  <si>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</si>
  <si>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</si>
  <si>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</si>
  <si>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</si>
  <si>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</si>
  <si>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</si>
  <si>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</si>
  <si>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</si>
  <si>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</si>
  <si>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</si>
  <si>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</si>
  <si>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</si>
  <si>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</si>
  <si>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</si>
  <si>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</si>
  <si>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</si>
  <si>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</si>
  <si>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</si>
  <si>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</si>
  <si>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</si>
  <si>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</si>
  <si>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</si>
  <si>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</si>
  <si>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</si>
  <si>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</si>
  <si>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</si>
  <si>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</si>
  <si>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</si>
  <si>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</si>
  <si>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</si>
  <si>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</si>
  <si>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</si>
  <si>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</si>
  <si>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</si>
  <si>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</si>
  <si>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</si>
  <si>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</si>
  <si>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</si>
  <si>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</si>
  <si>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</si>
  <si>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</si>
  <si>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</si>
  <si>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</si>
  <si>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</si>
  <si>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</si>
  <si>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</si>
  <si>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</si>
  <si>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</si>
  <si>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</si>
  <si>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</si>
  <si>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</si>
  <si>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</si>
  <si>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</si>
  <si>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</si>
  <si>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</si>
  <si>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</si>
  <si>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</si>
  <si>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</si>
  <si>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</si>
  <si>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</si>
  <si>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</si>
  <si>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</si>
  <si>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</si>
  <si>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</si>
  <si>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</si>
  <si>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</si>
  <si>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</si>
  <si>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</si>
  <si>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</si>
  <si>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</si>
  <si>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</si>
  <si>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</si>
  <si>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</si>
  <si>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</si>
  <si>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</si>
  <si>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</si>
  <si>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</si>
  <si>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</si>
  <si>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</si>
  <si>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</si>
  <si>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</si>
  <si>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</si>
  <si>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</si>
  <si>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</si>
  <si>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</si>
  <si>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</si>
  <si>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</si>
  <si>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</si>
  <si>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</si>
  <si>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</si>
  <si>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</si>
  <si>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</si>
  <si>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</si>
  <si>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</si>
  <si>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</si>
  <si>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</si>
  <si>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</si>
  <si>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</si>
  <si>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</si>
  <si>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</si>
  <si>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</si>
  <si>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</si>
  <si>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</si>
  <si>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</si>
  <si>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</si>
  <si>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DPRO SPA</t>
  </si>
  <si>
    <t>Comercial Industrial Dival SPA</t>
  </si>
  <si>
    <t>SERVICIOS RC SPA</t>
  </si>
  <si>
    <t>TRECK S.A.</t>
  </si>
  <si>
    <t>Gráfica y Publicidad Luz Villar</t>
  </si>
  <si>
    <t>TUBO PLASTICO PUN  Ø1/8"X3/64 U-BL 10BAR</t>
  </si>
  <si>
    <t>CORDEL DE PERLON 5/8" (16mm)</t>
  </si>
  <si>
    <t>Samson Controls S A</t>
  </si>
  <si>
    <t>SALMA Corp Spa</t>
  </si>
  <si>
    <t>DARTEL S.A.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</si>
  <si>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</si>
  <si>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</si>
  <si>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</si>
  <si>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</si>
  <si>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</si>
  <si>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</si>
  <si>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</si>
  <si>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se solicita de manera urgente por barbara galvez</t>
  </si>
  <si>
    <t>es necesario comprar más?</t>
  </si>
  <si>
    <t>a pedido respecto a disponibilidad de tubos</t>
  </si>
  <si>
    <t>Material Descontinuado. Se buscaran alternativas futuras</t>
  </si>
  <si>
    <t>se eliminara oc 4502524396</t>
  </si>
  <si>
    <t>en validacion de proveedor nuevo</t>
  </si>
  <si>
    <t>se solicita de manera urgente por manuel lopez</t>
  </si>
  <si>
    <t>1001685688 bloqueada BOM</t>
  </si>
  <si>
    <t>1001672532 bloqueada BOM</t>
  </si>
  <si>
    <t>1001669551 bloqueada BOM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</si>
  <si>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</si>
  <si>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</si>
  <si>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</si>
  <si>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</si>
  <si>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</si>
  <si>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</si>
  <si>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</si>
  <si>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</si>
  <si>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</si>
  <si>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</si>
  <si>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</si>
  <si>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</si>
  <si>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se utilizan 2 por año</t>
  </si>
  <si>
    <t>solicitud de constanza saenz tar panna 4</t>
  </si>
  <si>
    <t>oc 4502510417 es de regularizacion</t>
  </si>
  <si>
    <t>FLUINORT LTDA.</t>
  </si>
  <si>
    <t>SEW EURODRIVE CHILE SPA.</t>
  </si>
  <si>
    <t>se bloquea solped 1002584669 por no validacion</t>
  </si>
  <si>
    <t>Maquinaria Industrial Ltda.</t>
  </si>
  <si>
    <t>solped bloqueada 1002627478 por no validación 06-05…. Se reenvia validacion</t>
  </si>
  <si>
    <t>en proceso de validación</t>
  </si>
  <si>
    <t>solped nueva</t>
  </si>
  <si>
    <t>cotizando alternativa, ya que sinsef no lo tiene</t>
  </si>
  <si>
    <t>Microtec S A</t>
  </si>
  <si>
    <t>Cleanova US, INC</t>
  </si>
  <si>
    <t>OBTURADOR TX 313 SKF</t>
  </si>
  <si>
    <t>Comspain S.A</t>
  </si>
  <si>
    <t>Oschatz Power GmbH</t>
  </si>
  <si>
    <t>Soluciones y Representaciones tecni</t>
  </si>
  <si>
    <t>Disponibilidad Criticos (A)</t>
  </si>
  <si>
    <t>Disponibilidad Bodega</t>
  </si>
  <si>
    <t>Wika Chile SPA</t>
  </si>
  <si>
    <t>Juan Andres Yanez Machuca E.i.r.l.</t>
  </si>
  <si>
    <t>Proveedores Integrales Prisa S.A.</t>
  </si>
  <si>
    <t>Bloqueado</t>
  </si>
  <si>
    <t>Validación</t>
  </si>
  <si>
    <t>Margarita Morales Freire</t>
  </si>
  <si>
    <t>SONEPAR CHILE S.A</t>
  </si>
  <si>
    <t>Francisco Javier Rocha Salcedo</t>
  </si>
  <si>
    <t>Sam Carbis Solutions Group, LLC</t>
  </si>
  <si>
    <t>AXAM COMERCIAL SPA</t>
  </si>
  <si>
    <t>buscando alternativa (llegaron 2 ofertas a validar junio)</t>
  </si>
  <si>
    <t>Cotizando plataforma merck</t>
  </si>
  <si>
    <t xml:space="preserve">Proceso de validacion </t>
  </si>
  <si>
    <t xml:space="preserve">Proceso de cotizacion </t>
  </si>
  <si>
    <t>Se elimina por error de solped (sin liberación)</t>
  </si>
  <si>
    <t>en validacion</t>
  </si>
  <si>
    <t>EMPAQUE PLANCHA 60"X60" ESP=1/16 P-295</t>
  </si>
  <si>
    <t>Printec S A</t>
  </si>
  <si>
    <t>SAGITA CONSULTORA DE RIESGO QUIMICO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</si>
  <si>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</si>
  <si>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</si>
  <si>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</si>
  <si>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</si>
  <si>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</si>
  <si>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</si>
  <si>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</si>
  <si>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</si>
  <si>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</si>
  <si>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</si>
  <si>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</si>
  <si>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</si>
  <si>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</si>
  <si>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SOLPED 2025 BLOQUEADAS (1002321381 Y 1002288131)</t>
  </si>
  <si>
    <t>SE ESPERA HOMOLOGO DE MATERIAL DESCONTINUADO SOLPED 2025 BLOQUEADAS (1002321381 Y 1002288131)</t>
  </si>
  <si>
    <t>Importadora La Estrella Limitada</t>
  </si>
  <si>
    <t>Cristian Ruiz De Gamboa Mujica</t>
  </si>
  <si>
    <t>S.A.M. SPA</t>
  </si>
  <si>
    <t>Ventilatorenfabrik Oelde Gmbh</t>
  </si>
  <si>
    <t>COMERCIAL KMX LIMITADA</t>
  </si>
  <si>
    <t>Sociedad Ferretera Andino Limitada</t>
  </si>
  <si>
    <t>Ferreteria Amunategui Sa</t>
  </si>
  <si>
    <t>C Y M San Pascual S.a.</t>
  </si>
  <si>
    <t>Roberto Rivera Serrano Imp. Exp. Ve</t>
  </si>
  <si>
    <t>PROVEMIN SPA</t>
  </si>
  <si>
    <t>Ducasse Comercial Limitada</t>
  </si>
  <si>
    <t>SIMTECH COATINGS SPA</t>
  </si>
  <si>
    <t>PESAMATIC S.A.</t>
  </si>
  <si>
    <t>1002687242</t>
  </si>
  <si>
    <t>1002687239</t>
  </si>
  <si>
    <t>1002687207</t>
  </si>
  <si>
    <t>1002687240</t>
  </si>
  <si>
    <t>1002687208</t>
  </si>
  <si>
    <t>1002687243</t>
  </si>
  <si>
    <t>1002687241</t>
  </si>
  <si>
    <t>Validando con  Pedro Ramos 09.07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</si>
</sst>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8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31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51103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211.680778240741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3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7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211.680779282404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3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7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211.680780324074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7" level="32767"/>
    <cacheField name="[Measures].[Disponibilidad]" caption="Disponibilidad" numFmtId="0" hierarchy="22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211.680781597221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2" level="32767"/>
  </cacheFields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Catalán Flores" refreshedDate="46211.680777430556" backgroundQuery="1" createdVersion="3" refreshedVersion="8" minRefreshableVersion="3" recordCount="0" supportSubquery="1" supportAdvancedDrill="1" xr:uid="{589DB678-6D3F-4FA7-AD23-F4B83E6586E6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0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13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pra reposicion TARJUN]" caption="Compra reposicion TARJUN" attribute="1" defaultMemberUniqueName="[data].[Compra reposicion TARJUN].[All]" allUniqueName="[data].[Compra reposicion TARJUN].[All]" dimensionUniqueName="[data]" displayFolder="" count="0" memberValueDatatype="130" unbalanced="0"/>
    <cacheHierarchy uniqueName="[data].[Cant a comprar]" caption="Cant a comprar" attribute="1" defaultMemberUniqueName="[data].[Cant a comprar].[All]" allUniqueName="[data].[Cant a comprar].[All]" dimensionUniqueName="[data]" displayFolder="" count="0" memberValueDatatype="130" unbalanced="0"/>
    <cacheHierarchy uniqueName="[data].[Comentario Seguimiento]" caption="Comentario Seguimiento" attribute="1" defaultMemberUniqueName="[data].[Comentario Seguimiento].[All]" allUniqueName="[data].[Comentario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5429091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0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478">
      <pivotArea type="all" dataOnly="0" outline="0" fieldPosition="0"/>
    </format>
    <format dxfId="477">
      <pivotArea dataOnly="0" labelOnly="1" outline="0" axis="axisValues" fieldPosition="0"/>
    </format>
    <format dxfId="476">
      <pivotArea outline="0" collapsedLevelsAreSubtotals="1" fieldPosition="0"/>
    </format>
    <format dxfId="475">
      <pivotArea outline="0" collapsedLevelsAreSubtotals="1" fieldPosition="0"/>
    </format>
    <format dxfId="474">
      <pivotArea type="all" dataOnly="0" outline="0" fieldPosition="0"/>
    </format>
    <format dxfId="473">
      <pivotArea outline="0" collapsedLevelsAreSubtotals="1" fieldPosition="0"/>
    </format>
    <format dxfId="472">
      <pivotArea field="1" type="button" dataOnly="0" labelOnly="1" outline="0" axis="axisRow" fieldPosition="0"/>
    </format>
    <format dxfId="471">
      <pivotArea dataOnly="0" labelOnly="1" fieldPosition="0">
        <references count="1">
          <reference field="1" count="0"/>
        </references>
      </pivotArea>
    </format>
    <format dxfId="470">
      <pivotArea dataOnly="0" labelOnly="1" grandRow="1" outline="0" fieldPosition="0"/>
    </format>
    <format dxfId="46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66">
      <pivotArea outline="0" fieldPosition="0">
        <references count="1">
          <reference field="4294967294" count="1">
            <x v="0"/>
          </reference>
        </references>
      </pivotArea>
    </format>
    <format dxfId="465">
      <pivotArea dataOnly="0" labelOnly="1" fieldPosition="0">
        <references count="1">
          <reference field="1" count="1">
            <x v="0"/>
          </reference>
        </references>
      </pivotArea>
    </format>
    <format dxfId="464">
      <pivotArea dataOnly="0" labelOnly="1" fieldPosition="0">
        <references count="1">
          <reference field="1" count="1">
            <x v="1"/>
          </reference>
        </references>
      </pivotArea>
    </format>
    <format dxfId="463">
      <pivotArea dataOnly="0" labelOnly="1" fieldPosition="0">
        <references count="1">
          <reference field="1" count="1">
            <x v="3"/>
          </reference>
        </references>
      </pivotArea>
    </format>
    <format dxfId="462">
      <pivotArea dataOnly="0" labelOnly="1" fieldPosition="0">
        <references count="1">
          <reference field="1" count="1">
            <x v="2"/>
          </reference>
        </references>
      </pivotArea>
    </format>
    <format dxfId="461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460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459">
      <pivotArea field="1" type="button" dataOnly="0" labelOnly="1" outline="0" axis="axisRow" fieldPosition="0"/>
    </format>
    <format dxfId="4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7">
      <pivotArea outline="0" collapsedLevelsAreSubtotals="1" fieldPosition="0"/>
    </format>
    <format dxfId="45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54">
      <pivotArea type="all" dataOnly="0" outline="0" fieldPosition="0"/>
    </format>
    <format dxfId="453">
      <pivotArea outline="0" collapsedLevelsAreSubtotals="1" fieldPosition="0"/>
    </format>
    <format dxfId="452">
      <pivotArea field="1" type="button" dataOnly="0" labelOnly="1" outline="0" axis="axisRow" fieldPosition="0"/>
    </format>
    <format dxfId="451">
      <pivotArea dataOnly="0" labelOnly="1" fieldPosition="0">
        <references count="1">
          <reference field="1" count="0"/>
        </references>
      </pivotArea>
    </format>
    <format dxfId="450">
      <pivotArea dataOnly="0" labelOnly="1" grandRow="1" outline="0" fieldPosition="0"/>
    </format>
    <format dxfId="4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487">
      <pivotArea field="0" type="button" dataOnly="0" labelOnly="1" outline="0" axis="axisRow" fieldPosition="0"/>
    </format>
    <format dxfId="4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5">
      <pivotArea type="all" dataOnly="0" outline="0" fieldPosition="0"/>
    </format>
    <format dxfId="484">
      <pivotArea outline="0" collapsedLevelsAreSubtotals="1" fieldPosition="0"/>
    </format>
    <format dxfId="483">
      <pivotArea field="0" type="button" dataOnly="0" labelOnly="1" outline="0" axis="axisRow" fieldPosition="0"/>
    </format>
    <format dxfId="482">
      <pivotArea dataOnly="0" labelOnly="1" fieldPosition="0">
        <references count="1">
          <reference field="0" count="0"/>
        </references>
      </pivotArea>
    </format>
    <format dxfId="481">
      <pivotArea dataOnly="0" labelOnly="1" grandRow="1" outline="0" fieldPosition="0"/>
    </format>
    <format dxfId="4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9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500">
      <pivotArea type="all" dataOnly="0" outline="0" fieldPosition="0"/>
    </format>
    <format dxfId="499">
      <pivotArea outline="0" collapsedLevelsAreSubtotals="1" fieldPosition="0"/>
    </format>
    <format dxfId="498">
      <pivotArea field="0" type="button" dataOnly="0" labelOnly="1" outline="0"/>
    </format>
    <format dxfId="497">
      <pivotArea dataOnly="0" labelOnly="1" grandRow="1" outline="0" fieldPosition="0"/>
    </format>
    <format dxfId="49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5">
      <pivotArea type="all" dataOnly="0" outline="0" fieldPosition="0"/>
    </format>
    <format dxfId="494">
      <pivotArea outline="0" collapsedLevelsAreSubtotals="1" fieldPosition="0"/>
    </format>
    <format dxfId="493">
      <pivotArea dataOnly="0" labelOnly="1" outline="0" axis="axisValues" fieldPosition="0"/>
    </format>
    <format dxfId="492">
      <pivotArea type="all" dataOnly="0" outline="0" fieldPosition="0"/>
    </format>
    <format dxfId="491">
      <pivotArea dataOnly="0" labelOnly="1" outline="0" axis="axisValues" fieldPosition="0"/>
    </format>
    <format dxfId="490">
      <pivotArea outline="0" collapsedLevelsAreSubtotals="1" fieldPosition="0"/>
    </format>
    <format dxfId="489">
      <pivotArea outline="0" collapsedLevelsAreSubtotals="1" fieldPosition="0"/>
    </format>
    <format dxfId="488">
      <pivotArea outline="0" collapsedLevelsAreSubtotals="1" fieldPosition="0"/>
    </format>
  </formats>
  <pivotHierarchies count="30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530">
      <pivotArea type="all" dataOnly="0" outline="0" fieldPosition="0"/>
    </format>
    <format dxfId="529">
      <pivotArea dataOnly="0" labelOnly="1" outline="0" axis="axisValues" fieldPosition="0"/>
    </format>
    <format dxfId="528">
      <pivotArea outline="0" collapsedLevelsAreSubtotals="1" fieldPosition="0"/>
    </format>
    <format dxfId="527">
      <pivotArea outline="0" collapsedLevelsAreSubtotals="1" fieldPosition="0"/>
    </format>
    <format dxfId="526">
      <pivotArea type="all" dataOnly="0" outline="0" fieldPosition="0"/>
    </format>
    <format dxfId="525">
      <pivotArea outline="0" collapsedLevelsAreSubtotals="1" fieldPosition="0"/>
    </format>
    <format dxfId="524">
      <pivotArea field="1" type="button" dataOnly="0" labelOnly="1" outline="0" axis="axisRow" fieldPosition="0"/>
    </format>
    <format dxfId="523">
      <pivotArea dataOnly="0" labelOnly="1" fieldPosition="0">
        <references count="1">
          <reference field="1" count="0"/>
        </references>
      </pivotArea>
    </format>
    <format dxfId="522">
      <pivotArea dataOnly="0" labelOnly="1" grandRow="1" outline="0" fieldPosition="0"/>
    </format>
    <format dxfId="5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8">
      <pivotArea outline="0" fieldPosition="0">
        <references count="1">
          <reference field="4294967294" count="1">
            <x v="0"/>
          </reference>
        </references>
      </pivotArea>
    </format>
    <format dxfId="517">
      <pivotArea dataOnly="0" labelOnly="1" fieldPosition="0">
        <references count="1">
          <reference field="1" count="1">
            <x v="0"/>
          </reference>
        </references>
      </pivotArea>
    </format>
    <format dxfId="516">
      <pivotArea dataOnly="0" labelOnly="1" fieldPosition="0">
        <references count="1">
          <reference field="1" count="1">
            <x v="1"/>
          </reference>
        </references>
      </pivotArea>
    </format>
    <format dxfId="515">
      <pivotArea dataOnly="0" labelOnly="1" fieldPosition="0">
        <references count="1">
          <reference field="1" count="1">
            <x v="3"/>
          </reference>
        </references>
      </pivotArea>
    </format>
    <format dxfId="514">
      <pivotArea dataOnly="0" labelOnly="1" fieldPosition="0">
        <references count="1">
          <reference field="1" count="1">
            <x v="2"/>
          </reference>
        </references>
      </pivotArea>
    </format>
    <format dxfId="513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12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11">
      <pivotArea field="1" type="button" dataOnly="0" labelOnly="1" outline="0" axis="axisRow" fieldPosition="0"/>
    </format>
    <format dxfId="5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9">
      <pivotArea outline="0" collapsedLevelsAreSubtotals="1" fieldPosition="0"/>
    </format>
    <format dxfId="50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6">
      <pivotArea type="all" dataOnly="0" outline="0" fieldPosition="0"/>
    </format>
    <format dxfId="505">
      <pivotArea outline="0" collapsedLevelsAreSubtotals="1" fieldPosition="0"/>
    </format>
    <format dxfId="504">
      <pivotArea field="1" type="button" dataOnly="0" labelOnly="1" outline="0" axis="axisRow" fieldPosition="0"/>
    </format>
    <format dxfId="503">
      <pivotArea dataOnly="0" labelOnly="1" fieldPosition="0">
        <references count="1">
          <reference field="1" count="0"/>
        </references>
      </pivotArea>
    </format>
    <format dxfId="502">
      <pivotArea dataOnly="0" labelOnly="1" grandRow="1" outline="0" fieldPosition="0"/>
    </format>
    <format dxfId="5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30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8">
    <queryTableFields count="18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454290910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S1323" tableType="queryTable" totalsRowShown="0" headerRowDxfId="448" dataDxfId="447">
  <autoFilter ref="B16:S1323" xr:uid="{00000000-000C-0000-FFFF-FFFF00000000}"/>
  <tableColumns count="18">
    <tableColumn id="1" xr3:uid="{00000000-0010-0000-0000-000001000000}" uniqueName="1" name="Material" queryTableFieldId="1" dataDxfId="446"/>
    <tableColumn id="2" xr3:uid="{00000000-0010-0000-0000-000002000000}" uniqueName="2" name="Texto breve de material" queryTableFieldId="2" dataDxfId="445"/>
    <tableColumn id="3" xr3:uid="{00000000-0010-0000-0000-000003000000}" uniqueName="3" name="Centro" queryTableFieldId="16" dataDxfId="444"/>
    <tableColumn id="14" xr3:uid="{00000000-0010-0000-0000-00000E000000}" uniqueName="14" name="Area" queryTableFieldId="60" dataDxfId="443"/>
    <tableColumn id="18" xr3:uid="{00000000-0010-0000-0000-000012000000}" uniqueName="18" name="Criticidad" queryTableFieldId="61" dataDxfId="442"/>
    <tableColumn id="4" xr3:uid="{00000000-0010-0000-0000-000004000000}" uniqueName="4" name="Stock Seguridad" queryTableFieldId="4" dataDxfId="441"/>
    <tableColumn id="5" xr3:uid="{00000000-0010-0000-0000-000005000000}" uniqueName="5" name="Cantidad de Compra" queryTableFieldId="5" dataDxfId="440"/>
    <tableColumn id="6" xr3:uid="{00000000-0010-0000-0000-000006000000}" uniqueName="6" name="Stock" queryTableFieldId="6" dataDxfId="439"/>
    <tableColumn id="7" xr3:uid="{00000000-0010-0000-0000-000007000000}" uniqueName="7" name="UMB" queryTableFieldId="7" dataDxfId="438"/>
    <tableColumn id="8" xr3:uid="{00000000-0010-0000-0000-000008000000}" uniqueName="8" name="Condicion Stock" queryTableFieldId="8" dataDxfId="437"/>
    <tableColumn id="20" xr3:uid="{40652814-20EE-428C-90F1-1945E00F9E29}" uniqueName="20" name="Solped" queryTableFieldId="88" dataDxfId="436"/>
    <tableColumn id="13" xr3:uid="{00000000-0010-0000-0000-00000D000000}" uniqueName="13" name="Cantidad Solped" queryTableFieldId="66" dataDxfId="435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434"/>
    <tableColumn id="11" xr3:uid="{00000000-0010-0000-0000-00000B000000}" uniqueName="11" name="Proveedor" queryTableFieldId="11" dataDxfId="433"/>
    <tableColumn id="15" xr3:uid="{00000000-0010-0000-0000-00000F000000}" uniqueName="15" name="Fecha de entrega" queryTableFieldId="30" dataDxfId="432"/>
    <tableColumn id="19" xr3:uid="{00000000-0010-0000-0000-000013000000}" uniqueName="19" name="Usuario" queryTableFieldId="71" dataDxfId="431"/>
    <tableColumn id="9" xr3:uid="{00000000-0010-0000-0000-000009000000}" uniqueName="9" name="Observación" queryTableFieldId="47" dataDxfId="43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28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11"/>
  <sheetViews>
    <sheetView showGridLines="0" tabSelected="1" topLeftCell="A6" zoomScale="55" zoomScaleNormal="55" workbookViewId="0">
      <pane xSplit="1" topLeftCell="B1" activePane="topRight" state="frozen"/>
      <selection activeCell="A16" sqref="A16"/>
      <selection pane="topRight" activeCell="AC20" sqref="AC20"/>
    </sheetView>
  </sheetViews>
  <sheetFormatPr baseColWidth="10" defaultColWidth="11.5703125" defaultRowHeight="15" x14ac:dyDescent="0.25"/>
  <cols>
    <col min="1" max="1" width="1.7109375" style="1" customWidth="1"/>
    <col min="2" max="2" width="12.140625" style="1" customWidth="1"/>
    <col min="3" max="3" width="49.85546875" style="1" customWidth="1"/>
    <col min="4" max="4" width="16" style="1" bestFit="1" customWidth="1"/>
    <col min="5" max="5" width="21.28515625" style="1" customWidth="1"/>
    <col min="6" max="6" width="13.28515625" style="4" bestFit="1" customWidth="1"/>
    <col min="7" max="7" width="16.42578125" style="1" bestFit="1" customWidth="1"/>
    <col min="8" max="8" width="19.85546875" style="1" customWidth="1"/>
    <col min="9" max="9" width="14.28515625" style="4" customWidth="1"/>
    <col min="10" max="10" width="9.7109375" style="4" customWidth="1"/>
    <col min="11" max="11" width="15.5703125" style="4" customWidth="1"/>
    <col min="12" max="12" width="15.28515625" style="21" bestFit="1" customWidth="1"/>
    <col min="13" max="13" width="15.7109375" style="7" customWidth="1"/>
    <col min="14" max="14" width="15" style="10" customWidth="1"/>
    <col min="15" max="15" width="17.42578125" style="21" customWidth="1"/>
    <col min="16" max="16" width="23.85546875" style="21" customWidth="1"/>
    <col min="17" max="17" width="19.85546875" style="21" customWidth="1"/>
    <col min="18" max="18" width="79.85546875" style="21" customWidth="1"/>
    <col min="19" max="19" width="83.85546875" style="21" customWidth="1"/>
    <col min="20" max="16384" width="11.5703125" style="1"/>
  </cols>
  <sheetData>
    <row r="1" spans="1:19" s="2" customFormat="1" x14ac:dyDescent="0.25">
      <c r="A1"/>
      <c r="B1"/>
      <c r="C1"/>
      <c r="D1"/>
      <c r="E1"/>
      <c r="F1"/>
      <c r="G1"/>
      <c r="H1"/>
      <c r="I1"/>
      <c r="J1"/>
      <c r="K1"/>
      <c r="L1" s="56"/>
      <c r="M1" s="80" t="s">
        <v>64</v>
      </c>
      <c r="N1" s="1" t="s" vm="1">
        <v>1225</v>
      </c>
      <c r="O1" s="9"/>
      <c r="P1" s="18"/>
      <c r="Q1" s="18"/>
      <c r="R1" s="40"/>
      <c r="S1" s="18"/>
    </row>
    <row r="2" spans="1:19" s="2" customFormat="1" x14ac:dyDescent="0.25">
      <c r="A2"/>
      <c r="B2"/>
      <c r="C2"/>
      <c r="E2" s="12" t="s">
        <v>64</v>
      </c>
      <c r="F2" s="4" t="s">
        <v>76</v>
      </c>
      <c r="G2" s="4" t="s">
        <v>75</v>
      </c>
      <c r="H2" s="4"/>
      <c r="I2" s="12" t="s">
        <v>6</v>
      </c>
      <c r="J2" s="4" t="s">
        <v>76</v>
      </c>
      <c r="K2" s="77" t="s">
        <v>77</v>
      </c>
      <c r="L2" s="56"/>
      <c r="M2" s="2" t="s">
        <v>1226</v>
      </c>
    </row>
    <row r="3" spans="1:19" s="2" customFormat="1" x14ac:dyDescent="0.25">
      <c r="A3"/>
      <c r="B3"/>
      <c r="C3"/>
      <c r="E3" s="25" t="s">
        <v>78</v>
      </c>
      <c r="F3" s="26">
        <v>999</v>
      </c>
      <c r="G3" s="27">
        <v>0.96196196196196193</v>
      </c>
      <c r="H3" s="1"/>
      <c r="I3" s="4" t="s">
        <v>14</v>
      </c>
      <c r="J3" s="4">
        <v>313</v>
      </c>
      <c r="K3" s="78">
        <v>3</v>
      </c>
      <c r="L3" s="56"/>
      <c r="M3" s="12" t="s">
        <v>6</v>
      </c>
      <c r="N3" s="4" t="s">
        <v>76</v>
      </c>
      <c r="O3" s="77" t="s">
        <v>77</v>
      </c>
      <c r="P3" s="1" t="s">
        <v>1227</v>
      </c>
    </row>
    <row r="4" spans="1:19" s="2" customFormat="1" x14ac:dyDescent="0.25">
      <c r="A4"/>
      <c r="B4"/>
      <c r="C4"/>
      <c r="E4" s="25" t="s">
        <v>1225</v>
      </c>
      <c r="F4" s="26">
        <v>114</v>
      </c>
      <c r="G4" s="27">
        <v>0.8771929824561403</v>
      </c>
      <c r="H4" s="1"/>
      <c r="I4" s="4" t="s">
        <v>7</v>
      </c>
      <c r="J4" s="79">
        <v>782</v>
      </c>
      <c r="K4" s="78">
        <v>6</v>
      </c>
      <c r="L4" s="56"/>
      <c r="M4" s="4" t="s">
        <v>14</v>
      </c>
      <c r="N4" s="4">
        <v>8</v>
      </c>
      <c r="O4" s="78"/>
      <c r="P4" s="4"/>
      <c r="Q4"/>
      <c r="R4"/>
      <c r="S4"/>
    </row>
    <row r="5" spans="1:19" s="2" customFormat="1" x14ac:dyDescent="0.25">
      <c r="A5"/>
      <c r="B5"/>
      <c r="C5"/>
      <c r="E5" s="25" t="s">
        <v>87</v>
      </c>
      <c r="F5" s="26">
        <v>96</v>
      </c>
      <c r="G5" s="27">
        <v>0.94791666666666663</v>
      </c>
      <c r="H5" s="1"/>
      <c r="I5" s="4" t="s">
        <v>9</v>
      </c>
      <c r="J5" s="70">
        <v>154</v>
      </c>
      <c r="K5" s="78">
        <v>13</v>
      </c>
      <c r="L5" s="56"/>
      <c r="M5" s="4" t="s">
        <v>7</v>
      </c>
      <c r="N5" s="79">
        <v>72</v>
      </c>
      <c r="O5" s="78"/>
      <c r="P5" s="4">
        <v>7</v>
      </c>
      <c r="Q5"/>
      <c r="R5"/>
      <c r="S5"/>
    </row>
    <row r="6" spans="1:19" s="2" customFormat="1" ht="18.75" x14ac:dyDescent="0.25">
      <c r="A6"/>
      <c r="B6"/>
      <c r="C6" s="28" t="s">
        <v>75</v>
      </c>
      <c r="E6" s="25" t="s">
        <v>118</v>
      </c>
      <c r="F6" s="26">
        <v>34</v>
      </c>
      <c r="G6" s="27">
        <v>0.97058823529411764</v>
      </c>
      <c r="H6" s="1"/>
      <c r="I6" s="4" t="s">
        <v>13</v>
      </c>
      <c r="J6" s="79">
        <v>58</v>
      </c>
      <c r="K6" s="78">
        <v>8</v>
      </c>
      <c r="L6" s="56"/>
      <c r="M6" s="4" t="s">
        <v>9</v>
      </c>
      <c r="N6" s="70">
        <v>20</v>
      </c>
      <c r="O6" s="78">
        <v>2</v>
      </c>
      <c r="P6" s="4">
        <v>12</v>
      </c>
      <c r="Q6"/>
      <c r="R6"/>
      <c r="S6"/>
    </row>
    <row r="7" spans="1:19" s="2" customFormat="1" ht="21" x14ac:dyDescent="0.25">
      <c r="A7"/>
      <c r="B7"/>
      <c r="C7" s="58">
        <v>0.95562356541698545</v>
      </c>
      <c r="E7" s="25" t="s">
        <v>91</v>
      </c>
      <c r="F7" s="26">
        <v>21</v>
      </c>
      <c r="G7" s="27">
        <v>1</v>
      </c>
      <c r="H7" s="1"/>
      <c r="I7" s="25" t="s">
        <v>74</v>
      </c>
      <c r="J7" s="79">
        <v>1307</v>
      </c>
      <c r="K7" s="78">
        <v>30</v>
      </c>
      <c r="L7" s="56"/>
      <c r="M7" s="4" t="s">
        <v>13</v>
      </c>
      <c r="N7" s="79">
        <v>14</v>
      </c>
      <c r="O7" s="78"/>
      <c r="P7" s="4">
        <v>12</v>
      </c>
      <c r="Q7"/>
      <c r="R7"/>
      <c r="S7"/>
    </row>
    <row r="8" spans="1:19" s="2" customFormat="1" ht="18.75" x14ac:dyDescent="0.25">
      <c r="A8"/>
      <c r="B8"/>
      <c r="C8" s="63" t="s">
        <v>1619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25" t="s">
        <v>74</v>
      </c>
      <c r="N8" s="79">
        <v>114</v>
      </c>
      <c r="O8" s="78">
        <v>2</v>
      </c>
      <c r="P8" s="4">
        <v>31</v>
      </c>
      <c r="Q8" s="19"/>
      <c r="R8" s="19"/>
      <c r="S8" s="19"/>
    </row>
    <row r="9" spans="1:19" s="2" customFormat="1" ht="21" x14ac:dyDescent="0.25">
      <c r="A9"/>
      <c r="B9"/>
      <c r="C9" s="58">
        <f>(COUNTIFS(K$17:K$1048576,"Stock OK")+COUNTIFS(K$17:K$1048576,"Sobre Stock")) / COUNTA(K$17:K$1048576)</f>
        <v>0.83856159143075748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0.27192982456140352</v>
      </c>
      <c r="Q9" s="19"/>
      <c r="R9" s="19"/>
      <c r="S9" s="19"/>
    </row>
    <row r="10" spans="1:19" ht="18.75" x14ac:dyDescent="0.25">
      <c r="A10"/>
      <c r="B10"/>
      <c r="C10" s="63" t="s">
        <v>1618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</row>
    <row r="11" spans="1:19" ht="17.25" customHeight="1" x14ac:dyDescent="0.25">
      <c r="A11"/>
      <c r="B11"/>
      <c r="C11" s="58">
        <f>(COUNTIFS(F:F,"A",K:K,"Stock OK")+COUNTIFS(F:F,"A",K:K,"Sobre Stock"))/
COUNTIFS(F:F,"A",K:K,"&lt;&gt;")</f>
        <v>0.82677165354330706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</row>
    <row r="12" spans="1:19" ht="18.75" x14ac:dyDescent="0.2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</row>
    <row r="13" spans="1:19" ht="18.75" x14ac:dyDescent="0.25">
      <c r="A13"/>
      <c r="B13"/>
      <c r="C13"/>
      <c r="E13" s="25" t="s">
        <v>74</v>
      </c>
      <c r="F13" s="26">
        <v>1307</v>
      </c>
      <c r="G13" s="54">
        <v>0.95562356541698545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0.2394797245600612</v>
      </c>
      <c r="N13" s="6"/>
      <c r="O13" s="19"/>
      <c r="P13" s="19"/>
      <c r="Q13" s="19"/>
      <c r="R13" s="19"/>
      <c r="S13" s="19"/>
    </row>
    <row r="14" spans="1:19" ht="12" customHeight="1" x14ac:dyDescent="0.2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</row>
    <row r="15" spans="1:19" ht="9.75" customHeight="1" x14ac:dyDescent="0.2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</row>
    <row r="16" spans="1:19" s="13" customFormat="1" ht="30" x14ac:dyDescent="0.2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</row>
    <row r="17" spans="2:19" x14ac:dyDescent="0.25">
      <c r="B17" s="4">
        <v>20004806</v>
      </c>
      <c r="C17" s="1" t="s">
        <v>1211</v>
      </c>
      <c r="D17" s="4" t="s">
        <v>86</v>
      </c>
      <c r="E17" s="3" t="s">
        <v>87</v>
      </c>
      <c r="F17" s="3" t="s">
        <v>89</v>
      </c>
      <c r="G17" s="4">
        <v>40</v>
      </c>
      <c r="H17" s="4">
        <v>50</v>
      </c>
      <c r="I17" s="4">
        <v>74</v>
      </c>
      <c r="J17" s="4" t="s">
        <v>8</v>
      </c>
      <c r="K17" s="4" t="s">
        <v>7</v>
      </c>
      <c r="L17" s="11">
        <v>1002671219</v>
      </c>
      <c r="M17" s="3">
        <v>50</v>
      </c>
      <c r="N17">
        <v>4502664866</v>
      </c>
      <c r="O17" s="4">
        <v>2</v>
      </c>
      <c r="P17" s="1" t="s">
        <v>1562</v>
      </c>
      <c r="Q17" s="22">
        <v>46147</v>
      </c>
      <c r="R17" t="s">
        <v>88</v>
      </c>
      <c r="S17" s="11"/>
    </row>
    <row r="18" spans="2:19" x14ac:dyDescent="0.25">
      <c r="B18" s="4">
        <v>20006120</v>
      </c>
      <c r="C18" s="1" t="s">
        <v>124</v>
      </c>
      <c r="D18" s="4" t="s">
        <v>86</v>
      </c>
      <c r="E18" s="3"/>
      <c r="F18" s="3" t="s">
        <v>89</v>
      </c>
      <c r="G18" s="4">
        <v>72</v>
      </c>
      <c r="H18" s="4">
        <v>72</v>
      </c>
      <c r="I18" s="4">
        <v>21</v>
      </c>
      <c r="J18" s="4" t="s">
        <v>8</v>
      </c>
      <c r="K18" s="4" t="s">
        <v>9</v>
      </c>
      <c r="L18" s="11"/>
      <c r="M18" s="3"/>
      <c r="N18">
        <v>4502699393</v>
      </c>
      <c r="O18" s="4">
        <v>72</v>
      </c>
      <c r="P18" s="1" t="s">
        <v>1637</v>
      </c>
      <c r="Q18" s="22">
        <v>46237</v>
      </c>
      <c r="R18" t="s">
        <v>113</v>
      </c>
      <c r="S18" s="11"/>
    </row>
    <row r="19" spans="2:19" x14ac:dyDescent="0.25">
      <c r="B19" s="4">
        <v>20006108</v>
      </c>
      <c r="C19" s="1" t="s">
        <v>122</v>
      </c>
      <c r="D19" s="4" t="s">
        <v>86</v>
      </c>
      <c r="E19" s="3"/>
      <c r="F19" s="3" t="s">
        <v>89</v>
      </c>
      <c r="G19" s="4">
        <v>20</v>
      </c>
      <c r="H19" s="4">
        <v>30</v>
      </c>
      <c r="I19" s="4">
        <v>28</v>
      </c>
      <c r="J19" s="4" t="s">
        <v>8</v>
      </c>
      <c r="K19" s="5" t="s">
        <v>7</v>
      </c>
      <c r="L19" s="11">
        <v>1002681353</v>
      </c>
      <c r="M19" s="3">
        <v>30</v>
      </c>
      <c r="N19"/>
      <c r="O19" s="4"/>
      <c r="P19" s="1"/>
      <c r="Q19" s="22"/>
      <c r="R19" t="s">
        <v>113</v>
      </c>
      <c r="S19" s="11"/>
    </row>
    <row r="20" spans="2:19" x14ac:dyDescent="0.25">
      <c r="B20" s="4">
        <v>20004808</v>
      </c>
      <c r="C20" s="1" t="s">
        <v>93</v>
      </c>
      <c r="D20" s="4" t="s">
        <v>86</v>
      </c>
      <c r="E20" s="3"/>
      <c r="F20" s="3" t="s">
        <v>89</v>
      </c>
      <c r="G20" s="4">
        <v>60</v>
      </c>
      <c r="H20" s="4">
        <v>100</v>
      </c>
      <c r="I20" s="4">
        <v>50</v>
      </c>
      <c r="J20" s="4" t="s">
        <v>8</v>
      </c>
      <c r="K20" s="4" t="s">
        <v>9</v>
      </c>
      <c r="L20" s="11" t="s">
        <v>1667</v>
      </c>
      <c r="M20" s="3">
        <v>100</v>
      </c>
      <c r="N20"/>
      <c r="O20" s="4"/>
      <c r="P20" s="1"/>
      <c r="Q20" s="22"/>
      <c r="R20" t="s">
        <v>94</v>
      </c>
      <c r="S20" s="11"/>
    </row>
    <row r="21" spans="2:19" x14ac:dyDescent="0.25">
      <c r="B21" s="4">
        <v>20006145</v>
      </c>
      <c r="C21" s="1" t="s">
        <v>126</v>
      </c>
      <c r="D21" s="4" t="s">
        <v>86</v>
      </c>
      <c r="E21" s="3" t="s">
        <v>87</v>
      </c>
      <c r="F21" s="3" t="s">
        <v>89</v>
      </c>
      <c r="G21" s="4">
        <v>60</v>
      </c>
      <c r="H21" s="4">
        <v>60</v>
      </c>
      <c r="I21" s="4">
        <v>74</v>
      </c>
      <c r="J21" s="4" t="s">
        <v>8</v>
      </c>
      <c r="K21" s="4" t="s">
        <v>7</v>
      </c>
      <c r="L21" s="11">
        <v>1002681353</v>
      </c>
      <c r="M21" s="3">
        <v>60</v>
      </c>
      <c r="N21"/>
      <c r="O21" s="4"/>
      <c r="P21" s="1"/>
      <c r="Q21" s="22"/>
      <c r="R21" t="s">
        <v>88</v>
      </c>
      <c r="S21" s="11"/>
    </row>
    <row r="22" spans="2:19" x14ac:dyDescent="0.25">
      <c r="B22" s="4">
        <v>20019781</v>
      </c>
      <c r="C22" s="1" t="s">
        <v>90</v>
      </c>
      <c r="D22" s="4" t="s">
        <v>86</v>
      </c>
      <c r="E22" s="3" t="s">
        <v>91</v>
      </c>
      <c r="F22" s="3" t="s">
        <v>89</v>
      </c>
      <c r="G22" s="4">
        <v>75</v>
      </c>
      <c r="H22" s="4">
        <v>100</v>
      </c>
      <c r="I22" s="4">
        <v>150</v>
      </c>
      <c r="J22" s="4" t="s">
        <v>8</v>
      </c>
      <c r="K22" s="5" t="s">
        <v>7</v>
      </c>
      <c r="L22" s="11"/>
      <c r="M22" s="3"/>
      <c r="N22"/>
      <c r="O22" s="4"/>
      <c r="P22" s="1"/>
      <c r="Q22" s="22"/>
      <c r="R22" t="s">
        <v>92</v>
      </c>
      <c r="S22" s="11"/>
    </row>
    <row r="23" spans="2:19" x14ac:dyDescent="0.25">
      <c r="B23" s="4">
        <v>20006694</v>
      </c>
      <c r="C23" s="1" t="s">
        <v>132</v>
      </c>
      <c r="D23" s="4" t="s">
        <v>86</v>
      </c>
      <c r="E23" s="3"/>
      <c r="F23" s="3" t="s">
        <v>89</v>
      </c>
      <c r="G23" s="4">
        <v>150</v>
      </c>
      <c r="H23" s="4">
        <v>250</v>
      </c>
      <c r="I23" s="4">
        <v>193</v>
      </c>
      <c r="J23" s="4" t="s">
        <v>8</v>
      </c>
      <c r="K23" s="4" t="s">
        <v>7</v>
      </c>
      <c r="L23" s="11">
        <v>1002681353</v>
      </c>
      <c r="M23" s="3">
        <v>300</v>
      </c>
      <c r="N23"/>
      <c r="O23" s="4"/>
      <c r="P23" s="1"/>
      <c r="Q23" s="22"/>
      <c r="R23" t="s">
        <v>113</v>
      </c>
      <c r="S23" s="11"/>
    </row>
    <row r="24" spans="2:19" x14ac:dyDescent="0.25">
      <c r="B24" s="4">
        <v>20004847</v>
      </c>
      <c r="C24" s="1" t="s">
        <v>1339</v>
      </c>
      <c r="D24" s="4" t="s">
        <v>86</v>
      </c>
      <c r="E24" s="3"/>
      <c r="F24" s="3" t="s">
        <v>68</v>
      </c>
      <c r="G24" s="4">
        <v>5</v>
      </c>
      <c r="H24" s="4">
        <v>10</v>
      </c>
      <c r="I24" s="4">
        <v>14</v>
      </c>
      <c r="J24" s="4" t="s">
        <v>8</v>
      </c>
      <c r="K24" s="5" t="s">
        <v>7</v>
      </c>
      <c r="L24" s="11"/>
      <c r="M24" s="3"/>
      <c r="N24"/>
      <c r="O24" s="4"/>
      <c r="P24" s="1"/>
      <c r="Q24" s="22"/>
      <c r="R24"/>
      <c r="S24" s="11"/>
    </row>
    <row r="25" spans="2:19" x14ac:dyDescent="0.25">
      <c r="B25" s="4">
        <v>20004877</v>
      </c>
      <c r="C25" s="1" t="s">
        <v>1228</v>
      </c>
      <c r="D25" s="4" t="s">
        <v>86</v>
      </c>
      <c r="E25" s="3"/>
      <c r="F25" s="3" t="s">
        <v>68</v>
      </c>
      <c r="G25" s="4">
        <v>20</v>
      </c>
      <c r="H25" s="4">
        <v>25</v>
      </c>
      <c r="I25" s="4">
        <v>2</v>
      </c>
      <c r="J25" s="4" t="s">
        <v>23</v>
      </c>
      <c r="K25" s="5" t="s">
        <v>9</v>
      </c>
      <c r="L25" s="11">
        <v>1002631450</v>
      </c>
      <c r="M25" s="3">
        <v>25</v>
      </c>
      <c r="N25"/>
      <c r="O25" s="4"/>
      <c r="P25" s="1"/>
      <c r="Q25" s="22"/>
      <c r="R25"/>
      <c r="S25" s="11" t="s">
        <v>1631</v>
      </c>
    </row>
    <row r="26" spans="2:19" x14ac:dyDescent="0.25">
      <c r="B26" s="4">
        <v>20004885</v>
      </c>
      <c r="C26" s="1" t="s">
        <v>1229</v>
      </c>
      <c r="D26" s="4" t="s">
        <v>86</v>
      </c>
      <c r="E26" s="3"/>
      <c r="F26" s="3" t="s">
        <v>68</v>
      </c>
      <c r="G26" s="4">
        <v>5</v>
      </c>
      <c r="H26" s="4">
        <v>10</v>
      </c>
      <c r="I26" s="4">
        <v>3</v>
      </c>
      <c r="J26" s="4" t="s">
        <v>24</v>
      </c>
      <c r="K26" s="4" t="s">
        <v>9</v>
      </c>
      <c r="L26" s="11">
        <v>1002673995</v>
      </c>
      <c r="M26" s="3">
        <v>10</v>
      </c>
      <c r="N26"/>
      <c r="O26" s="4"/>
      <c r="P26" s="1"/>
      <c r="Q26" s="22"/>
      <c r="R26"/>
      <c r="S26" s="11"/>
    </row>
    <row r="27" spans="2:19" x14ac:dyDescent="0.25">
      <c r="B27" s="4">
        <v>20014604</v>
      </c>
      <c r="C27" s="1" t="s">
        <v>95</v>
      </c>
      <c r="D27" s="4" t="s">
        <v>86</v>
      </c>
      <c r="E27" s="3" t="s">
        <v>91</v>
      </c>
      <c r="F27" s="3" t="s">
        <v>89</v>
      </c>
      <c r="G27" s="4">
        <v>5</v>
      </c>
      <c r="H27" s="4">
        <v>10</v>
      </c>
      <c r="I27" s="4">
        <v>14</v>
      </c>
      <c r="J27" s="4" t="s">
        <v>354</v>
      </c>
      <c r="K27" s="4" t="s">
        <v>7</v>
      </c>
      <c r="L27" s="11"/>
      <c r="M27" s="3"/>
      <c r="N27"/>
      <c r="O27" s="4"/>
      <c r="P27" s="1"/>
      <c r="Q27" s="22"/>
      <c r="R27" t="s">
        <v>92</v>
      </c>
      <c r="S27" s="11"/>
    </row>
    <row r="28" spans="2:19" x14ac:dyDescent="0.25">
      <c r="B28" s="4">
        <v>20004886</v>
      </c>
      <c r="C28" s="1" t="s">
        <v>1230</v>
      </c>
      <c r="D28" s="4" t="s">
        <v>86</v>
      </c>
      <c r="E28" s="3"/>
      <c r="F28" s="3" t="s">
        <v>68</v>
      </c>
      <c r="G28" s="4">
        <v>2</v>
      </c>
      <c r="H28" s="4">
        <v>2</v>
      </c>
      <c r="I28" s="4">
        <v>30</v>
      </c>
      <c r="J28" s="4" t="s">
        <v>8</v>
      </c>
      <c r="K28" s="4" t="s">
        <v>14</v>
      </c>
      <c r="L28" s="11"/>
      <c r="M28" s="3"/>
      <c r="N28"/>
      <c r="O28" s="4"/>
      <c r="P28" s="1"/>
      <c r="Q28" s="22"/>
      <c r="R28"/>
      <c r="S28" s="11"/>
    </row>
    <row r="29" spans="2:19" x14ac:dyDescent="0.25">
      <c r="B29" s="4">
        <v>20007338</v>
      </c>
      <c r="C29" s="1" t="s">
        <v>1489</v>
      </c>
      <c r="D29" s="4" t="s">
        <v>86</v>
      </c>
      <c r="E29" s="3"/>
      <c r="F29" s="3" t="s">
        <v>68</v>
      </c>
      <c r="G29" s="4">
        <v>1</v>
      </c>
      <c r="H29" s="4">
        <v>2</v>
      </c>
      <c r="I29" s="4">
        <v>0</v>
      </c>
      <c r="J29" s="4" t="s">
        <v>8</v>
      </c>
      <c r="K29" s="5" t="s">
        <v>13</v>
      </c>
      <c r="L29" s="11"/>
      <c r="M29" s="3"/>
      <c r="N29">
        <v>4502699473</v>
      </c>
      <c r="O29" s="4">
        <v>3</v>
      </c>
      <c r="P29" s="1" t="s">
        <v>1658</v>
      </c>
      <c r="Q29" s="22">
        <v>46237</v>
      </c>
      <c r="R29"/>
      <c r="S29" s="11"/>
    </row>
    <row r="30" spans="2:19" x14ac:dyDescent="0.25">
      <c r="B30" s="4">
        <v>20004927</v>
      </c>
      <c r="C30" s="1" t="s">
        <v>1405</v>
      </c>
      <c r="D30" s="4" t="s">
        <v>86</v>
      </c>
      <c r="E30" s="3"/>
      <c r="F30" s="3" t="s">
        <v>68</v>
      </c>
      <c r="G30" s="4">
        <v>50</v>
      </c>
      <c r="H30" s="4">
        <v>100</v>
      </c>
      <c r="I30" s="4">
        <v>100</v>
      </c>
      <c r="J30" s="4" t="s">
        <v>353</v>
      </c>
      <c r="K30" s="5" t="s">
        <v>7</v>
      </c>
      <c r="L30" s="11"/>
      <c r="M30" s="3"/>
      <c r="N30"/>
      <c r="O30" s="4"/>
      <c r="P30" s="1"/>
      <c r="Q30" s="22"/>
      <c r="R30"/>
      <c r="S30" s="11"/>
    </row>
    <row r="31" spans="2:19" x14ac:dyDescent="0.25">
      <c r="B31" s="4">
        <v>20004931</v>
      </c>
      <c r="C31" s="1" t="s">
        <v>96</v>
      </c>
      <c r="D31" s="4" t="s">
        <v>86</v>
      </c>
      <c r="E31" s="3" t="s">
        <v>97</v>
      </c>
      <c r="F31" s="3" t="s">
        <v>89</v>
      </c>
      <c r="G31" s="4">
        <v>1001</v>
      </c>
      <c r="H31" s="4">
        <v>3000</v>
      </c>
      <c r="I31" s="4">
        <v>2000</v>
      </c>
      <c r="J31" s="4" t="s">
        <v>353</v>
      </c>
      <c r="K31" s="4" t="s">
        <v>7</v>
      </c>
      <c r="L31" s="11"/>
      <c r="M31" s="3"/>
      <c r="N31"/>
      <c r="O31" s="4"/>
      <c r="P31" s="1"/>
      <c r="Q31" s="22"/>
      <c r="R31" t="s">
        <v>98</v>
      </c>
      <c r="S31" s="11"/>
    </row>
    <row r="32" spans="2:19" x14ac:dyDescent="0.25">
      <c r="B32" s="4">
        <v>20004932</v>
      </c>
      <c r="C32" s="1" t="s">
        <v>1231</v>
      </c>
      <c r="D32" s="4" t="s">
        <v>86</v>
      </c>
      <c r="E32" s="3"/>
      <c r="F32" s="3" t="s">
        <v>68</v>
      </c>
      <c r="G32" s="4">
        <v>250</v>
      </c>
      <c r="H32" s="4">
        <v>250</v>
      </c>
      <c r="I32" s="4">
        <v>750</v>
      </c>
      <c r="J32" s="4" t="s">
        <v>353</v>
      </c>
      <c r="K32" s="4" t="s">
        <v>14</v>
      </c>
      <c r="L32" s="11">
        <v>1002668394</v>
      </c>
      <c r="M32" s="3">
        <v>250</v>
      </c>
      <c r="N32"/>
      <c r="O32" s="4"/>
      <c r="P32" s="1"/>
      <c r="Q32" s="22"/>
      <c r="R32"/>
      <c r="S32" s="11"/>
    </row>
    <row r="33" spans="2:19" x14ac:dyDescent="0.25">
      <c r="B33" s="4">
        <v>20004936</v>
      </c>
      <c r="C33" s="1" t="s">
        <v>99</v>
      </c>
      <c r="D33" s="4" t="s">
        <v>86</v>
      </c>
      <c r="E33" s="3" t="s">
        <v>97</v>
      </c>
      <c r="F33" s="3" t="s">
        <v>89</v>
      </c>
      <c r="G33" s="4">
        <v>2</v>
      </c>
      <c r="H33" s="4">
        <v>3</v>
      </c>
      <c r="I33" s="4">
        <v>4</v>
      </c>
      <c r="J33" s="4" t="s">
        <v>24</v>
      </c>
      <c r="K33" s="4" t="s">
        <v>7</v>
      </c>
      <c r="L33" s="11">
        <v>1002668394</v>
      </c>
      <c r="M33" s="3">
        <v>1</v>
      </c>
      <c r="N33"/>
      <c r="O33" s="4"/>
      <c r="P33" s="1"/>
      <c r="Q33" s="22"/>
      <c r="R33" t="s">
        <v>98</v>
      </c>
      <c r="S33" s="11"/>
    </row>
    <row r="34" spans="2:19" x14ac:dyDescent="0.25">
      <c r="B34" s="4">
        <v>20004983</v>
      </c>
      <c r="C34" s="1" t="s">
        <v>100</v>
      </c>
      <c r="D34" s="4" t="s">
        <v>86</v>
      </c>
      <c r="E34" s="3" t="s">
        <v>97</v>
      </c>
      <c r="F34" s="3" t="s">
        <v>89</v>
      </c>
      <c r="G34" s="4">
        <v>1</v>
      </c>
      <c r="H34" s="4">
        <v>3</v>
      </c>
      <c r="I34" s="4">
        <v>7</v>
      </c>
      <c r="J34" s="4" t="s">
        <v>24</v>
      </c>
      <c r="K34" s="4" t="s">
        <v>14</v>
      </c>
      <c r="L34" s="11"/>
      <c r="M34" s="3"/>
      <c r="N34"/>
      <c r="O34" s="4"/>
      <c r="P34" s="1"/>
      <c r="Q34" s="22"/>
      <c r="R34" t="s">
        <v>98</v>
      </c>
      <c r="S34" s="11"/>
    </row>
    <row r="35" spans="2:19" x14ac:dyDescent="0.25">
      <c r="B35" s="4">
        <v>20004986</v>
      </c>
      <c r="C35" s="1" t="s">
        <v>1232</v>
      </c>
      <c r="D35" s="4" t="s">
        <v>86</v>
      </c>
      <c r="E35" s="3"/>
      <c r="F35" s="3" t="s">
        <v>68</v>
      </c>
      <c r="G35" s="4">
        <v>4</v>
      </c>
      <c r="H35" s="4">
        <v>4</v>
      </c>
      <c r="I35" s="4">
        <v>7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/>
      <c r="S35" s="11"/>
    </row>
    <row r="36" spans="2:19" x14ac:dyDescent="0.25">
      <c r="B36" s="4">
        <v>20004998</v>
      </c>
      <c r="C36" s="1" t="s">
        <v>1233</v>
      </c>
      <c r="D36" s="4" t="s">
        <v>86</v>
      </c>
      <c r="E36" s="3"/>
      <c r="F36" s="3" t="s">
        <v>68</v>
      </c>
      <c r="G36" s="4">
        <v>10</v>
      </c>
      <c r="H36" s="4">
        <v>20</v>
      </c>
      <c r="I36" s="4">
        <v>0</v>
      </c>
      <c r="J36" s="4" t="s">
        <v>23</v>
      </c>
      <c r="K36" s="4" t="s">
        <v>13</v>
      </c>
      <c r="L36" s="11">
        <v>1002648064</v>
      </c>
      <c r="M36" s="3">
        <v>20</v>
      </c>
      <c r="N36"/>
      <c r="O36" s="4"/>
      <c r="P36" s="1"/>
      <c r="Q36" s="22"/>
      <c r="R36"/>
      <c r="S36" s="11"/>
    </row>
    <row r="37" spans="2:19" x14ac:dyDescent="0.25">
      <c r="B37" s="4">
        <v>20005053</v>
      </c>
      <c r="C37" s="1" t="s">
        <v>101</v>
      </c>
      <c r="D37" s="4" t="s">
        <v>86</v>
      </c>
      <c r="E37" s="3" t="s">
        <v>97</v>
      </c>
      <c r="F37" s="3" t="s">
        <v>89</v>
      </c>
      <c r="G37" s="4">
        <v>80</v>
      </c>
      <c r="H37" s="4">
        <v>100</v>
      </c>
      <c r="I37" s="4">
        <v>126</v>
      </c>
      <c r="J37" s="4" t="s">
        <v>23</v>
      </c>
      <c r="K37" s="4" t="s">
        <v>7</v>
      </c>
      <c r="L37" s="11"/>
      <c r="M37" s="3"/>
      <c r="N37"/>
      <c r="O37" s="4"/>
      <c r="P37" s="1"/>
      <c r="Q37" s="22"/>
      <c r="R37" t="s">
        <v>98</v>
      </c>
      <c r="S37" s="11"/>
    </row>
    <row r="38" spans="2:19" x14ac:dyDescent="0.25">
      <c r="B38" s="4">
        <v>20005001</v>
      </c>
      <c r="C38" s="1" t="s">
        <v>1267</v>
      </c>
      <c r="D38" s="4" t="s">
        <v>86</v>
      </c>
      <c r="E38" s="3"/>
      <c r="F38" s="3" t="s">
        <v>68</v>
      </c>
      <c r="G38" s="4">
        <v>300</v>
      </c>
      <c r="H38" s="4">
        <v>600</v>
      </c>
      <c r="I38" s="4">
        <v>625</v>
      </c>
      <c r="J38" s="4" t="s">
        <v>23</v>
      </c>
      <c r="K38" s="4" t="s">
        <v>7</v>
      </c>
      <c r="L38" s="11"/>
      <c r="M38" s="3"/>
      <c r="N38"/>
      <c r="O38" s="4"/>
      <c r="P38" s="1"/>
      <c r="Q38" s="22"/>
      <c r="R38"/>
      <c r="S38" s="11"/>
    </row>
    <row r="39" spans="2:19" x14ac:dyDescent="0.25">
      <c r="B39" s="4">
        <v>20005022</v>
      </c>
      <c r="C39" s="1" t="s">
        <v>1262</v>
      </c>
      <c r="D39" s="4" t="s">
        <v>86</v>
      </c>
      <c r="E39" s="3"/>
      <c r="F39" s="3" t="s">
        <v>68</v>
      </c>
      <c r="G39" s="4">
        <v>2</v>
      </c>
      <c r="H39" s="4">
        <v>2</v>
      </c>
      <c r="I39" s="4">
        <v>4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</row>
    <row r="40" spans="2:19" x14ac:dyDescent="0.25">
      <c r="B40" s="4">
        <v>20019900</v>
      </c>
      <c r="C40" s="1" t="s">
        <v>103</v>
      </c>
      <c r="D40" s="4" t="s">
        <v>86</v>
      </c>
      <c r="E40" s="3" t="s">
        <v>87</v>
      </c>
      <c r="F40" s="3" t="s">
        <v>89</v>
      </c>
      <c r="G40" s="4">
        <v>50</v>
      </c>
      <c r="H40" s="4">
        <v>30</v>
      </c>
      <c r="I40" s="4">
        <v>65</v>
      </c>
      <c r="J40" s="4" t="s">
        <v>8</v>
      </c>
      <c r="K40" s="4" t="s">
        <v>7</v>
      </c>
      <c r="L40" s="11"/>
      <c r="M40" s="3"/>
      <c r="N40"/>
      <c r="O40" s="4"/>
      <c r="P40" s="1"/>
      <c r="Q40" s="22"/>
      <c r="R40" t="s">
        <v>88</v>
      </c>
      <c r="S40" s="11"/>
    </row>
    <row r="41" spans="2:19" x14ac:dyDescent="0.25">
      <c r="B41" s="4">
        <v>20006695</v>
      </c>
      <c r="C41" s="1" t="s">
        <v>133</v>
      </c>
      <c r="D41" s="4" t="s">
        <v>86</v>
      </c>
      <c r="E41" s="3"/>
      <c r="F41" s="3" t="s">
        <v>89</v>
      </c>
      <c r="G41" s="4">
        <v>150</v>
      </c>
      <c r="H41" s="4">
        <v>250</v>
      </c>
      <c r="I41" s="4">
        <v>103</v>
      </c>
      <c r="J41" s="4" t="s">
        <v>8</v>
      </c>
      <c r="K41" s="4" t="s">
        <v>9</v>
      </c>
      <c r="L41" s="11">
        <v>1002674973</v>
      </c>
      <c r="M41" s="3">
        <v>250</v>
      </c>
      <c r="N41"/>
      <c r="O41" s="4"/>
      <c r="P41" s="1"/>
      <c r="Q41" s="22"/>
      <c r="R41" t="s">
        <v>113</v>
      </c>
      <c r="S41" s="11"/>
    </row>
    <row r="42" spans="2:19" x14ac:dyDescent="0.25">
      <c r="B42" s="4">
        <v>20005239</v>
      </c>
      <c r="C42" s="1" t="s">
        <v>104</v>
      </c>
      <c r="D42" s="4" t="s">
        <v>86</v>
      </c>
      <c r="E42" s="3" t="s">
        <v>97</v>
      </c>
      <c r="F42" s="3" t="s">
        <v>89</v>
      </c>
      <c r="G42" s="4">
        <v>13</v>
      </c>
      <c r="H42" s="4">
        <v>20</v>
      </c>
      <c r="I42" s="4">
        <v>89</v>
      </c>
      <c r="J42" s="4" t="s">
        <v>8</v>
      </c>
      <c r="K42" s="4" t="s">
        <v>14</v>
      </c>
      <c r="L42" s="11"/>
      <c r="M42" s="3"/>
      <c r="N42"/>
      <c r="O42" s="4"/>
      <c r="P42" s="1"/>
      <c r="Q42" s="22"/>
      <c r="R42" t="s">
        <v>98</v>
      </c>
      <c r="S42" s="11"/>
    </row>
    <row r="43" spans="2:19" x14ac:dyDescent="0.25">
      <c r="B43" s="4">
        <v>20005070</v>
      </c>
      <c r="C43" s="1" t="s">
        <v>1449</v>
      </c>
      <c r="D43" s="4" t="s">
        <v>86</v>
      </c>
      <c r="E43" s="3"/>
      <c r="F43" s="3" t="s">
        <v>68</v>
      </c>
      <c r="G43" s="4">
        <v>5</v>
      </c>
      <c r="H43" s="4">
        <v>15</v>
      </c>
      <c r="I43" s="4">
        <v>19</v>
      </c>
      <c r="J43" s="4" t="s">
        <v>8</v>
      </c>
      <c r="K43" s="4" t="s">
        <v>7</v>
      </c>
      <c r="L43" s="11"/>
      <c r="M43" s="3"/>
      <c r="N43"/>
      <c r="O43" s="4"/>
      <c r="P43" s="1"/>
      <c r="Q43" s="22"/>
      <c r="R43"/>
      <c r="S43" s="11"/>
    </row>
    <row r="44" spans="2:19" x14ac:dyDescent="0.25">
      <c r="B44" s="4">
        <v>20005074</v>
      </c>
      <c r="C44" s="1" t="s">
        <v>1234</v>
      </c>
      <c r="D44" s="4" t="s">
        <v>86</v>
      </c>
      <c r="E44" s="3"/>
      <c r="F44" s="3" t="s">
        <v>68</v>
      </c>
      <c r="G44" s="4">
        <v>100</v>
      </c>
      <c r="H44" s="4">
        <v>100</v>
      </c>
      <c r="I44" s="4">
        <v>200</v>
      </c>
      <c r="J44" s="4" t="s">
        <v>353</v>
      </c>
      <c r="K44" s="4" t="s">
        <v>7</v>
      </c>
      <c r="L44" s="11">
        <v>1002668394</v>
      </c>
      <c r="M44" s="3">
        <v>200</v>
      </c>
      <c r="N44"/>
      <c r="O44" s="4"/>
      <c r="P44" s="1"/>
      <c r="Q44" s="22"/>
      <c r="R44"/>
      <c r="S44" s="11"/>
    </row>
    <row r="45" spans="2:19" x14ac:dyDescent="0.25">
      <c r="B45" s="4">
        <v>20019901</v>
      </c>
      <c r="C45" s="1" t="s">
        <v>105</v>
      </c>
      <c r="D45" s="4" t="s">
        <v>86</v>
      </c>
      <c r="E45" s="3" t="s">
        <v>87</v>
      </c>
      <c r="F45" s="3" t="s">
        <v>89</v>
      </c>
      <c r="G45" s="4">
        <v>50</v>
      </c>
      <c r="H45" s="4">
        <v>30</v>
      </c>
      <c r="I45" s="4">
        <v>74</v>
      </c>
      <c r="J45" s="4" t="s">
        <v>8</v>
      </c>
      <c r="K45" s="4" t="s">
        <v>7</v>
      </c>
      <c r="L45" s="11"/>
      <c r="M45" s="3"/>
      <c r="N45"/>
      <c r="O45" s="4"/>
      <c r="P45" s="1"/>
      <c r="Q45" s="22"/>
      <c r="R45" t="s">
        <v>88</v>
      </c>
      <c r="S45" s="11"/>
    </row>
    <row r="46" spans="2:19" x14ac:dyDescent="0.25">
      <c r="B46" s="4">
        <v>20005083</v>
      </c>
      <c r="C46" s="1" t="s">
        <v>1235</v>
      </c>
      <c r="D46" s="4" t="s">
        <v>86</v>
      </c>
      <c r="E46" s="3"/>
      <c r="F46" s="3" t="s">
        <v>68</v>
      </c>
      <c r="G46" s="4">
        <v>50</v>
      </c>
      <c r="H46" s="4">
        <v>100</v>
      </c>
      <c r="I46" s="4">
        <v>100</v>
      </c>
      <c r="J46" s="4" t="s">
        <v>353</v>
      </c>
      <c r="K46" s="4" t="s">
        <v>7</v>
      </c>
      <c r="L46" s="11"/>
      <c r="M46" s="3"/>
      <c r="N46"/>
      <c r="O46" s="4"/>
      <c r="P46" s="1"/>
      <c r="Q46" s="22"/>
      <c r="R46"/>
      <c r="S46" s="11"/>
    </row>
    <row r="47" spans="2:19" x14ac:dyDescent="0.25">
      <c r="B47" s="4">
        <v>20005402</v>
      </c>
      <c r="C47" s="1" t="s">
        <v>106</v>
      </c>
      <c r="D47" s="4" t="s">
        <v>86</v>
      </c>
      <c r="E47" s="3" t="s">
        <v>87</v>
      </c>
      <c r="F47" s="3" t="s">
        <v>89</v>
      </c>
      <c r="G47" s="4">
        <v>2</v>
      </c>
      <c r="H47" s="4">
        <v>2</v>
      </c>
      <c r="I47" s="4">
        <v>3</v>
      </c>
      <c r="J47" s="4" t="s">
        <v>8</v>
      </c>
      <c r="K47" s="4" t="s">
        <v>7</v>
      </c>
      <c r="L47" s="11"/>
      <c r="M47" s="3"/>
      <c r="N47"/>
      <c r="O47" s="4"/>
      <c r="P47" s="1"/>
      <c r="Q47" s="22"/>
      <c r="R47" t="s">
        <v>88</v>
      </c>
      <c r="S47" s="11"/>
    </row>
    <row r="48" spans="2:19" x14ac:dyDescent="0.25">
      <c r="B48" s="4">
        <v>20005088</v>
      </c>
      <c r="C48" s="1" t="s">
        <v>1236</v>
      </c>
      <c r="D48" s="4" t="s">
        <v>86</v>
      </c>
      <c r="E48" s="3"/>
      <c r="F48" s="3" t="s">
        <v>68</v>
      </c>
      <c r="G48" s="4">
        <v>2</v>
      </c>
      <c r="H48" s="4">
        <v>2</v>
      </c>
      <c r="I48" s="4">
        <v>54</v>
      </c>
      <c r="J48" s="4" t="s">
        <v>8</v>
      </c>
      <c r="K48" s="4" t="s">
        <v>14</v>
      </c>
      <c r="L48" s="11"/>
      <c r="M48" s="3"/>
      <c r="N48"/>
      <c r="O48" s="4"/>
      <c r="P48" s="1"/>
      <c r="Q48" s="22"/>
      <c r="R48"/>
      <c r="S48" s="11" t="s">
        <v>1579</v>
      </c>
    </row>
    <row r="49" spans="2:19" x14ac:dyDescent="0.25">
      <c r="B49" s="4">
        <v>20019902</v>
      </c>
      <c r="C49" s="1" t="s">
        <v>107</v>
      </c>
      <c r="D49" s="4" t="s">
        <v>86</v>
      </c>
      <c r="E49" s="3" t="s">
        <v>87</v>
      </c>
      <c r="F49" s="3" t="s">
        <v>89</v>
      </c>
      <c r="G49" s="4">
        <v>45</v>
      </c>
      <c r="H49" s="4">
        <v>30</v>
      </c>
      <c r="I49" s="4">
        <v>44</v>
      </c>
      <c r="J49" s="4" t="s">
        <v>8</v>
      </c>
      <c r="K49" s="4" t="s">
        <v>9</v>
      </c>
      <c r="L49" s="11"/>
      <c r="M49" s="3"/>
      <c r="N49">
        <v>4502690184</v>
      </c>
      <c r="O49" s="4">
        <v>30</v>
      </c>
      <c r="P49" s="1" t="s">
        <v>1621</v>
      </c>
      <c r="Q49" s="22">
        <v>46223</v>
      </c>
      <c r="R49" t="s">
        <v>88</v>
      </c>
      <c r="S49" s="11"/>
    </row>
    <row r="50" spans="2:19" x14ac:dyDescent="0.25">
      <c r="B50" s="4">
        <v>20005106</v>
      </c>
      <c r="C50" s="1" t="s">
        <v>1237</v>
      </c>
      <c r="D50" s="4" t="s">
        <v>86</v>
      </c>
      <c r="E50" s="3"/>
      <c r="F50" s="3" t="s">
        <v>68</v>
      </c>
      <c r="G50" s="4">
        <v>2</v>
      </c>
      <c r="H50" s="4">
        <v>2</v>
      </c>
      <c r="I50" s="4">
        <v>2</v>
      </c>
      <c r="J50" s="4" t="s">
        <v>1238</v>
      </c>
      <c r="K50" s="4" t="s">
        <v>7</v>
      </c>
      <c r="L50" s="11"/>
      <c r="M50" s="3"/>
      <c r="N50"/>
      <c r="O50" s="4"/>
      <c r="P50" s="1"/>
      <c r="Q50" s="22"/>
      <c r="R50"/>
      <c r="S50" s="11"/>
    </row>
    <row r="51" spans="2:19" x14ac:dyDescent="0.25">
      <c r="B51" s="4">
        <v>20005210</v>
      </c>
      <c r="C51" s="1" t="s">
        <v>1415</v>
      </c>
      <c r="D51" s="4" t="s">
        <v>86</v>
      </c>
      <c r="E51" s="3"/>
      <c r="F51" s="3" t="s">
        <v>68</v>
      </c>
      <c r="G51" s="4">
        <v>130</v>
      </c>
      <c r="H51" s="4">
        <v>200</v>
      </c>
      <c r="I51" s="4">
        <v>200</v>
      </c>
      <c r="J51" s="4" t="s">
        <v>24</v>
      </c>
      <c r="K51" s="4" t="s">
        <v>7</v>
      </c>
      <c r="L51" s="11"/>
      <c r="M51" s="3"/>
      <c r="N51"/>
      <c r="O51" s="4"/>
      <c r="P51" s="1"/>
      <c r="Q51" s="22"/>
      <c r="R51"/>
      <c r="S51" s="11"/>
    </row>
    <row r="52" spans="2:19" ht="14.45" customHeight="1" x14ac:dyDescent="0.25">
      <c r="B52" s="4">
        <v>20005414</v>
      </c>
      <c r="C52" s="1" t="s">
        <v>108</v>
      </c>
      <c r="D52" s="4" t="s">
        <v>86</v>
      </c>
      <c r="E52" s="3" t="s">
        <v>87</v>
      </c>
      <c r="F52" s="3" t="s">
        <v>89</v>
      </c>
      <c r="G52" s="4">
        <v>25</v>
      </c>
      <c r="H52" s="4">
        <v>50</v>
      </c>
      <c r="I52" s="4">
        <v>36</v>
      </c>
      <c r="J52" s="4" t="s">
        <v>24</v>
      </c>
      <c r="K52" s="4" t="s">
        <v>7</v>
      </c>
      <c r="L52" s="11"/>
      <c r="M52" s="3"/>
      <c r="N52"/>
      <c r="O52" s="4"/>
      <c r="P52" s="1"/>
      <c r="Q52" s="22"/>
      <c r="R52" t="s">
        <v>109</v>
      </c>
      <c r="S52" s="11"/>
    </row>
    <row r="53" spans="2:19" ht="14.45" customHeight="1" x14ac:dyDescent="0.25">
      <c r="B53" s="4">
        <v>20005221</v>
      </c>
      <c r="C53" s="1" t="s">
        <v>1433</v>
      </c>
      <c r="D53" s="4" t="s">
        <v>86</v>
      </c>
      <c r="E53" s="3"/>
      <c r="F53" s="3" t="s">
        <v>68</v>
      </c>
      <c r="G53" s="4">
        <v>6</v>
      </c>
      <c r="H53" s="4">
        <v>10</v>
      </c>
      <c r="I53" s="4">
        <v>25</v>
      </c>
      <c r="J53" s="4" t="s">
        <v>8</v>
      </c>
      <c r="K53" s="4" t="s">
        <v>14</v>
      </c>
      <c r="L53" s="11"/>
      <c r="M53" s="3"/>
      <c r="N53"/>
      <c r="O53" s="4"/>
      <c r="P53" s="1"/>
      <c r="Q53" s="22"/>
      <c r="R53"/>
      <c r="S53" s="11"/>
    </row>
    <row r="54" spans="2:19" ht="14.45" customHeight="1" x14ac:dyDescent="0.25">
      <c r="B54" s="4">
        <v>20005224</v>
      </c>
      <c r="C54" s="1" t="s">
        <v>1239</v>
      </c>
      <c r="D54" s="4" t="s">
        <v>86</v>
      </c>
      <c r="E54" s="3"/>
      <c r="F54" s="3" t="s">
        <v>68</v>
      </c>
      <c r="G54" s="4">
        <v>2</v>
      </c>
      <c r="H54" s="4">
        <v>2</v>
      </c>
      <c r="I54" s="4">
        <v>1</v>
      </c>
      <c r="J54" s="4" t="s">
        <v>8</v>
      </c>
      <c r="K54" s="4" t="s">
        <v>9</v>
      </c>
      <c r="L54" s="11">
        <v>1002637283</v>
      </c>
      <c r="M54" s="3">
        <v>2</v>
      </c>
      <c r="N54"/>
      <c r="O54" s="4"/>
      <c r="P54" s="1"/>
      <c r="Q54" s="22"/>
      <c r="R54"/>
      <c r="S54" s="11" t="s">
        <v>1632</v>
      </c>
    </row>
    <row r="55" spans="2:19" ht="14.45" customHeight="1" x14ac:dyDescent="0.25">
      <c r="B55" s="4">
        <v>20005460</v>
      </c>
      <c r="C55" s="1" t="s">
        <v>110</v>
      </c>
      <c r="D55" s="4" t="s">
        <v>86</v>
      </c>
      <c r="E55" s="3" t="s">
        <v>87</v>
      </c>
      <c r="F55" s="3" t="s">
        <v>89</v>
      </c>
      <c r="G55" s="4">
        <v>20</v>
      </c>
      <c r="H55" s="4">
        <v>20</v>
      </c>
      <c r="I55" s="4">
        <v>83</v>
      </c>
      <c r="J55" s="4" t="s">
        <v>24</v>
      </c>
      <c r="K55" s="4" t="s">
        <v>14</v>
      </c>
      <c r="L55" s="11"/>
      <c r="M55" s="3"/>
      <c r="N55"/>
      <c r="O55" s="4"/>
      <c r="P55" s="1"/>
      <c r="Q55" s="22"/>
      <c r="R55" t="s">
        <v>109</v>
      </c>
      <c r="S55" s="11"/>
    </row>
    <row r="56" spans="2:19" ht="14.45" customHeight="1" x14ac:dyDescent="0.25">
      <c r="B56" s="4">
        <v>20005235</v>
      </c>
      <c r="C56" s="1" t="s">
        <v>1240</v>
      </c>
      <c r="D56" s="4" t="s">
        <v>86</v>
      </c>
      <c r="E56" s="3"/>
      <c r="F56" s="3" t="s">
        <v>68</v>
      </c>
      <c r="G56" s="4">
        <v>5</v>
      </c>
      <c r="H56" s="4">
        <v>10</v>
      </c>
      <c r="I56" s="4">
        <v>8</v>
      </c>
      <c r="J56" s="4" t="s">
        <v>1241</v>
      </c>
      <c r="K56" s="4" t="s">
        <v>7</v>
      </c>
      <c r="L56" s="11"/>
      <c r="M56" s="3"/>
      <c r="N56"/>
      <c r="O56" s="4"/>
      <c r="P56" s="1"/>
      <c r="Q56" s="22"/>
      <c r="R56"/>
      <c r="S56" s="11"/>
    </row>
    <row r="57" spans="2:19" ht="14.45" customHeight="1" x14ac:dyDescent="0.25">
      <c r="B57" s="4">
        <v>20005464</v>
      </c>
      <c r="C57" s="1" t="s">
        <v>111</v>
      </c>
      <c r="D57" s="4" t="s">
        <v>86</v>
      </c>
      <c r="E57" s="3" t="s">
        <v>87</v>
      </c>
      <c r="F57" s="3" t="s">
        <v>89</v>
      </c>
      <c r="G57" s="4">
        <v>20</v>
      </c>
      <c r="H57" s="4">
        <v>20</v>
      </c>
      <c r="I57" s="4">
        <v>25</v>
      </c>
      <c r="J57" s="4" t="s">
        <v>24</v>
      </c>
      <c r="K57" s="4" t="s">
        <v>7</v>
      </c>
      <c r="L57" s="11"/>
      <c r="M57" s="3"/>
      <c r="N57"/>
      <c r="O57" s="4"/>
      <c r="P57" s="1"/>
      <c r="Q57" s="22"/>
      <c r="R57" t="s">
        <v>109</v>
      </c>
      <c r="S57" s="11"/>
    </row>
    <row r="58" spans="2:19" ht="14.45" customHeight="1" x14ac:dyDescent="0.25">
      <c r="B58" s="4">
        <v>20005258</v>
      </c>
      <c r="C58" s="1" t="s">
        <v>1406</v>
      </c>
      <c r="D58" s="4" t="s">
        <v>86</v>
      </c>
      <c r="E58" s="3"/>
      <c r="F58" s="3" t="s">
        <v>68</v>
      </c>
      <c r="G58" s="4">
        <v>10</v>
      </c>
      <c r="H58" s="4">
        <v>20</v>
      </c>
      <c r="I58" s="4">
        <v>42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</row>
    <row r="59" spans="2:19" ht="14.45" customHeight="1" x14ac:dyDescent="0.25">
      <c r="B59" s="4">
        <v>20005259</v>
      </c>
      <c r="C59" s="1" t="s">
        <v>1242</v>
      </c>
      <c r="D59" s="4" t="s">
        <v>86</v>
      </c>
      <c r="E59" s="3"/>
      <c r="F59" s="3" t="s">
        <v>68</v>
      </c>
      <c r="G59" s="4">
        <v>2</v>
      </c>
      <c r="H59" s="4">
        <v>2</v>
      </c>
      <c r="I59" s="4">
        <v>6</v>
      </c>
      <c r="J59" s="4" t="s">
        <v>8</v>
      </c>
      <c r="K59" s="4" t="s">
        <v>14</v>
      </c>
      <c r="L59" s="11"/>
      <c r="M59" s="3"/>
      <c r="N59"/>
      <c r="O59" s="4"/>
      <c r="P59" s="1"/>
      <c r="Q59" s="22"/>
      <c r="R59"/>
      <c r="S59" s="11"/>
    </row>
    <row r="60" spans="2:19" ht="14.45" customHeight="1" x14ac:dyDescent="0.25">
      <c r="B60" s="4">
        <v>20005498</v>
      </c>
      <c r="C60" s="1" t="s">
        <v>112</v>
      </c>
      <c r="D60" s="4" t="s">
        <v>86</v>
      </c>
      <c r="E60" s="3" t="s">
        <v>87</v>
      </c>
      <c r="F60" s="3" t="s">
        <v>89</v>
      </c>
      <c r="G60" s="4">
        <v>25</v>
      </c>
      <c r="H60" s="4">
        <v>50</v>
      </c>
      <c r="I60" s="4">
        <v>14</v>
      </c>
      <c r="J60" s="4" t="s">
        <v>24</v>
      </c>
      <c r="K60" s="4" t="s">
        <v>9</v>
      </c>
      <c r="L60" s="11" t="s">
        <v>1668</v>
      </c>
      <c r="M60" s="3">
        <v>50</v>
      </c>
      <c r="N60"/>
      <c r="O60" s="4"/>
      <c r="P60" s="1"/>
      <c r="Q60" s="22"/>
      <c r="R60" t="s">
        <v>109</v>
      </c>
      <c r="S60" s="11"/>
    </row>
    <row r="61" spans="2:19" ht="14.45" customHeight="1" x14ac:dyDescent="0.25">
      <c r="B61" s="4">
        <v>20005298</v>
      </c>
      <c r="C61" s="1" t="s">
        <v>1243</v>
      </c>
      <c r="D61" s="4" t="s">
        <v>86</v>
      </c>
      <c r="E61" s="3"/>
      <c r="F61" s="3" t="s">
        <v>68</v>
      </c>
      <c r="G61" s="4">
        <v>2</v>
      </c>
      <c r="H61" s="4">
        <v>10</v>
      </c>
      <c r="I61" s="4">
        <v>16</v>
      </c>
      <c r="J61" s="4" t="s">
        <v>8</v>
      </c>
      <c r="K61" s="4" t="s">
        <v>14</v>
      </c>
      <c r="L61" s="11"/>
      <c r="M61" s="3"/>
      <c r="N61"/>
      <c r="O61" s="4"/>
      <c r="P61" s="1"/>
      <c r="Q61" s="22"/>
      <c r="R61"/>
      <c r="S61" s="11"/>
    </row>
    <row r="62" spans="2:19" ht="14.45" customHeight="1" x14ac:dyDescent="0.25">
      <c r="B62" s="4">
        <v>20005877</v>
      </c>
      <c r="C62" s="1" t="s">
        <v>16</v>
      </c>
      <c r="D62" s="4" t="s">
        <v>86</v>
      </c>
      <c r="E62" s="3"/>
      <c r="F62" s="3" t="s">
        <v>89</v>
      </c>
      <c r="G62" s="4">
        <v>72</v>
      </c>
      <c r="H62" s="4">
        <v>120</v>
      </c>
      <c r="I62" s="4">
        <v>129</v>
      </c>
      <c r="J62" s="4" t="s">
        <v>8</v>
      </c>
      <c r="K62" s="4" t="s">
        <v>7</v>
      </c>
      <c r="L62" s="11"/>
      <c r="M62" s="3"/>
      <c r="N62"/>
      <c r="O62" s="4"/>
      <c r="P62" s="1"/>
      <c r="Q62" s="22"/>
      <c r="R62" t="s">
        <v>113</v>
      </c>
      <c r="S62" s="11"/>
    </row>
    <row r="63" spans="2:19" ht="14.45" customHeight="1" x14ac:dyDescent="0.25">
      <c r="B63" s="4">
        <v>20005318</v>
      </c>
      <c r="C63" s="1" t="s">
        <v>1450</v>
      </c>
      <c r="D63" s="4" t="s">
        <v>86</v>
      </c>
      <c r="E63" s="3"/>
      <c r="F63" s="3" t="s">
        <v>68</v>
      </c>
      <c r="G63" s="4">
        <v>5</v>
      </c>
      <c r="H63" s="4">
        <v>15</v>
      </c>
      <c r="I63" s="4">
        <v>30</v>
      </c>
      <c r="J63" s="4" t="s">
        <v>8</v>
      </c>
      <c r="K63" s="4" t="s">
        <v>14</v>
      </c>
      <c r="L63" s="11"/>
      <c r="M63" s="3"/>
      <c r="N63"/>
      <c r="O63" s="4"/>
      <c r="P63" s="1"/>
      <c r="Q63" s="22"/>
      <c r="R63"/>
      <c r="S63" s="11"/>
    </row>
    <row r="64" spans="2:19" ht="14.45" customHeight="1" x14ac:dyDescent="0.25">
      <c r="B64" s="4">
        <v>20005324</v>
      </c>
      <c r="C64" s="1" t="s">
        <v>1244</v>
      </c>
      <c r="D64" s="4" t="s">
        <v>86</v>
      </c>
      <c r="E64" s="3"/>
      <c r="F64" s="3" t="s">
        <v>68</v>
      </c>
      <c r="G64" s="4">
        <v>3</v>
      </c>
      <c r="H64" s="4">
        <v>6</v>
      </c>
      <c r="I64" s="4">
        <v>1</v>
      </c>
      <c r="J64" s="4" t="s">
        <v>1241</v>
      </c>
      <c r="K64" s="4" t="s">
        <v>9</v>
      </c>
      <c r="L64" s="11"/>
      <c r="M64" s="3"/>
      <c r="N64">
        <v>4502690587</v>
      </c>
      <c r="O64" s="4">
        <v>6</v>
      </c>
      <c r="P64" s="1" t="s">
        <v>1625</v>
      </c>
      <c r="Q64" s="22">
        <v>46180</v>
      </c>
      <c r="R64"/>
      <c r="S64" s="11"/>
    </row>
    <row r="65" spans="2:19" ht="14.45" customHeight="1" x14ac:dyDescent="0.25">
      <c r="B65" s="4">
        <v>20005881</v>
      </c>
      <c r="C65" s="1" t="s">
        <v>114</v>
      </c>
      <c r="D65" s="4" t="s">
        <v>86</v>
      </c>
      <c r="E65" s="3" t="s">
        <v>115</v>
      </c>
      <c r="F65" s="3" t="s">
        <v>89</v>
      </c>
      <c r="G65" s="4">
        <v>15</v>
      </c>
      <c r="H65" s="4">
        <v>30</v>
      </c>
      <c r="I65" s="4">
        <v>20</v>
      </c>
      <c r="J65" s="4" t="s">
        <v>8</v>
      </c>
      <c r="K65" s="4" t="s">
        <v>7</v>
      </c>
      <c r="L65" s="11"/>
      <c r="M65" s="3"/>
      <c r="N65">
        <v>4502673375</v>
      </c>
      <c r="O65" s="4">
        <v>20</v>
      </c>
      <c r="P65" s="1" t="s">
        <v>22</v>
      </c>
      <c r="Q65" s="22">
        <v>46185</v>
      </c>
      <c r="R65" t="s">
        <v>116</v>
      </c>
      <c r="S65" s="11"/>
    </row>
    <row r="66" spans="2:19" ht="14.45" customHeight="1" x14ac:dyDescent="0.25">
      <c r="B66" s="4">
        <v>20005325</v>
      </c>
      <c r="C66" s="1" t="s">
        <v>1245</v>
      </c>
      <c r="D66" s="4" t="s">
        <v>86</v>
      </c>
      <c r="E66" s="3"/>
      <c r="F66" s="3" t="s">
        <v>68</v>
      </c>
      <c r="G66" s="4">
        <v>5</v>
      </c>
      <c r="H66" s="4">
        <v>10</v>
      </c>
      <c r="I66" s="4">
        <v>10</v>
      </c>
      <c r="J66" s="4" t="s">
        <v>1241</v>
      </c>
      <c r="K66" s="4" t="s">
        <v>7</v>
      </c>
      <c r="L66" s="11"/>
      <c r="M66" s="3"/>
      <c r="N66"/>
      <c r="O66" s="4"/>
      <c r="P66" s="1"/>
      <c r="Q66" s="22"/>
      <c r="R66"/>
      <c r="S66" s="11"/>
    </row>
    <row r="67" spans="2:19" ht="14.45" customHeight="1" x14ac:dyDescent="0.25">
      <c r="B67" s="4">
        <v>20005329</v>
      </c>
      <c r="C67" s="1" t="s">
        <v>1246</v>
      </c>
      <c r="D67" s="4" t="s">
        <v>86</v>
      </c>
      <c r="E67" s="3"/>
      <c r="F67" s="3" t="s">
        <v>68</v>
      </c>
      <c r="G67" s="4">
        <v>2</v>
      </c>
      <c r="H67" s="4">
        <v>2</v>
      </c>
      <c r="I67" s="4">
        <v>24</v>
      </c>
      <c r="J67" s="4" t="s">
        <v>8</v>
      </c>
      <c r="K67" s="4" t="s">
        <v>14</v>
      </c>
      <c r="L67" s="11"/>
      <c r="M67" s="3"/>
      <c r="N67"/>
      <c r="O67" s="4"/>
      <c r="P67" s="1"/>
      <c r="Q67" s="22"/>
      <c r="R67"/>
      <c r="S67" s="11"/>
    </row>
    <row r="68" spans="2:19" ht="14.45" customHeight="1" x14ac:dyDescent="0.25">
      <c r="B68" s="4">
        <v>20005883</v>
      </c>
      <c r="C68" s="1" t="s">
        <v>117</v>
      </c>
      <c r="D68" s="4" t="s">
        <v>86</v>
      </c>
      <c r="E68" s="3" t="s">
        <v>115</v>
      </c>
      <c r="F68" s="3" t="s">
        <v>89</v>
      </c>
      <c r="G68" s="4">
        <v>60</v>
      </c>
      <c r="H68" s="4">
        <v>90</v>
      </c>
      <c r="I68" s="4">
        <v>73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 t="s">
        <v>116</v>
      </c>
      <c r="S68" s="11"/>
    </row>
    <row r="69" spans="2:19" ht="14.45" customHeight="1" x14ac:dyDescent="0.25">
      <c r="B69" s="4">
        <v>20005456</v>
      </c>
      <c r="C69" s="1" t="s">
        <v>357</v>
      </c>
      <c r="D69" s="4" t="s">
        <v>86</v>
      </c>
      <c r="E69" s="3"/>
      <c r="F69" s="3" t="s">
        <v>68</v>
      </c>
      <c r="G69" s="4">
        <v>25</v>
      </c>
      <c r="H69" s="4">
        <v>50</v>
      </c>
      <c r="I69" s="4">
        <v>46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</row>
    <row r="70" spans="2:19" ht="14.45" customHeight="1" x14ac:dyDescent="0.25">
      <c r="B70" s="4">
        <v>20005923</v>
      </c>
      <c r="C70" s="1" t="s">
        <v>1214</v>
      </c>
      <c r="D70" s="4" t="s">
        <v>86</v>
      </c>
      <c r="E70" s="3"/>
      <c r="F70" s="3" t="s">
        <v>89</v>
      </c>
      <c r="G70" s="4">
        <v>20</v>
      </c>
      <c r="H70" s="4">
        <v>20</v>
      </c>
      <c r="I70" s="4">
        <v>13</v>
      </c>
      <c r="J70" s="4" t="s">
        <v>8</v>
      </c>
      <c r="K70" s="4" t="s">
        <v>9</v>
      </c>
      <c r="L70" s="69"/>
      <c r="M70" s="3"/>
      <c r="N70">
        <v>4502687049</v>
      </c>
      <c r="O70" s="4">
        <v>20</v>
      </c>
      <c r="P70" s="1" t="s">
        <v>22</v>
      </c>
      <c r="Q70" s="22">
        <v>46205</v>
      </c>
      <c r="R70" t="s">
        <v>113</v>
      </c>
      <c r="S70" s="11"/>
    </row>
    <row r="71" spans="2:19" x14ac:dyDescent="0.25">
      <c r="B71" s="4">
        <v>20006650</v>
      </c>
      <c r="C71" s="1" t="s">
        <v>1222</v>
      </c>
      <c r="D71" s="4" t="s">
        <v>86</v>
      </c>
      <c r="E71" s="3"/>
      <c r="F71" s="3" t="s">
        <v>68</v>
      </c>
      <c r="G71" s="4">
        <v>30</v>
      </c>
      <c r="H71" s="4">
        <v>40</v>
      </c>
      <c r="I71" s="4">
        <v>20</v>
      </c>
      <c r="J71" s="4" t="s">
        <v>8</v>
      </c>
      <c r="K71" s="4" t="s">
        <v>9</v>
      </c>
      <c r="L71" s="11"/>
      <c r="M71" s="3"/>
      <c r="N71">
        <v>4502699203</v>
      </c>
      <c r="O71" s="4">
        <v>50</v>
      </c>
      <c r="P71" s="1" t="s">
        <v>1659</v>
      </c>
      <c r="Q71" s="22">
        <v>46218</v>
      </c>
      <c r="R71"/>
      <c r="S71" s="11"/>
    </row>
    <row r="72" spans="2:19" x14ac:dyDescent="0.25">
      <c r="B72" s="4">
        <v>20005485</v>
      </c>
      <c r="C72" s="1" t="s">
        <v>356</v>
      </c>
      <c r="D72" s="4" t="s">
        <v>86</v>
      </c>
      <c r="E72" s="3"/>
      <c r="F72" s="3" t="s">
        <v>68</v>
      </c>
      <c r="G72" s="4">
        <v>40</v>
      </c>
      <c r="H72" s="4">
        <v>20</v>
      </c>
      <c r="I72" s="4">
        <v>40</v>
      </c>
      <c r="J72" s="4" t="s">
        <v>24</v>
      </c>
      <c r="K72" s="4" t="s">
        <v>7</v>
      </c>
      <c r="L72" s="11"/>
      <c r="M72" s="3"/>
      <c r="N72"/>
      <c r="O72" s="4"/>
      <c r="P72" s="1"/>
      <c r="Q72" s="22"/>
      <c r="R72"/>
      <c r="S72" s="11"/>
    </row>
    <row r="73" spans="2:19" x14ac:dyDescent="0.25">
      <c r="B73" s="4">
        <v>20005942</v>
      </c>
      <c r="C73" s="1" t="s">
        <v>1373</v>
      </c>
      <c r="D73" s="4" t="s">
        <v>86</v>
      </c>
      <c r="E73" s="3" t="s">
        <v>118</v>
      </c>
      <c r="F73" s="3" t="s">
        <v>89</v>
      </c>
      <c r="G73" s="4">
        <v>1</v>
      </c>
      <c r="H73" s="4">
        <v>1</v>
      </c>
      <c r="I73" s="4">
        <v>1</v>
      </c>
      <c r="J73" s="4" t="s">
        <v>8</v>
      </c>
      <c r="K73" s="4" t="s">
        <v>7</v>
      </c>
      <c r="L73" s="11"/>
      <c r="M73" s="3"/>
      <c r="N73"/>
      <c r="O73" s="4"/>
      <c r="P73" s="1"/>
      <c r="Q73" s="22"/>
      <c r="R73" t="s">
        <v>119</v>
      </c>
      <c r="S73" s="11"/>
    </row>
    <row r="74" spans="2:19" x14ac:dyDescent="0.25">
      <c r="B74" s="4">
        <v>20005494</v>
      </c>
      <c r="C74" s="1" t="s">
        <v>358</v>
      </c>
      <c r="D74" s="4" t="s">
        <v>86</v>
      </c>
      <c r="E74" s="3"/>
      <c r="F74" s="3" t="s">
        <v>68</v>
      </c>
      <c r="G74" s="4">
        <v>28</v>
      </c>
      <c r="H74" s="4">
        <v>20</v>
      </c>
      <c r="I74" s="4">
        <v>23</v>
      </c>
      <c r="J74" s="4" t="s">
        <v>24</v>
      </c>
      <c r="K74" s="4" t="s">
        <v>9</v>
      </c>
      <c r="L74" s="11" t="s">
        <v>1668</v>
      </c>
      <c r="M74" s="3">
        <v>20</v>
      </c>
      <c r="N74"/>
      <c r="O74" s="4"/>
      <c r="P74" s="1"/>
      <c r="Q74" s="22"/>
      <c r="R74"/>
      <c r="S74" s="11"/>
    </row>
    <row r="75" spans="2:19" x14ac:dyDescent="0.25">
      <c r="B75" s="4">
        <v>20005496</v>
      </c>
      <c r="C75" s="1" t="s">
        <v>355</v>
      </c>
      <c r="D75" s="4" t="s">
        <v>86</v>
      </c>
      <c r="E75" s="3"/>
      <c r="F75" s="3" t="s">
        <v>68</v>
      </c>
      <c r="G75" s="4">
        <v>40</v>
      </c>
      <c r="H75" s="4">
        <v>100</v>
      </c>
      <c r="I75" s="4">
        <v>78</v>
      </c>
      <c r="J75" s="4" t="s">
        <v>24</v>
      </c>
      <c r="K75" s="4" t="s">
        <v>7</v>
      </c>
      <c r="L75" s="11"/>
      <c r="M75" s="3"/>
      <c r="N75"/>
      <c r="O75" s="4"/>
      <c r="P75" s="1"/>
      <c r="Q75" s="22"/>
      <c r="R75"/>
      <c r="S75" s="11"/>
    </row>
    <row r="76" spans="2:19" x14ac:dyDescent="0.25">
      <c r="B76" s="4">
        <v>20005497</v>
      </c>
      <c r="C76" s="1" t="s">
        <v>359</v>
      </c>
      <c r="D76" s="4" t="s">
        <v>86</v>
      </c>
      <c r="E76" s="3"/>
      <c r="F76" s="3" t="s">
        <v>68</v>
      </c>
      <c r="G76" s="4">
        <v>25</v>
      </c>
      <c r="H76" s="4">
        <v>50</v>
      </c>
      <c r="I76" s="4">
        <v>40</v>
      </c>
      <c r="J76" s="4" t="s">
        <v>24</v>
      </c>
      <c r="K76" s="4" t="s">
        <v>7</v>
      </c>
      <c r="L76" s="11"/>
      <c r="M76" s="3"/>
      <c r="N76"/>
      <c r="O76" s="4"/>
      <c r="P76" s="1"/>
      <c r="Q76" s="22"/>
      <c r="R76"/>
      <c r="S76" s="11"/>
    </row>
    <row r="77" spans="2:19" x14ac:dyDescent="0.25">
      <c r="B77" s="4">
        <v>20005954</v>
      </c>
      <c r="C77" s="1" t="s">
        <v>1338</v>
      </c>
      <c r="D77" s="4" t="s">
        <v>86</v>
      </c>
      <c r="E77" s="3" t="s">
        <v>91</v>
      </c>
      <c r="F77" s="3" t="s">
        <v>89</v>
      </c>
      <c r="G77" s="4">
        <v>1166</v>
      </c>
      <c r="H77" s="4">
        <v>2300</v>
      </c>
      <c r="I77" s="4">
        <v>3300</v>
      </c>
      <c r="J77" s="4" t="s">
        <v>25</v>
      </c>
      <c r="K77" s="4" t="s">
        <v>7</v>
      </c>
      <c r="L77" s="11"/>
      <c r="M77" s="3"/>
      <c r="N77"/>
      <c r="O77" s="4"/>
      <c r="P77" s="1"/>
      <c r="Q77" s="22"/>
      <c r="R77" t="s">
        <v>92</v>
      </c>
      <c r="S77" s="11"/>
    </row>
    <row r="78" spans="2:19" x14ac:dyDescent="0.25">
      <c r="B78" s="4">
        <v>20006109</v>
      </c>
      <c r="C78" s="1" t="s">
        <v>26</v>
      </c>
      <c r="D78" s="4" t="s">
        <v>86</v>
      </c>
      <c r="E78" s="3"/>
      <c r="F78" s="3" t="s">
        <v>89</v>
      </c>
      <c r="G78" s="4">
        <v>24</v>
      </c>
      <c r="H78" s="4">
        <v>48</v>
      </c>
      <c r="I78" s="4">
        <v>3</v>
      </c>
      <c r="J78" s="4" t="s">
        <v>8</v>
      </c>
      <c r="K78" s="4" t="s">
        <v>9</v>
      </c>
      <c r="L78" s="11"/>
      <c r="M78" s="3"/>
      <c r="N78">
        <v>4502699205</v>
      </c>
      <c r="O78" s="4">
        <v>60</v>
      </c>
      <c r="P78" s="1" t="s">
        <v>1659</v>
      </c>
      <c r="Q78" s="22">
        <v>46216</v>
      </c>
      <c r="R78" t="s">
        <v>113</v>
      </c>
      <c r="S78" s="11"/>
    </row>
    <row r="79" spans="2:19" x14ac:dyDescent="0.25">
      <c r="B79" s="4">
        <v>20005513</v>
      </c>
      <c r="C79" s="1" t="s">
        <v>1423</v>
      </c>
      <c r="D79" s="4" t="s">
        <v>86</v>
      </c>
      <c r="E79" s="3"/>
      <c r="F79" s="3" t="s">
        <v>68</v>
      </c>
      <c r="G79" s="4">
        <v>10</v>
      </c>
      <c r="H79" s="4">
        <v>10</v>
      </c>
      <c r="I79" s="4">
        <v>15</v>
      </c>
      <c r="J79" s="4" t="s">
        <v>24</v>
      </c>
      <c r="K79" s="4" t="s">
        <v>7</v>
      </c>
      <c r="L79" s="11"/>
      <c r="M79" s="3"/>
      <c r="N79"/>
      <c r="O79" s="4"/>
      <c r="P79" s="1"/>
      <c r="Q79" s="22"/>
      <c r="R79"/>
      <c r="S79" s="11"/>
    </row>
    <row r="80" spans="2:19" x14ac:dyDescent="0.25">
      <c r="B80" s="4">
        <v>20005986</v>
      </c>
      <c r="C80" s="1" t="s">
        <v>120</v>
      </c>
      <c r="D80" s="4" t="s">
        <v>86</v>
      </c>
      <c r="E80" s="3" t="s">
        <v>115</v>
      </c>
      <c r="F80" s="3" t="s">
        <v>89</v>
      </c>
      <c r="G80" s="4">
        <v>10</v>
      </c>
      <c r="H80" s="4">
        <v>10</v>
      </c>
      <c r="I80" s="4">
        <v>12</v>
      </c>
      <c r="J80" s="4" t="s">
        <v>8</v>
      </c>
      <c r="K80" s="4" t="s">
        <v>7</v>
      </c>
      <c r="L80" s="11"/>
      <c r="M80" s="3"/>
      <c r="N80">
        <v>4502690633</v>
      </c>
      <c r="O80" s="4">
        <v>6</v>
      </c>
      <c r="P80" s="1" t="s">
        <v>22</v>
      </c>
      <c r="Q80" s="22">
        <v>46213</v>
      </c>
      <c r="R80" t="s">
        <v>116</v>
      </c>
      <c r="S80" s="11"/>
    </row>
    <row r="81" spans="2:19" x14ac:dyDescent="0.25">
      <c r="B81" s="4">
        <v>20005575</v>
      </c>
      <c r="C81" s="1" t="s">
        <v>1435</v>
      </c>
      <c r="D81" s="4" t="s">
        <v>86</v>
      </c>
      <c r="E81" s="3"/>
      <c r="F81" s="3" t="s">
        <v>68</v>
      </c>
      <c r="G81" s="4">
        <v>4</v>
      </c>
      <c r="H81" s="4">
        <v>10</v>
      </c>
      <c r="I81" s="4">
        <v>5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/>
      <c r="S81" s="11"/>
    </row>
    <row r="82" spans="2:19" x14ac:dyDescent="0.25">
      <c r="B82" s="4">
        <v>20005576</v>
      </c>
      <c r="C82" s="1" t="s">
        <v>1436</v>
      </c>
      <c r="D82" s="4" t="s">
        <v>86</v>
      </c>
      <c r="E82" s="3"/>
      <c r="F82" s="3" t="s">
        <v>68</v>
      </c>
      <c r="G82" s="4">
        <v>2</v>
      </c>
      <c r="H82" s="4">
        <v>4</v>
      </c>
      <c r="I82" s="4">
        <v>5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/>
      <c r="S82" s="11"/>
    </row>
    <row r="83" spans="2:19" x14ac:dyDescent="0.25">
      <c r="B83" s="4">
        <v>20014660</v>
      </c>
      <c r="C83" s="1" t="s">
        <v>121</v>
      </c>
      <c r="D83" s="4" t="s">
        <v>86</v>
      </c>
      <c r="E83" s="3"/>
      <c r="F83" s="3" t="s">
        <v>89</v>
      </c>
      <c r="G83" s="4">
        <v>14</v>
      </c>
      <c r="H83" s="4">
        <v>20</v>
      </c>
      <c r="I83" s="4">
        <v>14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 t="s">
        <v>113</v>
      </c>
      <c r="S83" s="11"/>
    </row>
    <row r="84" spans="2:19" x14ac:dyDescent="0.25">
      <c r="B84" s="4">
        <v>20005577</v>
      </c>
      <c r="C84" s="1" t="s">
        <v>1437</v>
      </c>
      <c r="D84" s="4" t="s">
        <v>86</v>
      </c>
      <c r="E84" s="3"/>
      <c r="F84" s="3" t="s">
        <v>68</v>
      </c>
      <c r="G84" s="4">
        <v>3</v>
      </c>
      <c r="H84" s="4">
        <v>6</v>
      </c>
      <c r="I84" s="4">
        <v>1</v>
      </c>
      <c r="J84" s="4" t="s">
        <v>8</v>
      </c>
      <c r="K84" s="4" t="s">
        <v>9</v>
      </c>
      <c r="L84" s="11">
        <v>1002667099</v>
      </c>
      <c r="M84" s="3">
        <v>6</v>
      </c>
      <c r="N84"/>
      <c r="O84" s="4"/>
      <c r="P84" s="1"/>
      <c r="Q84" s="22"/>
      <c r="R84"/>
      <c r="S84" s="11"/>
    </row>
    <row r="85" spans="2:19" x14ac:dyDescent="0.25">
      <c r="B85" s="4">
        <v>20005749</v>
      </c>
      <c r="C85" s="1" t="s">
        <v>1113</v>
      </c>
      <c r="D85" s="4" t="s">
        <v>86</v>
      </c>
      <c r="E85" s="3"/>
      <c r="F85" s="3" t="s">
        <v>68</v>
      </c>
      <c r="G85" s="4">
        <v>10</v>
      </c>
      <c r="H85" s="4">
        <v>50</v>
      </c>
      <c r="I85" s="4">
        <v>50</v>
      </c>
      <c r="J85" s="4" t="s">
        <v>24</v>
      </c>
      <c r="K85" s="4" t="s">
        <v>7</v>
      </c>
      <c r="L85" s="11"/>
      <c r="M85" s="3"/>
      <c r="N85"/>
      <c r="O85" s="4"/>
      <c r="P85" s="1"/>
      <c r="Q85" s="22"/>
      <c r="R85"/>
      <c r="S85" s="11"/>
    </row>
    <row r="86" spans="2:19" x14ac:dyDescent="0.25">
      <c r="B86" s="4">
        <v>20009103</v>
      </c>
      <c r="C86" s="1" t="s">
        <v>32</v>
      </c>
      <c r="D86" s="4" t="s">
        <v>86</v>
      </c>
      <c r="E86" s="3"/>
      <c r="F86" s="3" t="s">
        <v>89</v>
      </c>
      <c r="G86" s="4">
        <v>80</v>
      </c>
      <c r="H86" s="4">
        <v>100</v>
      </c>
      <c r="I86" s="4">
        <v>522</v>
      </c>
      <c r="J86" s="4" t="s">
        <v>8</v>
      </c>
      <c r="K86" s="4" t="s">
        <v>14</v>
      </c>
      <c r="L86" s="11"/>
      <c r="M86" s="3"/>
      <c r="N86"/>
      <c r="O86" s="4"/>
      <c r="P86" s="1"/>
      <c r="Q86" s="22"/>
      <c r="R86" t="s">
        <v>113</v>
      </c>
      <c r="S86" s="11"/>
    </row>
    <row r="87" spans="2:19" x14ac:dyDescent="0.25">
      <c r="B87" s="4">
        <v>20006551</v>
      </c>
      <c r="C87" s="1" t="s">
        <v>131</v>
      </c>
      <c r="D87" s="4" t="s">
        <v>86</v>
      </c>
      <c r="E87" s="3"/>
      <c r="F87" s="3" t="s">
        <v>89</v>
      </c>
      <c r="G87" s="4">
        <v>80</v>
      </c>
      <c r="H87" s="4">
        <v>80</v>
      </c>
      <c r="I87" s="4">
        <v>40</v>
      </c>
      <c r="J87" s="4" t="s">
        <v>8</v>
      </c>
      <c r="K87" s="4" t="s">
        <v>9</v>
      </c>
      <c r="L87" s="11"/>
      <c r="M87" s="3"/>
      <c r="N87">
        <v>4502699209</v>
      </c>
      <c r="O87" s="4">
        <v>80</v>
      </c>
      <c r="P87" s="1" t="s">
        <v>1660</v>
      </c>
      <c r="Q87" s="22">
        <v>46216</v>
      </c>
      <c r="R87" t="s">
        <v>113</v>
      </c>
      <c r="S87" s="11"/>
    </row>
    <row r="88" spans="2:19" x14ac:dyDescent="0.25">
      <c r="B88" s="4">
        <v>20005899</v>
      </c>
      <c r="C88" s="1" t="s">
        <v>1454</v>
      </c>
      <c r="D88" s="4" t="s">
        <v>86</v>
      </c>
      <c r="E88" s="3"/>
      <c r="F88" s="3" t="s">
        <v>68</v>
      </c>
      <c r="G88" s="4">
        <v>5</v>
      </c>
      <c r="H88" s="4">
        <v>10</v>
      </c>
      <c r="I88" s="4">
        <v>10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/>
      <c r="S88" s="11"/>
    </row>
    <row r="89" spans="2:19" x14ac:dyDescent="0.25">
      <c r="B89" s="4">
        <v>20012260</v>
      </c>
      <c r="C89" s="1" t="s">
        <v>34</v>
      </c>
      <c r="D89" s="4" t="s">
        <v>86</v>
      </c>
      <c r="E89" s="3"/>
      <c r="F89" s="3" t="s">
        <v>89</v>
      </c>
      <c r="G89" s="4">
        <v>25</v>
      </c>
      <c r="H89" s="4">
        <v>50</v>
      </c>
      <c r="I89" s="4">
        <v>25</v>
      </c>
      <c r="J89" s="4" t="s">
        <v>8</v>
      </c>
      <c r="K89" s="4" t="s">
        <v>7</v>
      </c>
      <c r="L89" s="11"/>
      <c r="M89" s="3"/>
      <c r="N89">
        <v>4502699203</v>
      </c>
      <c r="O89" s="4">
        <v>50</v>
      </c>
      <c r="P89" s="1" t="s">
        <v>1659</v>
      </c>
      <c r="Q89" s="22">
        <v>46218</v>
      </c>
      <c r="R89" t="s">
        <v>113</v>
      </c>
      <c r="S89" s="11"/>
    </row>
    <row r="90" spans="2:19" x14ac:dyDescent="0.25">
      <c r="B90" s="4">
        <v>20006156</v>
      </c>
      <c r="C90" s="1" t="s">
        <v>1434</v>
      </c>
      <c r="D90" s="4" t="s">
        <v>86</v>
      </c>
      <c r="E90" s="3"/>
      <c r="F90" s="3" t="s">
        <v>68</v>
      </c>
      <c r="G90" s="4">
        <v>10</v>
      </c>
      <c r="H90" s="4">
        <v>10</v>
      </c>
      <c r="I90" s="4">
        <v>23</v>
      </c>
      <c r="J90" s="4" t="s">
        <v>8</v>
      </c>
      <c r="K90" s="4" t="s">
        <v>14</v>
      </c>
      <c r="L90" s="11"/>
      <c r="M90" s="3"/>
      <c r="N90">
        <v>4502698059</v>
      </c>
      <c r="O90" s="4">
        <v>10</v>
      </c>
      <c r="P90" s="1" t="s">
        <v>1622</v>
      </c>
      <c r="Q90" s="22">
        <v>46230</v>
      </c>
      <c r="R90"/>
      <c r="S90" s="11"/>
    </row>
    <row r="91" spans="2:19" x14ac:dyDescent="0.25">
      <c r="B91" s="4">
        <v>20006114</v>
      </c>
      <c r="C91" s="1" t="s">
        <v>123</v>
      </c>
      <c r="D91" s="4" t="s">
        <v>86</v>
      </c>
      <c r="E91" s="3"/>
      <c r="F91" s="3" t="s">
        <v>89</v>
      </c>
      <c r="G91" s="4">
        <v>6</v>
      </c>
      <c r="H91" s="4">
        <v>24</v>
      </c>
      <c r="I91" s="4">
        <v>14</v>
      </c>
      <c r="J91" s="4" t="s">
        <v>8</v>
      </c>
      <c r="K91" s="4" t="s">
        <v>7</v>
      </c>
      <c r="L91" s="11"/>
      <c r="M91" s="3"/>
      <c r="N91"/>
      <c r="O91" s="4"/>
      <c r="P91" s="1"/>
      <c r="Q91" s="22"/>
      <c r="R91" t="s">
        <v>113</v>
      </c>
      <c r="S91" s="11"/>
    </row>
    <row r="92" spans="2:19" x14ac:dyDescent="0.25">
      <c r="B92" s="4">
        <v>20005974</v>
      </c>
      <c r="C92" s="1" t="s">
        <v>1264</v>
      </c>
      <c r="D92" s="4" t="s">
        <v>86</v>
      </c>
      <c r="E92" s="3"/>
      <c r="F92" s="3" t="s">
        <v>68</v>
      </c>
      <c r="G92" s="4">
        <v>5</v>
      </c>
      <c r="H92" s="4">
        <v>10</v>
      </c>
      <c r="I92" s="4">
        <v>6</v>
      </c>
      <c r="J92" s="4" t="s">
        <v>8</v>
      </c>
      <c r="K92" s="4" t="s">
        <v>7</v>
      </c>
      <c r="L92" s="11"/>
      <c r="M92" s="3"/>
      <c r="N92"/>
      <c r="O92" s="4"/>
      <c r="P92" s="1"/>
      <c r="Q92" s="22"/>
      <c r="R92"/>
      <c r="S92" s="11"/>
    </row>
    <row r="93" spans="2:19" x14ac:dyDescent="0.25">
      <c r="B93" s="4">
        <v>20011841</v>
      </c>
      <c r="C93" s="1" t="s">
        <v>125</v>
      </c>
      <c r="D93" s="4" t="s">
        <v>86</v>
      </c>
      <c r="E93" s="3" t="s">
        <v>87</v>
      </c>
      <c r="F93" s="3" t="s">
        <v>89</v>
      </c>
      <c r="G93" s="4">
        <v>325</v>
      </c>
      <c r="H93" s="4">
        <v>378</v>
      </c>
      <c r="I93" s="4">
        <v>216</v>
      </c>
      <c r="J93" s="4" t="s">
        <v>24</v>
      </c>
      <c r="K93" s="4" t="s">
        <v>9</v>
      </c>
      <c r="L93" s="11"/>
      <c r="M93" s="3"/>
      <c r="N93">
        <v>4502696014</v>
      </c>
      <c r="O93" s="4">
        <v>378</v>
      </c>
      <c r="P93" s="1" t="s">
        <v>1654</v>
      </c>
      <c r="Q93" s="22">
        <v>46231</v>
      </c>
      <c r="R93" t="s">
        <v>88</v>
      </c>
      <c r="S93" s="11" t="s">
        <v>1633</v>
      </c>
    </row>
    <row r="94" spans="2:19" x14ac:dyDescent="0.25">
      <c r="B94" s="4">
        <v>20006144</v>
      </c>
      <c r="C94" s="1" t="s">
        <v>1215</v>
      </c>
      <c r="D94" s="4" t="s">
        <v>86</v>
      </c>
      <c r="E94" s="3" t="s">
        <v>87</v>
      </c>
      <c r="F94" s="3" t="s">
        <v>89</v>
      </c>
      <c r="G94" s="4">
        <v>96</v>
      </c>
      <c r="H94" s="4">
        <v>60</v>
      </c>
      <c r="I94" s="4">
        <v>104</v>
      </c>
      <c r="J94" s="4" t="s">
        <v>8</v>
      </c>
      <c r="K94" s="4" t="s">
        <v>7</v>
      </c>
      <c r="L94" s="11"/>
      <c r="M94" s="3"/>
      <c r="N94"/>
      <c r="O94" s="4"/>
      <c r="P94" s="1"/>
      <c r="Q94" s="22"/>
      <c r="R94" t="s">
        <v>88</v>
      </c>
      <c r="S94" s="11"/>
    </row>
    <row r="95" spans="2:19" x14ac:dyDescent="0.25">
      <c r="B95" s="4">
        <v>20006158</v>
      </c>
      <c r="C95" s="1" t="s">
        <v>127</v>
      </c>
      <c r="D95" s="4" t="s">
        <v>86</v>
      </c>
      <c r="E95" s="3"/>
      <c r="F95" s="3" t="s">
        <v>89</v>
      </c>
      <c r="G95" s="4">
        <v>50</v>
      </c>
      <c r="H95" s="4">
        <v>50</v>
      </c>
      <c r="I95" s="4">
        <v>22</v>
      </c>
      <c r="J95" s="4" t="s">
        <v>8</v>
      </c>
      <c r="K95" s="4" t="s">
        <v>9</v>
      </c>
      <c r="L95" s="11">
        <v>1002660931</v>
      </c>
      <c r="M95" s="3">
        <v>50</v>
      </c>
      <c r="N95"/>
      <c r="O95" s="4"/>
      <c r="P95" s="1"/>
      <c r="Q95" s="22"/>
      <c r="R95" t="s">
        <v>113</v>
      </c>
      <c r="S95" s="11"/>
    </row>
    <row r="96" spans="2:19" x14ac:dyDescent="0.25">
      <c r="B96" s="4">
        <v>20006115</v>
      </c>
      <c r="C96" s="1" t="s">
        <v>1218</v>
      </c>
      <c r="D96" s="4" t="s">
        <v>86</v>
      </c>
      <c r="E96" s="3"/>
      <c r="F96" s="3" t="s">
        <v>102</v>
      </c>
      <c r="G96" s="4">
        <v>200</v>
      </c>
      <c r="H96" s="4">
        <v>400</v>
      </c>
      <c r="I96" s="4">
        <v>300</v>
      </c>
      <c r="J96" s="4" t="s">
        <v>24</v>
      </c>
      <c r="K96" s="4" t="s">
        <v>7</v>
      </c>
      <c r="L96" s="11"/>
      <c r="M96" s="3"/>
      <c r="N96"/>
      <c r="O96" s="4"/>
      <c r="P96" s="1"/>
      <c r="Q96" s="22"/>
      <c r="R96"/>
      <c r="S96" s="11"/>
    </row>
    <row r="97" spans="2:19" x14ac:dyDescent="0.25">
      <c r="B97" s="4">
        <v>20006153</v>
      </c>
      <c r="C97" s="1" t="s">
        <v>1217</v>
      </c>
      <c r="D97" s="4" t="s">
        <v>86</v>
      </c>
      <c r="E97" s="3"/>
      <c r="F97" s="3" t="s">
        <v>89</v>
      </c>
      <c r="G97" s="4">
        <v>550</v>
      </c>
      <c r="H97" s="4">
        <v>900</v>
      </c>
      <c r="I97" s="4">
        <v>999</v>
      </c>
      <c r="J97" s="4" t="s">
        <v>24</v>
      </c>
      <c r="K97" s="4" t="s">
        <v>7</v>
      </c>
      <c r="L97" s="11"/>
      <c r="M97" s="3"/>
      <c r="N97"/>
      <c r="O97" s="4"/>
      <c r="P97" s="1"/>
      <c r="Q97" s="22"/>
      <c r="R97" t="s">
        <v>113</v>
      </c>
      <c r="S97" s="11"/>
    </row>
    <row r="98" spans="2:19" x14ac:dyDescent="0.25">
      <c r="B98" s="4">
        <v>20007164</v>
      </c>
      <c r="C98" s="1" t="s">
        <v>1106</v>
      </c>
      <c r="D98" s="4" t="s">
        <v>86</v>
      </c>
      <c r="E98" s="3"/>
      <c r="F98" s="3" t="s">
        <v>68</v>
      </c>
      <c r="G98" s="4">
        <v>80</v>
      </c>
      <c r="H98" s="4">
        <v>100</v>
      </c>
      <c r="I98" s="4">
        <v>59</v>
      </c>
      <c r="J98" s="4" t="s">
        <v>8</v>
      </c>
      <c r="K98" s="4" t="s">
        <v>9</v>
      </c>
      <c r="L98" s="11"/>
      <c r="M98" s="3"/>
      <c r="N98">
        <v>4502698292</v>
      </c>
      <c r="O98" s="4">
        <v>100</v>
      </c>
      <c r="P98" s="1" t="s">
        <v>1661</v>
      </c>
      <c r="Q98" s="22">
        <v>46248</v>
      </c>
      <c r="R98"/>
      <c r="S98" s="11"/>
    </row>
    <row r="99" spans="2:19" x14ac:dyDescent="0.25">
      <c r="B99" s="4">
        <v>20006165</v>
      </c>
      <c r="C99" s="1" t="s">
        <v>128</v>
      </c>
      <c r="D99" s="4" t="s">
        <v>86</v>
      </c>
      <c r="E99" s="3" t="s">
        <v>129</v>
      </c>
      <c r="F99" s="3" t="s">
        <v>89</v>
      </c>
      <c r="G99" s="4">
        <v>400</v>
      </c>
      <c r="H99" s="4">
        <v>400</v>
      </c>
      <c r="I99" s="4">
        <v>650</v>
      </c>
      <c r="J99" s="4" t="s">
        <v>24</v>
      </c>
      <c r="K99" s="4" t="s">
        <v>7</v>
      </c>
      <c r="L99" s="11"/>
      <c r="M99" s="3"/>
      <c r="N99"/>
      <c r="O99" s="4"/>
      <c r="P99" s="1"/>
      <c r="Q99" s="22"/>
      <c r="R99" t="s">
        <v>130</v>
      </c>
      <c r="S99" s="11"/>
    </row>
    <row r="100" spans="2:19" x14ac:dyDescent="0.25">
      <c r="B100" s="4">
        <v>20006588</v>
      </c>
      <c r="C100" s="1" t="s">
        <v>1365</v>
      </c>
      <c r="D100" s="4" t="s">
        <v>86</v>
      </c>
      <c r="E100" s="3"/>
      <c r="F100" s="3" t="s">
        <v>68</v>
      </c>
      <c r="G100" s="4">
        <v>2</v>
      </c>
      <c r="H100" s="4">
        <v>2</v>
      </c>
      <c r="I100" s="4">
        <v>5</v>
      </c>
      <c r="J100" s="4" t="s">
        <v>8</v>
      </c>
      <c r="K100" s="4" t="s">
        <v>14</v>
      </c>
      <c r="L100" s="11"/>
      <c r="M100" s="3"/>
      <c r="N100"/>
      <c r="O100" s="4"/>
      <c r="P100" s="1"/>
      <c r="Q100" s="22"/>
      <c r="R100"/>
      <c r="S100" s="11"/>
    </row>
    <row r="101" spans="2:19" x14ac:dyDescent="0.25">
      <c r="B101" s="4">
        <v>20006647</v>
      </c>
      <c r="C101" s="1" t="s">
        <v>360</v>
      </c>
      <c r="D101" s="4" t="s">
        <v>86</v>
      </c>
      <c r="E101" s="3"/>
      <c r="F101" s="3" t="s">
        <v>68</v>
      </c>
      <c r="G101" s="4">
        <v>30</v>
      </c>
      <c r="H101" s="4">
        <v>50</v>
      </c>
      <c r="I101" s="4">
        <v>30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/>
      <c r="S101" s="11"/>
    </row>
    <row r="102" spans="2:19" x14ac:dyDescent="0.25">
      <c r="B102" s="4">
        <v>20006952</v>
      </c>
      <c r="C102" s="1" t="s">
        <v>134</v>
      </c>
      <c r="D102" s="4" t="s">
        <v>86</v>
      </c>
      <c r="E102" s="3"/>
      <c r="F102" s="3" t="s">
        <v>89</v>
      </c>
      <c r="G102" s="4">
        <v>4</v>
      </c>
      <c r="H102" s="4">
        <v>8</v>
      </c>
      <c r="I102" s="4">
        <v>10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 t="s">
        <v>113</v>
      </c>
      <c r="S102" s="11"/>
    </row>
    <row r="103" spans="2:19" x14ac:dyDescent="0.25">
      <c r="B103" s="4">
        <v>20006648</v>
      </c>
      <c r="C103" s="1" t="s">
        <v>1325</v>
      </c>
      <c r="D103" s="4" t="s">
        <v>86</v>
      </c>
      <c r="E103" s="3"/>
      <c r="F103" s="3" t="s">
        <v>68</v>
      </c>
      <c r="G103" s="4">
        <v>20</v>
      </c>
      <c r="H103" s="4">
        <v>40</v>
      </c>
      <c r="I103" s="4">
        <v>37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</row>
    <row r="104" spans="2:19" x14ac:dyDescent="0.25">
      <c r="B104" s="4">
        <v>20007185</v>
      </c>
      <c r="C104" s="1" t="s">
        <v>135</v>
      </c>
      <c r="D104" s="4" t="s">
        <v>86</v>
      </c>
      <c r="E104" s="3" t="s">
        <v>87</v>
      </c>
      <c r="F104" s="3" t="s">
        <v>89</v>
      </c>
      <c r="G104" s="4">
        <v>30</v>
      </c>
      <c r="H104" s="4">
        <v>10</v>
      </c>
      <c r="I104" s="4">
        <v>35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88</v>
      </c>
      <c r="S104" s="11"/>
    </row>
    <row r="105" spans="2:19" x14ac:dyDescent="0.25">
      <c r="B105" s="4">
        <v>20007186</v>
      </c>
      <c r="C105" s="1" t="s">
        <v>136</v>
      </c>
      <c r="D105" s="4" t="s">
        <v>86</v>
      </c>
      <c r="E105" s="3" t="s">
        <v>87</v>
      </c>
      <c r="F105" s="3" t="s">
        <v>89</v>
      </c>
      <c r="G105" s="4">
        <v>20</v>
      </c>
      <c r="H105" s="4">
        <v>20</v>
      </c>
      <c r="I105" s="4">
        <v>29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 t="s">
        <v>88</v>
      </c>
      <c r="S105" s="11"/>
    </row>
    <row r="106" spans="2:19" x14ac:dyDescent="0.25">
      <c r="B106" s="4">
        <v>20007189</v>
      </c>
      <c r="C106" s="1" t="s">
        <v>137</v>
      </c>
      <c r="D106" s="4" t="s">
        <v>86</v>
      </c>
      <c r="E106" s="3" t="s">
        <v>87</v>
      </c>
      <c r="F106" s="3" t="s">
        <v>89</v>
      </c>
      <c r="G106" s="4">
        <v>8</v>
      </c>
      <c r="H106" s="4">
        <v>8</v>
      </c>
      <c r="I106" s="4">
        <v>11</v>
      </c>
      <c r="J106" s="4" t="s">
        <v>8</v>
      </c>
      <c r="K106" s="4" t="s">
        <v>7</v>
      </c>
      <c r="L106" s="11"/>
      <c r="M106" s="3"/>
      <c r="N106"/>
      <c r="O106" s="4"/>
      <c r="P106" s="1"/>
      <c r="Q106" s="22"/>
      <c r="R106" t="s">
        <v>88</v>
      </c>
      <c r="S106" s="11"/>
    </row>
    <row r="107" spans="2:19" x14ac:dyDescent="0.25">
      <c r="B107" s="4">
        <v>20007008</v>
      </c>
      <c r="C107" s="1" t="s">
        <v>1062</v>
      </c>
      <c r="D107" s="4" t="s">
        <v>86</v>
      </c>
      <c r="E107" s="3"/>
      <c r="F107" s="3" t="s">
        <v>68</v>
      </c>
      <c r="G107" s="4">
        <v>8</v>
      </c>
      <c r="H107" s="4">
        <v>2</v>
      </c>
      <c r="I107" s="4">
        <v>8</v>
      </c>
      <c r="J107" s="4" t="s">
        <v>8</v>
      </c>
      <c r="K107" s="4" t="s">
        <v>7</v>
      </c>
      <c r="L107" s="11"/>
      <c r="M107" s="3"/>
      <c r="N107"/>
      <c r="O107" s="4"/>
      <c r="P107" s="1"/>
      <c r="Q107" s="22"/>
      <c r="R107"/>
      <c r="S107" s="11"/>
    </row>
    <row r="108" spans="2:19" x14ac:dyDescent="0.25">
      <c r="B108" s="4">
        <v>20007010</v>
      </c>
      <c r="C108" s="1" t="s">
        <v>1063</v>
      </c>
      <c r="D108" s="4" t="s">
        <v>86</v>
      </c>
      <c r="E108" s="3"/>
      <c r="F108" s="3" t="s">
        <v>68</v>
      </c>
      <c r="G108" s="4">
        <v>5</v>
      </c>
      <c r="H108" s="4">
        <v>5</v>
      </c>
      <c r="I108" s="4">
        <v>6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/>
      <c r="S108" s="11"/>
    </row>
    <row r="109" spans="2:19" x14ac:dyDescent="0.25">
      <c r="B109" s="4">
        <v>20008355</v>
      </c>
      <c r="C109" s="1" t="s">
        <v>30</v>
      </c>
      <c r="D109" s="4" t="s">
        <v>86</v>
      </c>
      <c r="E109" s="3" t="s">
        <v>138</v>
      </c>
      <c r="F109" s="3" t="s">
        <v>89</v>
      </c>
      <c r="G109" s="4">
        <v>2000</v>
      </c>
      <c r="H109" s="4">
        <v>3000</v>
      </c>
      <c r="I109" s="4">
        <v>1900</v>
      </c>
      <c r="J109" s="4" t="s">
        <v>8</v>
      </c>
      <c r="K109" s="4" t="s">
        <v>9</v>
      </c>
      <c r="L109" s="11" t="s">
        <v>1669</v>
      </c>
      <c r="M109" s="3">
        <v>3000</v>
      </c>
      <c r="N109"/>
      <c r="O109" s="4"/>
      <c r="P109" s="1"/>
      <c r="Q109" s="22"/>
      <c r="R109" t="s">
        <v>139</v>
      </c>
      <c r="S109" s="11"/>
    </row>
    <row r="110" spans="2:19" x14ac:dyDescent="0.25">
      <c r="B110" s="4">
        <v>20007011</v>
      </c>
      <c r="C110" s="1" t="s">
        <v>1064</v>
      </c>
      <c r="D110" s="4" t="s">
        <v>86</v>
      </c>
      <c r="E110" s="3"/>
      <c r="F110" s="3" t="s">
        <v>68</v>
      </c>
      <c r="G110" s="4">
        <v>8</v>
      </c>
      <c r="H110" s="4">
        <v>2</v>
      </c>
      <c r="I110" s="4">
        <v>9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</row>
    <row r="111" spans="2:19" x14ac:dyDescent="0.25">
      <c r="B111" s="4">
        <v>20007143</v>
      </c>
      <c r="C111" s="1" t="s">
        <v>1636</v>
      </c>
      <c r="D111" s="4" t="s">
        <v>86</v>
      </c>
      <c r="E111" s="3"/>
      <c r="F111" s="3" t="s">
        <v>68</v>
      </c>
      <c r="G111" s="4">
        <v>1</v>
      </c>
      <c r="H111" s="4">
        <v>1</v>
      </c>
      <c r="I111" s="4">
        <v>2</v>
      </c>
      <c r="J111" s="4" t="s">
        <v>8</v>
      </c>
      <c r="K111" s="4" t="s">
        <v>7</v>
      </c>
      <c r="L111" s="11"/>
      <c r="M111" s="3"/>
      <c r="N111"/>
      <c r="O111" s="4"/>
      <c r="P111" s="1"/>
      <c r="Q111" s="22"/>
      <c r="R111"/>
      <c r="S111" s="11"/>
    </row>
    <row r="112" spans="2:19" x14ac:dyDescent="0.25">
      <c r="B112" s="4">
        <v>20007190</v>
      </c>
      <c r="C112" s="1" t="s">
        <v>140</v>
      </c>
      <c r="D112" s="4" t="s">
        <v>86</v>
      </c>
      <c r="E112" s="3" t="s">
        <v>87</v>
      </c>
      <c r="F112" s="3" t="s">
        <v>89</v>
      </c>
      <c r="G112" s="4">
        <v>20</v>
      </c>
      <c r="H112" s="4">
        <v>20</v>
      </c>
      <c r="I112" s="4">
        <v>12</v>
      </c>
      <c r="J112" s="4" t="s">
        <v>8</v>
      </c>
      <c r="K112" s="4" t="s">
        <v>9</v>
      </c>
      <c r="L112" s="11" t="s">
        <v>1670</v>
      </c>
      <c r="M112" s="3">
        <v>28</v>
      </c>
      <c r="N112"/>
      <c r="O112" s="4"/>
      <c r="P112" s="1"/>
      <c r="Q112" s="22"/>
      <c r="R112" t="s">
        <v>88</v>
      </c>
      <c r="S112" s="11"/>
    </row>
    <row r="113" spans="2:19" x14ac:dyDescent="0.25">
      <c r="B113" s="4">
        <v>20015134</v>
      </c>
      <c r="C113" s="1" t="s">
        <v>141</v>
      </c>
      <c r="D113" s="4" t="s">
        <v>86</v>
      </c>
      <c r="E113" s="3" t="s">
        <v>91</v>
      </c>
      <c r="F113" s="3" t="s">
        <v>89</v>
      </c>
      <c r="G113" s="4">
        <v>2001</v>
      </c>
      <c r="H113" s="4">
        <v>5000</v>
      </c>
      <c r="I113" s="4">
        <v>1955</v>
      </c>
      <c r="J113" s="4" t="s">
        <v>10</v>
      </c>
      <c r="K113" s="4" t="s">
        <v>9</v>
      </c>
      <c r="L113" s="11"/>
      <c r="M113" s="3"/>
      <c r="N113">
        <v>4502691010</v>
      </c>
      <c r="O113" s="4">
        <v>5000</v>
      </c>
      <c r="P113" s="1" t="s">
        <v>1627</v>
      </c>
      <c r="Q113" s="22">
        <v>46213</v>
      </c>
      <c r="R113" t="s">
        <v>92</v>
      </c>
      <c r="S113" s="11"/>
    </row>
    <row r="114" spans="2:19" x14ac:dyDescent="0.25">
      <c r="B114" s="4">
        <v>20007184</v>
      </c>
      <c r="C114" s="1" t="s">
        <v>1455</v>
      </c>
      <c r="D114" s="4" t="s">
        <v>86</v>
      </c>
      <c r="E114" s="3"/>
      <c r="F114" s="3" t="s">
        <v>68</v>
      </c>
      <c r="G114" s="4">
        <v>5</v>
      </c>
      <c r="H114" s="4">
        <v>2</v>
      </c>
      <c r="I114" s="4">
        <v>2</v>
      </c>
      <c r="J114" s="4" t="s">
        <v>8</v>
      </c>
      <c r="K114" s="4" t="s">
        <v>9</v>
      </c>
      <c r="L114" s="11">
        <v>1002673993</v>
      </c>
      <c r="M114" s="3">
        <v>2</v>
      </c>
      <c r="N114"/>
      <c r="O114" s="4"/>
      <c r="P114" s="1"/>
      <c r="Q114" s="22"/>
      <c r="R114"/>
      <c r="S114" s="11"/>
    </row>
    <row r="115" spans="2:19" x14ac:dyDescent="0.25">
      <c r="B115" s="4">
        <v>20007184</v>
      </c>
      <c r="C115" s="1" t="s">
        <v>1455</v>
      </c>
      <c r="D115" s="4" t="s">
        <v>86</v>
      </c>
      <c r="E115" s="3"/>
      <c r="F115" s="3" t="s">
        <v>68</v>
      </c>
      <c r="G115" s="4">
        <v>5</v>
      </c>
      <c r="H115" s="4">
        <v>2</v>
      </c>
      <c r="I115" s="4">
        <v>2</v>
      </c>
      <c r="J115" s="4" t="s">
        <v>8</v>
      </c>
      <c r="K115" s="4" t="s">
        <v>9</v>
      </c>
      <c r="L115" s="11">
        <v>1002673993</v>
      </c>
      <c r="M115" s="3">
        <v>5</v>
      </c>
      <c r="N115"/>
      <c r="O115" s="4"/>
      <c r="P115" s="1"/>
      <c r="Q115" s="22"/>
      <c r="R115"/>
      <c r="S115" s="11"/>
    </row>
    <row r="116" spans="2:19" x14ac:dyDescent="0.25">
      <c r="B116" s="4">
        <v>20007214</v>
      </c>
      <c r="C116" s="1" t="s">
        <v>142</v>
      </c>
      <c r="D116" s="4" t="s">
        <v>86</v>
      </c>
      <c r="E116" s="3" t="s">
        <v>87</v>
      </c>
      <c r="F116" s="3" t="s">
        <v>89</v>
      </c>
      <c r="G116" s="4">
        <v>7</v>
      </c>
      <c r="H116" s="4">
        <v>14</v>
      </c>
      <c r="I116" s="4">
        <v>14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 t="s">
        <v>88</v>
      </c>
      <c r="S116" s="11"/>
    </row>
    <row r="117" spans="2:19" x14ac:dyDescent="0.25">
      <c r="B117" s="4">
        <v>20007187</v>
      </c>
      <c r="C117" s="1" t="s">
        <v>1065</v>
      </c>
      <c r="D117" s="4" t="s">
        <v>86</v>
      </c>
      <c r="E117" s="3"/>
      <c r="F117" s="3" t="s">
        <v>68</v>
      </c>
      <c r="G117" s="4">
        <v>25</v>
      </c>
      <c r="H117" s="4">
        <v>25</v>
      </c>
      <c r="I117" s="4">
        <v>44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</row>
    <row r="118" spans="2:19" x14ac:dyDescent="0.25">
      <c r="B118" s="4">
        <v>20007265</v>
      </c>
      <c r="C118" s="1" t="s">
        <v>143</v>
      </c>
      <c r="D118" s="4" t="s">
        <v>86</v>
      </c>
      <c r="E118" s="3" t="s">
        <v>87</v>
      </c>
      <c r="F118" s="3" t="s">
        <v>89</v>
      </c>
      <c r="G118" s="4">
        <v>15</v>
      </c>
      <c r="H118" s="4">
        <v>30</v>
      </c>
      <c r="I118" s="4">
        <v>38</v>
      </c>
      <c r="J118" s="4" t="s">
        <v>23</v>
      </c>
      <c r="K118" s="4" t="s">
        <v>7</v>
      </c>
      <c r="L118" s="11"/>
      <c r="M118" s="3"/>
      <c r="N118"/>
      <c r="O118" s="4"/>
      <c r="P118" s="1"/>
      <c r="Q118" s="22"/>
      <c r="R118" t="s">
        <v>88</v>
      </c>
      <c r="S118" s="11"/>
    </row>
    <row r="119" spans="2:19" x14ac:dyDescent="0.25">
      <c r="B119" s="4">
        <v>20007282</v>
      </c>
      <c r="C119" s="1" t="s">
        <v>144</v>
      </c>
      <c r="D119" s="4" t="s">
        <v>86</v>
      </c>
      <c r="E119" s="3" t="s">
        <v>87</v>
      </c>
      <c r="F119" s="3" t="s">
        <v>89</v>
      </c>
      <c r="G119" s="4">
        <v>8</v>
      </c>
      <c r="H119" s="4">
        <v>16</v>
      </c>
      <c r="I119" s="4">
        <v>7</v>
      </c>
      <c r="J119" s="4" t="s">
        <v>8</v>
      </c>
      <c r="K119" s="4" t="s">
        <v>9</v>
      </c>
      <c r="L119" s="69"/>
      <c r="M119" s="3"/>
      <c r="N119">
        <v>4502689155</v>
      </c>
      <c r="O119" s="4">
        <v>16</v>
      </c>
      <c r="P119" s="1" t="s">
        <v>22</v>
      </c>
      <c r="Q119" s="22">
        <v>46206</v>
      </c>
      <c r="R119" t="s">
        <v>88</v>
      </c>
      <c r="S119" s="11"/>
    </row>
    <row r="120" spans="2:19" x14ac:dyDescent="0.25">
      <c r="B120" s="4">
        <v>20007191</v>
      </c>
      <c r="C120" s="1" t="s">
        <v>1219</v>
      </c>
      <c r="D120" s="4" t="s">
        <v>86</v>
      </c>
      <c r="E120" s="3"/>
      <c r="F120" s="3" t="s">
        <v>68</v>
      </c>
      <c r="G120" s="4">
        <v>8</v>
      </c>
      <c r="H120" s="4">
        <v>3</v>
      </c>
      <c r="I120" s="4">
        <v>11</v>
      </c>
      <c r="J120" s="4" t="s">
        <v>8</v>
      </c>
      <c r="K120" s="4" t="s">
        <v>7</v>
      </c>
      <c r="L120" s="11"/>
      <c r="M120" s="3"/>
      <c r="N120"/>
      <c r="O120" s="4"/>
      <c r="P120" s="1"/>
      <c r="Q120" s="22"/>
      <c r="R120"/>
      <c r="S120" s="11"/>
    </row>
    <row r="121" spans="2:19" x14ac:dyDescent="0.25">
      <c r="B121" s="4">
        <v>20007290</v>
      </c>
      <c r="C121" s="1" t="s">
        <v>145</v>
      </c>
      <c r="D121" s="4" t="s">
        <v>86</v>
      </c>
      <c r="E121" s="3" t="s">
        <v>87</v>
      </c>
      <c r="F121" s="3" t="s">
        <v>89</v>
      </c>
      <c r="G121" s="4">
        <v>5</v>
      </c>
      <c r="H121" s="4">
        <v>10</v>
      </c>
      <c r="I121" s="4">
        <v>10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 t="s">
        <v>88</v>
      </c>
      <c r="S121" s="11"/>
    </row>
    <row r="122" spans="2:19" x14ac:dyDescent="0.25">
      <c r="B122" s="4">
        <v>20007327</v>
      </c>
      <c r="C122" s="1" t="s">
        <v>1416</v>
      </c>
      <c r="D122" s="4" t="s">
        <v>86</v>
      </c>
      <c r="E122" s="3" t="s">
        <v>87</v>
      </c>
      <c r="F122" s="3" t="s">
        <v>89</v>
      </c>
      <c r="G122" s="4">
        <v>8</v>
      </c>
      <c r="H122" s="4">
        <v>6</v>
      </c>
      <c r="I122" s="4">
        <v>4</v>
      </c>
      <c r="J122" s="4" t="s">
        <v>8</v>
      </c>
      <c r="K122" s="4" t="s">
        <v>9</v>
      </c>
      <c r="L122" s="11" t="s">
        <v>1624</v>
      </c>
      <c r="M122" s="65"/>
      <c r="N122"/>
      <c r="O122" s="4"/>
      <c r="P122" s="1"/>
      <c r="Q122" s="22"/>
      <c r="R122" t="s">
        <v>88</v>
      </c>
      <c r="S122" s="11" t="s">
        <v>1580</v>
      </c>
    </row>
    <row r="123" spans="2:19" x14ac:dyDescent="0.25">
      <c r="B123" s="4">
        <v>20007435</v>
      </c>
      <c r="C123" s="1" t="s">
        <v>146</v>
      </c>
      <c r="D123" s="4" t="s">
        <v>86</v>
      </c>
      <c r="E123" s="3" t="s">
        <v>97</v>
      </c>
      <c r="F123" s="3" t="s">
        <v>89</v>
      </c>
      <c r="G123" s="4">
        <v>1</v>
      </c>
      <c r="H123" s="4">
        <v>1</v>
      </c>
      <c r="I123" s="4">
        <v>7</v>
      </c>
      <c r="J123" s="4" t="s">
        <v>8</v>
      </c>
      <c r="K123" s="4" t="s">
        <v>14</v>
      </c>
      <c r="L123" s="11"/>
      <c r="M123" s="3"/>
      <c r="N123"/>
      <c r="O123" s="4"/>
      <c r="P123" s="1"/>
      <c r="Q123" s="22"/>
      <c r="R123" t="s">
        <v>98</v>
      </c>
      <c r="S123" s="11"/>
    </row>
    <row r="124" spans="2:19" x14ac:dyDescent="0.25">
      <c r="B124" s="4">
        <v>20007514</v>
      </c>
      <c r="C124" s="1" t="s">
        <v>147</v>
      </c>
      <c r="D124" s="4" t="s">
        <v>86</v>
      </c>
      <c r="E124" s="3" t="s">
        <v>118</v>
      </c>
      <c r="F124" s="3" t="s">
        <v>89</v>
      </c>
      <c r="G124" s="4">
        <v>2</v>
      </c>
      <c r="H124" s="4">
        <v>2</v>
      </c>
      <c r="I124" s="4">
        <v>13</v>
      </c>
      <c r="J124" s="4" t="s">
        <v>8</v>
      </c>
      <c r="K124" s="4" t="s">
        <v>14</v>
      </c>
      <c r="L124" s="11"/>
      <c r="M124" s="3"/>
      <c r="N124"/>
      <c r="O124" s="4"/>
      <c r="P124" s="1"/>
      <c r="Q124" s="22"/>
      <c r="R124" t="s">
        <v>148</v>
      </c>
      <c r="S124" s="11"/>
    </row>
    <row r="125" spans="2:19" x14ac:dyDescent="0.25">
      <c r="B125" s="4">
        <v>20007335</v>
      </c>
      <c r="C125" s="1" t="s">
        <v>1488</v>
      </c>
      <c r="D125" s="4" t="s">
        <v>86</v>
      </c>
      <c r="E125" s="3"/>
      <c r="F125" s="3" t="s">
        <v>68</v>
      </c>
      <c r="G125" s="4">
        <v>2</v>
      </c>
      <c r="H125" s="4">
        <v>2</v>
      </c>
      <c r="I125" s="4">
        <v>2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/>
      <c r="S125" s="11"/>
    </row>
    <row r="126" spans="2:19" x14ac:dyDescent="0.25">
      <c r="B126" s="4">
        <v>20007531</v>
      </c>
      <c r="C126" s="1" t="s">
        <v>149</v>
      </c>
      <c r="D126" s="4" t="s">
        <v>86</v>
      </c>
      <c r="E126" s="3" t="s">
        <v>118</v>
      </c>
      <c r="F126" s="3" t="s">
        <v>89</v>
      </c>
      <c r="G126" s="4">
        <v>5</v>
      </c>
      <c r="H126" s="4">
        <v>8</v>
      </c>
      <c r="I126" s="4">
        <v>9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 t="s">
        <v>148</v>
      </c>
      <c r="S126" s="11"/>
    </row>
    <row r="127" spans="2:19" x14ac:dyDescent="0.25">
      <c r="B127" s="4">
        <v>20007563</v>
      </c>
      <c r="C127" s="1" t="s">
        <v>27</v>
      </c>
      <c r="D127" s="4" t="s">
        <v>86</v>
      </c>
      <c r="E127" s="3"/>
      <c r="F127" s="3" t="s">
        <v>89</v>
      </c>
      <c r="G127" s="4">
        <v>8</v>
      </c>
      <c r="H127" s="4">
        <v>12</v>
      </c>
      <c r="I127" s="4">
        <v>15</v>
      </c>
      <c r="J127" s="4" t="s">
        <v>8</v>
      </c>
      <c r="K127" s="4" t="s">
        <v>7</v>
      </c>
      <c r="L127" s="11"/>
      <c r="M127" s="3"/>
      <c r="N127"/>
      <c r="O127" s="4"/>
      <c r="P127" s="1"/>
      <c r="Q127" s="22"/>
      <c r="R127" t="s">
        <v>113</v>
      </c>
      <c r="S127" s="11"/>
    </row>
    <row r="128" spans="2:19" x14ac:dyDescent="0.25">
      <c r="B128" s="4">
        <v>20007835</v>
      </c>
      <c r="C128" s="1" t="s">
        <v>151</v>
      </c>
      <c r="D128" s="4" t="s">
        <v>86</v>
      </c>
      <c r="E128" s="3" t="s">
        <v>118</v>
      </c>
      <c r="F128" s="3" t="s">
        <v>89</v>
      </c>
      <c r="G128" s="4">
        <v>20</v>
      </c>
      <c r="H128" s="4">
        <v>30</v>
      </c>
      <c r="I128" s="4">
        <v>47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 t="s">
        <v>148</v>
      </c>
      <c r="S128" s="11"/>
    </row>
    <row r="129" spans="2:19" x14ac:dyDescent="0.25">
      <c r="B129" s="4">
        <v>20007926</v>
      </c>
      <c r="C129" s="1" t="s">
        <v>152</v>
      </c>
      <c r="D129" s="4" t="s">
        <v>86</v>
      </c>
      <c r="E129" s="3" t="s">
        <v>118</v>
      </c>
      <c r="F129" s="3" t="s">
        <v>89</v>
      </c>
      <c r="G129" s="4">
        <v>4</v>
      </c>
      <c r="H129" s="4">
        <v>7</v>
      </c>
      <c r="I129" s="4">
        <v>0</v>
      </c>
      <c r="J129" s="4" t="s">
        <v>8</v>
      </c>
      <c r="K129" s="4" t="s">
        <v>13</v>
      </c>
      <c r="L129" s="11">
        <v>1002673992</v>
      </c>
      <c r="M129" s="3">
        <v>7</v>
      </c>
      <c r="N129"/>
      <c r="O129" s="4"/>
      <c r="P129" s="1"/>
      <c r="Q129" s="22"/>
      <c r="R129" t="s">
        <v>148</v>
      </c>
      <c r="S129" s="11"/>
    </row>
    <row r="130" spans="2:19" x14ac:dyDescent="0.25">
      <c r="B130" s="4">
        <v>20007652</v>
      </c>
      <c r="C130" s="1" t="s">
        <v>1276</v>
      </c>
      <c r="D130" s="4" t="s">
        <v>86</v>
      </c>
      <c r="E130" s="3"/>
      <c r="F130" s="3" t="s">
        <v>68</v>
      </c>
      <c r="G130" s="4">
        <v>50</v>
      </c>
      <c r="H130" s="4">
        <v>30</v>
      </c>
      <c r="I130" s="4">
        <v>0</v>
      </c>
      <c r="J130" s="4" t="s">
        <v>25</v>
      </c>
      <c r="K130" s="4" t="s">
        <v>13</v>
      </c>
      <c r="L130" s="11"/>
      <c r="M130" s="3"/>
      <c r="N130">
        <v>4502690593</v>
      </c>
      <c r="O130" s="4">
        <v>80</v>
      </c>
      <c r="P130" s="1" t="s">
        <v>1626</v>
      </c>
      <c r="Q130" s="22">
        <v>46223</v>
      </c>
      <c r="R130"/>
      <c r="S130" s="11"/>
    </row>
    <row r="131" spans="2:19" x14ac:dyDescent="0.25">
      <c r="B131" s="4">
        <v>20007928</v>
      </c>
      <c r="C131" s="1" t="s">
        <v>1520</v>
      </c>
      <c r="D131" s="4" t="s">
        <v>86</v>
      </c>
      <c r="E131" s="3" t="s">
        <v>118</v>
      </c>
      <c r="F131" s="3" t="s">
        <v>89</v>
      </c>
      <c r="G131" s="4">
        <v>16</v>
      </c>
      <c r="H131" s="4">
        <v>32</v>
      </c>
      <c r="I131" s="4">
        <v>24</v>
      </c>
      <c r="J131" s="4" t="s">
        <v>8</v>
      </c>
      <c r="K131" s="4" t="s">
        <v>7</v>
      </c>
      <c r="L131" s="11"/>
      <c r="M131" s="3"/>
      <c r="N131"/>
      <c r="O131" s="4"/>
      <c r="P131" s="1"/>
      <c r="Q131" s="22"/>
      <c r="R131" t="s">
        <v>148</v>
      </c>
      <c r="S131" s="11"/>
    </row>
    <row r="132" spans="2:19" x14ac:dyDescent="0.25">
      <c r="B132" s="4">
        <v>20007660</v>
      </c>
      <c r="C132" s="1" t="s">
        <v>1277</v>
      </c>
      <c r="D132" s="4" t="s">
        <v>86</v>
      </c>
      <c r="E132" s="3"/>
      <c r="F132" s="3" t="s">
        <v>68</v>
      </c>
      <c r="G132" s="4">
        <v>50</v>
      </c>
      <c r="H132" s="4">
        <v>100</v>
      </c>
      <c r="I132" s="4">
        <v>100</v>
      </c>
      <c r="J132" s="4" t="s">
        <v>25</v>
      </c>
      <c r="K132" s="4" t="s">
        <v>7</v>
      </c>
      <c r="L132" s="11"/>
      <c r="M132" s="3"/>
      <c r="N132"/>
      <c r="O132" s="4"/>
      <c r="P132" s="1"/>
      <c r="Q132" s="22"/>
      <c r="R132"/>
      <c r="S132" s="11"/>
    </row>
    <row r="133" spans="2:19" x14ac:dyDescent="0.25">
      <c r="B133" s="4">
        <v>20008028</v>
      </c>
      <c r="C133" s="1" t="s">
        <v>153</v>
      </c>
      <c r="D133" s="4" t="s">
        <v>86</v>
      </c>
      <c r="E133" s="3" t="s">
        <v>118</v>
      </c>
      <c r="F133" s="3" t="s">
        <v>89</v>
      </c>
      <c r="G133" s="4">
        <v>4</v>
      </c>
      <c r="H133" s="4">
        <v>8</v>
      </c>
      <c r="I133" s="4">
        <v>9</v>
      </c>
      <c r="J133" s="4" t="s">
        <v>8</v>
      </c>
      <c r="K133" s="4" t="s">
        <v>7</v>
      </c>
      <c r="L133" s="11"/>
      <c r="M133" s="3"/>
      <c r="N133"/>
      <c r="O133" s="4"/>
      <c r="P133" s="1"/>
      <c r="Q133" s="22"/>
      <c r="R133" t="s">
        <v>148</v>
      </c>
      <c r="S133" s="11"/>
    </row>
    <row r="134" spans="2:19" x14ac:dyDescent="0.25">
      <c r="B134" s="4">
        <v>20007824</v>
      </c>
      <c r="C134" s="1" t="s">
        <v>1494</v>
      </c>
      <c r="D134" s="4" t="s">
        <v>86</v>
      </c>
      <c r="E134" s="3"/>
      <c r="F134" s="3" t="s">
        <v>68</v>
      </c>
      <c r="G134" s="4">
        <v>3</v>
      </c>
      <c r="H134" s="4">
        <v>3</v>
      </c>
      <c r="I134" s="4">
        <v>10</v>
      </c>
      <c r="J134" s="4" t="s">
        <v>8</v>
      </c>
      <c r="K134" s="4" t="s">
        <v>14</v>
      </c>
      <c r="L134" s="11"/>
      <c r="M134" s="3"/>
      <c r="N134"/>
      <c r="O134" s="4"/>
      <c r="P134" s="1"/>
      <c r="Q134" s="22"/>
      <c r="R134"/>
      <c r="S134" s="11"/>
    </row>
    <row r="135" spans="2:19" x14ac:dyDescent="0.25">
      <c r="B135" s="4">
        <v>20008058</v>
      </c>
      <c r="C135" s="1" t="s">
        <v>28</v>
      </c>
      <c r="D135" s="4" t="s">
        <v>86</v>
      </c>
      <c r="E135" s="3"/>
      <c r="F135" s="3" t="s">
        <v>89</v>
      </c>
      <c r="G135" s="4">
        <v>100</v>
      </c>
      <c r="H135" s="4">
        <v>200</v>
      </c>
      <c r="I135" s="4">
        <v>235</v>
      </c>
      <c r="J135" s="4" t="s">
        <v>8</v>
      </c>
      <c r="K135" s="4" t="s">
        <v>7</v>
      </c>
      <c r="L135" s="11"/>
      <c r="M135" s="3"/>
      <c r="N135"/>
      <c r="O135" s="4"/>
      <c r="P135" s="1"/>
      <c r="Q135" s="22"/>
      <c r="R135" t="s">
        <v>113</v>
      </c>
      <c r="S135" s="11"/>
    </row>
    <row r="136" spans="2:19" x14ac:dyDescent="0.25">
      <c r="B136" s="4">
        <v>20008069</v>
      </c>
      <c r="C136" s="1" t="s">
        <v>29</v>
      </c>
      <c r="D136" s="4" t="s">
        <v>86</v>
      </c>
      <c r="E136" s="3"/>
      <c r="F136" s="3" t="s">
        <v>89</v>
      </c>
      <c r="G136" s="4">
        <v>150</v>
      </c>
      <c r="H136" s="4">
        <v>250</v>
      </c>
      <c r="I136" s="4">
        <v>113</v>
      </c>
      <c r="J136" s="4" t="s">
        <v>8</v>
      </c>
      <c r="K136" s="4" t="s">
        <v>9</v>
      </c>
      <c r="L136" s="11"/>
      <c r="M136" s="3"/>
      <c r="N136">
        <v>4502688800</v>
      </c>
      <c r="O136" s="4">
        <v>252</v>
      </c>
      <c r="P136" s="1" t="s">
        <v>1622</v>
      </c>
      <c r="Q136" s="22">
        <v>46213</v>
      </c>
      <c r="R136" t="s">
        <v>113</v>
      </c>
      <c r="S136" s="11"/>
    </row>
    <row r="137" spans="2:19" x14ac:dyDescent="0.25">
      <c r="B137" s="4">
        <v>20007855</v>
      </c>
      <c r="C137" s="1" t="s">
        <v>1521</v>
      </c>
      <c r="D137" s="4" t="s">
        <v>86</v>
      </c>
      <c r="E137" s="3"/>
      <c r="F137" s="3" t="s">
        <v>68</v>
      </c>
      <c r="G137" s="4">
        <v>4</v>
      </c>
      <c r="H137" s="4">
        <v>4</v>
      </c>
      <c r="I137" s="4">
        <v>8</v>
      </c>
      <c r="J137" s="4" t="s">
        <v>8</v>
      </c>
      <c r="K137" s="4" t="s">
        <v>7</v>
      </c>
      <c r="L137" s="11"/>
      <c r="M137" s="3"/>
      <c r="N137"/>
      <c r="O137" s="4"/>
      <c r="P137" s="1"/>
      <c r="Q137" s="22"/>
      <c r="R137"/>
      <c r="S137" s="11"/>
    </row>
    <row r="138" spans="2:19" x14ac:dyDescent="0.25">
      <c r="B138" s="4">
        <v>20007923</v>
      </c>
      <c r="C138" s="1" t="s">
        <v>1377</v>
      </c>
      <c r="D138" s="4" t="s">
        <v>86</v>
      </c>
      <c r="E138" s="3"/>
      <c r="F138" s="3" t="s">
        <v>68</v>
      </c>
      <c r="G138" s="4">
        <v>10</v>
      </c>
      <c r="H138" s="4">
        <v>30</v>
      </c>
      <c r="I138" s="4">
        <v>35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/>
      <c r="S138" s="11"/>
    </row>
    <row r="139" spans="2:19" x14ac:dyDescent="0.25">
      <c r="B139" s="4">
        <v>20008258</v>
      </c>
      <c r="C139" s="1" t="s">
        <v>154</v>
      </c>
      <c r="D139" s="4" t="s">
        <v>86</v>
      </c>
      <c r="E139" s="3" t="s">
        <v>118</v>
      </c>
      <c r="F139" s="3" t="s">
        <v>89</v>
      </c>
      <c r="G139" s="4">
        <v>8</v>
      </c>
      <c r="H139" s="4">
        <v>10</v>
      </c>
      <c r="I139" s="4">
        <v>17</v>
      </c>
      <c r="J139" s="4" t="s">
        <v>8</v>
      </c>
      <c r="K139" s="4" t="s">
        <v>7</v>
      </c>
      <c r="L139" s="11"/>
      <c r="M139" s="3"/>
      <c r="N139"/>
      <c r="O139" s="4"/>
      <c r="P139" s="1"/>
      <c r="Q139" s="22"/>
      <c r="R139" t="s">
        <v>148</v>
      </c>
      <c r="S139" s="11"/>
    </row>
    <row r="140" spans="2:19" x14ac:dyDescent="0.25">
      <c r="B140" s="4">
        <v>20007924</v>
      </c>
      <c r="C140" s="1" t="s">
        <v>1378</v>
      </c>
      <c r="D140" s="4" t="s">
        <v>86</v>
      </c>
      <c r="E140" s="3"/>
      <c r="F140" s="3" t="s">
        <v>68</v>
      </c>
      <c r="G140" s="4">
        <v>10</v>
      </c>
      <c r="H140" s="4">
        <v>30</v>
      </c>
      <c r="I140" s="4">
        <v>34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/>
      <c r="S140" s="11"/>
    </row>
    <row r="141" spans="2:19" x14ac:dyDescent="0.25">
      <c r="B141" s="4">
        <v>20008271</v>
      </c>
      <c r="C141" s="1" t="s">
        <v>155</v>
      </c>
      <c r="D141" s="4" t="s">
        <v>86</v>
      </c>
      <c r="E141" s="3" t="s">
        <v>118</v>
      </c>
      <c r="F141" s="3" t="s">
        <v>89</v>
      </c>
      <c r="G141" s="4">
        <v>8</v>
      </c>
      <c r="H141" s="4">
        <v>16</v>
      </c>
      <c r="I141" s="4">
        <v>29</v>
      </c>
      <c r="J141" s="4" t="s">
        <v>8</v>
      </c>
      <c r="K141" s="4" t="s">
        <v>14</v>
      </c>
      <c r="L141" s="11"/>
      <c r="M141" s="3"/>
      <c r="N141"/>
      <c r="O141" s="4"/>
      <c r="P141" s="1"/>
      <c r="Q141" s="22"/>
      <c r="R141" t="s">
        <v>156</v>
      </c>
      <c r="S141" s="11"/>
    </row>
    <row r="142" spans="2:19" x14ac:dyDescent="0.25">
      <c r="B142" s="4">
        <v>20008525</v>
      </c>
      <c r="C142" s="1" t="s">
        <v>157</v>
      </c>
      <c r="D142" s="4" t="s">
        <v>86</v>
      </c>
      <c r="E142" s="3"/>
      <c r="F142" s="3" t="s">
        <v>89</v>
      </c>
      <c r="G142" s="4">
        <v>144</v>
      </c>
      <c r="H142" s="4">
        <v>288</v>
      </c>
      <c r="I142" s="4">
        <v>2400</v>
      </c>
      <c r="J142" s="4" t="s">
        <v>8</v>
      </c>
      <c r="K142" s="4" t="s">
        <v>14</v>
      </c>
      <c r="L142" s="11"/>
      <c r="M142" s="3"/>
      <c r="N142"/>
      <c r="O142" s="4"/>
      <c r="P142" s="1"/>
      <c r="Q142" s="22"/>
      <c r="R142" t="s">
        <v>113</v>
      </c>
      <c r="S142" s="11"/>
    </row>
    <row r="143" spans="2:19" x14ac:dyDescent="0.25">
      <c r="B143" s="4">
        <v>20008954</v>
      </c>
      <c r="C143" s="1" t="s">
        <v>31</v>
      </c>
      <c r="D143" s="4" t="s">
        <v>86</v>
      </c>
      <c r="E143" s="3" t="s">
        <v>87</v>
      </c>
      <c r="F143" s="3" t="s">
        <v>89</v>
      </c>
      <c r="G143" s="4">
        <v>30</v>
      </c>
      <c r="H143" s="4">
        <v>50</v>
      </c>
      <c r="I143" s="4">
        <v>37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 t="s">
        <v>88</v>
      </c>
      <c r="S143" s="11"/>
    </row>
    <row r="144" spans="2:19" x14ac:dyDescent="0.25">
      <c r="B144" s="4">
        <v>20007931</v>
      </c>
      <c r="C144" s="1" t="s">
        <v>1379</v>
      </c>
      <c r="D144" s="4" t="s">
        <v>86</v>
      </c>
      <c r="E144" s="3"/>
      <c r="F144" s="3" t="s">
        <v>68</v>
      </c>
      <c r="G144" s="4">
        <v>10</v>
      </c>
      <c r="H144" s="4">
        <v>30</v>
      </c>
      <c r="I144" s="4">
        <v>15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/>
      <c r="S144" s="11"/>
    </row>
    <row r="145" spans="2:19" x14ac:dyDescent="0.25">
      <c r="B145" s="4">
        <v>20009101</v>
      </c>
      <c r="C145" s="1" t="s">
        <v>49</v>
      </c>
      <c r="D145" s="4" t="s">
        <v>86</v>
      </c>
      <c r="E145" s="3" t="s">
        <v>87</v>
      </c>
      <c r="F145" s="3" t="s">
        <v>89</v>
      </c>
      <c r="G145" s="4">
        <v>100</v>
      </c>
      <c r="H145" s="4">
        <v>150</v>
      </c>
      <c r="I145" s="4">
        <v>264</v>
      </c>
      <c r="J145" s="4" t="s">
        <v>8</v>
      </c>
      <c r="K145" s="4" t="s">
        <v>14</v>
      </c>
      <c r="L145" s="11"/>
      <c r="M145" s="3"/>
      <c r="N145"/>
      <c r="O145" s="4"/>
      <c r="P145" s="1"/>
      <c r="Q145" s="22"/>
      <c r="R145" t="s">
        <v>88</v>
      </c>
      <c r="S145" s="11"/>
    </row>
    <row r="146" spans="2:19" x14ac:dyDescent="0.25">
      <c r="B146" s="4">
        <v>20009109</v>
      </c>
      <c r="C146" s="1" t="s">
        <v>158</v>
      </c>
      <c r="D146" s="4" t="s">
        <v>86</v>
      </c>
      <c r="E146" s="3" t="s">
        <v>87</v>
      </c>
      <c r="F146" s="3" t="s">
        <v>89</v>
      </c>
      <c r="G146" s="4">
        <v>30</v>
      </c>
      <c r="H146" s="4">
        <v>50</v>
      </c>
      <c r="I146" s="4">
        <v>161</v>
      </c>
      <c r="J146" s="4" t="s">
        <v>8</v>
      </c>
      <c r="K146" s="4" t="s">
        <v>14</v>
      </c>
      <c r="L146" s="11"/>
      <c r="M146" s="3"/>
      <c r="N146"/>
      <c r="O146" s="4"/>
      <c r="P146" s="1"/>
      <c r="Q146" s="22"/>
      <c r="R146" t="s">
        <v>88</v>
      </c>
      <c r="S146" s="11"/>
    </row>
    <row r="147" spans="2:19" x14ac:dyDescent="0.25">
      <c r="B147" s="4">
        <v>20009155</v>
      </c>
      <c r="C147" s="1" t="s">
        <v>159</v>
      </c>
      <c r="D147" s="4" t="s">
        <v>86</v>
      </c>
      <c r="E147" s="3" t="s">
        <v>87</v>
      </c>
      <c r="F147" s="3" t="s">
        <v>89</v>
      </c>
      <c r="G147" s="4">
        <v>80</v>
      </c>
      <c r="H147" s="4">
        <v>100</v>
      </c>
      <c r="I147" s="4">
        <v>100</v>
      </c>
      <c r="J147" s="4" t="s">
        <v>8</v>
      </c>
      <c r="K147" s="4" t="s">
        <v>7</v>
      </c>
      <c r="L147" s="11"/>
      <c r="M147" s="3"/>
      <c r="N147"/>
      <c r="O147" s="4"/>
      <c r="P147" s="1"/>
      <c r="Q147" s="22"/>
      <c r="R147" t="s">
        <v>88</v>
      </c>
      <c r="S147" s="11"/>
    </row>
    <row r="148" spans="2:19" x14ac:dyDescent="0.25">
      <c r="B148" s="4">
        <v>20008305</v>
      </c>
      <c r="C148" s="1" t="s">
        <v>1258</v>
      </c>
      <c r="D148" s="4" t="s">
        <v>86</v>
      </c>
      <c r="E148" s="3"/>
      <c r="F148" s="3" t="s">
        <v>68</v>
      </c>
      <c r="G148" s="4">
        <v>6</v>
      </c>
      <c r="H148" s="4">
        <v>3</v>
      </c>
      <c r="I148" s="4">
        <v>7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/>
      <c r="S148" s="11"/>
    </row>
    <row r="149" spans="2:19" x14ac:dyDescent="0.25">
      <c r="B149" s="4">
        <v>20009194</v>
      </c>
      <c r="C149" s="1" t="s">
        <v>33</v>
      </c>
      <c r="D149" s="4" t="s">
        <v>86</v>
      </c>
      <c r="E149" s="3" t="s">
        <v>87</v>
      </c>
      <c r="F149" s="3" t="s">
        <v>89</v>
      </c>
      <c r="G149" s="4">
        <v>32</v>
      </c>
      <c r="H149" s="4">
        <v>64</v>
      </c>
      <c r="I149" s="4">
        <v>82</v>
      </c>
      <c r="J149" s="4" t="s">
        <v>8</v>
      </c>
      <c r="K149" s="4" t="s">
        <v>7</v>
      </c>
      <c r="L149" s="11"/>
      <c r="M149" s="3"/>
      <c r="N149"/>
      <c r="O149" s="4"/>
      <c r="P149" s="1"/>
      <c r="Q149" s="22"/>
      <c r="R149" t="s">
        <v>88</v>
      </c>
      <c r="S149" s="11"/>
    </row>
    <row r="150" spans="2:19" x14ac:dyDescent="0.25">
      <c r="B150" s="4">
        <v>20009196</v>
      </c>
      <c r="C150" s="1" t="s">
        <v>160</v>
      </c>
      <c r="D150" s="4" t="s">
        <v>86</v>
      </c>
      <c r="E150" s="3" t="s">
        <v>87</v>
      </c>
      <c r="F150" s="3" t="s">
        <v>89</v>
      </c>
      <c r="G150" s="4">
        <v>50</v>
      </c>
      <c r="H150" s="4">
        <v>100</v>
      </c>
      <c r="I150" s="4">
        <v>51</v>
      </c>
      <c r="J150" s="4" t="s">
        <v>8</v>
      </c>
      <c r="K150" s="4" t="s">
        <v>7</v>
      </c>
      <c r="L150" s="11">
        <v>1002671085</v>
      </c>
      <c r="M150" s="3">
        <v>100</v>
      </c>
      <c r="N150"/>
      <c r="O150" s="4"/>
      <c r="P150" s="1"/>
      <c r="Q150" s="22"/>
      <c r="R150" t="s">
        <v>88</v>
      </c>
      <c r="S150" s="11"/>
    </row>
    <row r="151" spans="2:19" x14ac:dyDescent="0.25">
      <c r="B151" s="4">
        <v>20009224</v>
      </c>
      <c r="C151" s="1" t="s">
        <v>161</v>
      </c>
      <c r="D151" s="4" t="s">
        <v>86</v>
      </c>
      <c r="E151" s="3" t="s">
        <v>87</v>
      </c>
      <c r="F151" s="3" t="s">
        <v>89</v>
      </c>
      <c r="G151" s="4">
        <v>30</v>
      </c>
      <c r="H151" s="4">
        <v>50</v>
      </c>
      <c r="I151" s="4">
        <v>59</v>
      </c>
      <c r="J151" s="4" t="s">
        <v>8</v>
      </c>
      <c r="K151" s="4" t="s">
        <v>7</v>
      </c>
      <c r="L151" s="11"/>
      <c r="M151" s="3"/>
      <c r="N151"/>
      <c r="O151" s="4"/>
      <c r="P151" s="1"/>
      <c r="Q151" s="22"/>
      <c r="R151" t="s">
        <v>88</v>
      </c>
      <c r="S151" s="11"/>
    </row>
    <row r="152" spans="2:19" x14ac:dyDescent="0.25">
      <c r="B152" s="4">
        <v>20008985</v>
      </c>
      <c r="C152" s="1" t="s">
        <v>361</v>
      </c>
      <c r="D152" s="4" t="s">
        <v>86</v>
      </c>
      <c r="E152" s="3"/>
      <c r="F152" s="3" t="s">
        <v>68</v>
      </c>
      <c r="G152" s="4">
        <v>20</v>
      </c>
      <c r="H152" s="15">
        <v>20</v>
      </c>
      <c r="I152" s="4">
        <v>27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/>
      <c r="S152" s="11"/>
    </row>
    <row r="153" spans="2:19" x14ac:dyDescent="0.25">
      <c r="B153" s="4">
        <v>20009231</v>
      </c>
      <c r="C153" s="1" t="s">
        <v>162</v>
      </c>
      <c r="D153" s="4" t="s">
        <v>86</v>
      </c>
      <c r="E153" s="3" t="s">
        <v>87</v>
      </c>
      <c r="F153" s="3" t="s">
        <v>89</v>
      </c>
      <c r="G153" s="4">
        <v>30</v>
      </c>
      <c r="H153" s="4">
        <v>50</v>
      </c>
      <c r="I153" s="4">
        <v>18</v>
      </c>
      <c r="J153" s="4" t="s">
        <v>8</v>
      </c>
      <c r="K153" s="4" t="s">
        <v>9</v>
      </c>
      <c r="L153" s="11">
        <v>1002667096</v>
      </c>
      <c r="M153" s="3"/>
      <c r="N153"/>
      <c r="O153" s="4"/>
      <c r="P153" s="1"/>
      <c r="Q153" s="22"/>
      <c r="R153" t="s">
        <v>88</v>
      </c>
      <c r="S153" s="11"/>
    </row>
    <row r="154" spans="2:19" x14ac:dyDescent="0.25">
      <c r="B154" s="4">
        <v>20009248</v>
      </c>
      <c r="C154" s="1" t="s">
        <v>163</v>
      </c>
      <c r="D154" s="4" t="s">
        <v>86</v>
      </c>
      <c r="E154" s="3" t="s">
        <v>87</v>
      </c>
      <c r="F154" s="3" t="s">
        <v>89</v>
      </c>
      <c r="G154" s="4">
        <v>200</v>
      </c>
      <c r="H154" s="4">
        <v>200</v>
      </c>
      <c r="I154" s="4">
        <v>2</v>
      </c>
      <c r="J154" s="4" t="s">
        <v>8</v>
      </c>
      <c r="K154" s="4" t="s">
        <v>9</v>
      </c>
      <c r="L154" s="11"/>
      <c r="M154" s="3"/>
      <c r="N154">
        <v>4502699125</v>
      </c>
      <c r="O154" s="4">
        <v>400</v>
      </c>
      <c r="P154" s="1" t="s">
        <v>1621</v>
      </c>
      <c r="Q154" s="22">
        <v>46218</v>
      </c>
      <c r="R154" t="s">
        <v>88</v>
      </c>
      <c r="S154" s="11"/>
    </row>
    <row r="155" spans="2:19" x14ac:dyDescent="0.25">
      <c r="B155" s="4">
        <v>20009104</v>
      </c>
      <c r="C155" s="1" t="s">
        <v>1572</v>
      </c>
      <c r="D155" s="4" t="s">
        <v>86</v>
      </c>
      <c r="E155" s="3"/>
      <c r="F155" s="3" t="s">
        <v>68</v>
      </c>
      <c r="G155" s="4">
        <v>50</v>
      </c>
      <c r="H155" s="4">
        <v>100</v>
      </c>
      <c r="I155" s="4">
        <v>20</v>
      </c>
      <c r="J155" s="4" t="s">
        <v>8</v>
      </c>
      <c r="K155" s="4" t="s">
        <v>9</v>
      </c>
      <c r="L155" s="11"/>
      <c r="M155" s="3"/>
      <c r="N155">
        <v>4502699125</v>
      </c>
      <c r="O155" s="4">
        <v>100</v>
      </c>
      <c r="P155" s="1" t="s">
        <v>1621</v>
      </c>
      <c r="Q155" s="22">
        <v>46218</v>
      </c>
      <c r="R155"/>
      <c r="S155" s="11"/>
    </row>
    <row r="156" spans="2:19" x14ac:dyDescent="0.25">
      <c r="B156" s="4">
        <v>20009261</v>
      </c>
      <c r="C156" s="1" t="s">
        <v>164</v>
      </c>
      <c r="D156" s="4" t="s">
        <v>86</v>
      </c>
      <c r="E156" s="3" t="s">
        <v>87</v>
      </c>
      <c r="F156" s="3" t="s">
        <v>89</v>
      </c>
      <c r="G156" s="4">
        <v>20</v>
      </c>
      <c r="H156" s="4">
        <v>50</v>
      </c>
      <c r="I156" s="4">
        <v>81</v>
      </c>
      <c r="J156" s="4" t="s">
        <v>8</v>
      </c>
      <c r="K156" s="4" t="s">
        <v>14</v>
      </c>
      <c r="L156" s="11"/>
      <c r="M156" s="3"/>
      <c r="N156"/>
      <c r="O156" s="4"/>
      <c r="P156" s="1"/>
      <c r="Q156" s="22"/>
      <c r="R156" t="s">
        <v>88</v>
      </c>
      <c r="S156" s="11"/>
    </row>
    <row r="157" spans="2:19" x14ac:dyDescent="0.25">
      <c r="B157" s="4">
        <v>20009266</v>
      </c>
      <c r="C157" s="1" t="s">
        <v>165</v>
      </c>
      <c r="D157" s="4" t="s">
        <v>86</v>
      </c>
      <c r="E157" s="3" t="s">
        <v>87</v>
      </c>
      <c r="F157" s="3" t="s">
        <v>89</v>
      </c>
      <c r="G157" s="4">
        <v>7</v>
      </c>
      <c r="H157" s="4">
        <v>14</v>
      </c>
      <c r="I157" s="4">
        <v>72</v>
      </c>
      <c r="J157" s="4" t="s">
        <v>8</v>
      </c>
      <c r="K157" s="4" t="s">
        <v>14</v>
      </c>
      <c r="L157" s="11"/>
      <c r="M157" s="3"/>
      <c r="N157"/>
      <c r="O157" s="4"/>
      <c r="P157" s="1"/>
      <c r="Q157" s="22"/>
      <c r="R157" t="s">
        <v>88</v>
      </c>
      <c r="S157" s="11"/>
    </row>
    <row r="158" spans="2:19" x14ac:dyDescent="0.25">
      <c r="B158" s="4">
        <v>20009278</v>
      </c>
      <c r="C158" s="1" t="s">
        <v>166</v>
      </c>
      <c r="D158" s="4" t="s">
        <v>86</v>
      </c>
      <c r="E158" s="3" t="s">
        <v>87</v>
      </c>
      <c r="F158" s="3" t="s">
        <v>89</v>
      </c>
      <c r="G158" s="4">
        <v>50</v>
      </c>
      <c r="H158" s="4">
        <v>100</v>
      </c>
      <c r="I158" s="4">
        <v>65</v>
      </c>
      <c r="J158" s="4" t="s">
        <v>8</v>
      </c>
      <c r="K158" s="4" t="s">
        <v>7</v>
      </c>
      <c r="L158" s="11"/>
      <c r="M158" s="3"/>
      <c r="N158"/>
      <c r="O158" s="4"/>
      <c r="P158" s="1"/>
      <c r="Q158" s="22"/>
      <c r="R158" t="s">
        <v>88</v>
      </c>
      <c r="S158" s="11"/>
    </row>
    <row r="159" spans="2:19" x14ac:dyDescent="0.25">
      <c r="B159" s="4">
        <v>20009440</v>
      </c>
      <c r="C159" s="1" t="s">
        <v>167</v>
      </c>
      <c r="D159" s="4" t="s">
        <v>86</v>
      </c>
      <c r="E159" s="3" t="s">
        <v>87</v>
      </c>
      <c r="F159" s="3" t="s">
        <v>89</v>
      </c>
      <c r="G159" s="4">
        <v>80</v>
      </c>
      <c r="H159" s="4">
        <v>100</v>
      </c>
      <c r="I159" s="4">
        <v>138</v>
      </c>
      <c r="J159" s="4" t="s">
        <v>8</v>
      </c>
      <c r="K159" s="4" t="s">
        <v>7</v>
      </c>
      <c r="L159" s="11"/>
      <c r="M159" s="3"/>
      <c r="N159"/>
      <c r="O159" s="4"/>
      <c r="P159" s="1"/>
      <c r="Q159" s="22"/>
      <c r="R159" t="s">
        <v>88</v>
      </c>
      <c r="S159" s="11"/>
    </row>
    <row r="160" spans="2:19" x14ac:dyDescent="0.25">
      <c r="B160" s="4">
        <v>20009470</v>
      </c>
      <c r="C160" s="1" t="s">
        <v>168</v>
      </c>
      <c r="D160" s="4" t="s">
        <v>86</v>
      </c>
      <c r="E160" s="3" t="s">
        <v>87</v>
      </c>
      <c r="F160" s="3" t="s">
        <v>89</v>
      </c>
      <c r="G160" s="4">
        <v>30</v>
      </c>
      <c r="H160" s="4">
        <v>50</v>
      </c>
      <c r="I160" s="4">
        <v>156</v>
      </c>
      <c r="J160" s="4" t="s">
        <v>8</v>
      </c>
      <c r="K160" s="4" t="s">
        <v>14</v>
      </c>
      <c r="L160" s="11"/>
      <c r="M160" s="3"/>
      <c r="N160"/>
      <c r="O160" s="16"/>
      <c r="P160" s="75"/>
      <c r="Q160" s="23"/>
      <c r="R160" t="s">
        <v>88</v>
      </c>
      <c r="S160" s="11"/>
    </row>
    <row r="161" spans="2:19" x14ac:dyDescent="0.25">
      <c r="B161" s="4">
        <v>20009512</v>
      </c>
      <c r="C161" s="1" t="s">
        <v>169</v>
      </c>
      <c r="D161" s="4" t="s">
        <v>86</v>
      </c>
      <c r="E161" s="3" t="s">
        <v>87</v>
      </c>
      <c r="F161" s="3" t="s">
        <v>89</v>
      </c>
      <c r="G161" s="4">
        <v>14</v>
      </c>
      <c r="H161" s="4">
        <v>28</v>
      </c>
      <c r="I161" s="4">
        <v>20</v>
      </c>
      <c r="J161" s="4" t="s">
        <v>8</v>
      </c>
      <c r="K161" s="4" t="s">
        <v>7</v>
      </c>
      <c r="L161" s="11">
        <v>1002673992</v>
      </c>
      <c r="M161" s="3">
        <v>28</v>
      </c>
      <c r="N161"/>
      <c r="O161" s="4"/>
      <c r="P161" s="1"/>
      <c r="Q161" s="22"/>
      <c r="R161" t="s">
        <v>88</v>
      </c>
      <c r="S161" s="11"/>
    </row>
    <row r="162" spans="2:19" x14ac:dyDescent="0.25">
      <c r="B162" s="4">
        <v>20009543</v>
      </c>
      <c r="C162" s="1" t="s">
        <v>170</v>
      </c>
      <c r="D162" s="4" t="s">
        <v>86</v>
      </c>
      <c r="E162" s="3" t="s">
        <v>87</v>
      </c>
      <c r="F162" s="3" t="s">
        <v>89</v>
      </c>
      <c r="G162" s="4">
        <v>50</v>
      </c>
      <c r="H162" s="4">
        <v>30</v>
      </c>
      <c r="I162" s="4">
        <v>60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88</v>
      </c>
      <c r="S162" s="11"/>
    </row>
    <row r="163" spans="2:19" x14ac:dyDescent="0.25">
      <c r="B163" s="4">
        <v>20009279</v>
      </c>
      <c r="C163" s="1" t="s">
        <v>1380</v>
      </c>
      <c r="D163" s="4" t="s">
        <v>86</v>
      </c>
      <c r="E163" s="3"/>
      <c r="F163" s="3" t="s">
        <v>68</v>
      </c>
      <c r="G163" s="4">
        <v>30</v>
      </c>
      <c r="H163" s="4">
        <v>60</v>
      </c>
      <c r="I163" s="4">
        <v>54</v>
      </c>
      <c r="J163" s="4" t="s">
        <v>8</v>
      </c>
      <c r="K163" s="4" t="s">
        <v>7</v>
      </c>
      <c r="L163" s="11"/>
      <c r="M163" s="3"/>
      <c r="N163"/>
      <c r="O163" s="4"/>
      <c r="P163" s="1"/>
      <c r="Q163" s="22"/>
      <c r="R163"/>
      <c r="S163" s="11"/>
    </row>
    <row r="164" spans="2:19" x14ac:dyDescent="0.25">
      <c r="B164" s="4">
        <v>20009671</v>
      </c>
      <c r="C164" s="1" t="s">
        <v>171</v>
      </c>
      <c r="D164" s="4" t="s">
        <v>86</v>
      </c>
      <c r="E164" s="3" t="s">
        <v>87</v>
      </c>
      <c r="F164" s="3" t="s">
        <v>89</v>
      </c>
      <c r="G164" s="4">
        <v>70</v>
      </c>
      <c r="H164" s="4">
        <v>100</v>
      </c>
      <c r="I164" s="4">
        <v>74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88</v>
      </c>
      <c r="S164" s="11"/>
    </row>
    <row r="165" spans="2:19" x14ac:dyDescent="0.25">
      <c r="B165" s="4">
        <v>20009690</v>
      </c>
      <c r="C165" s="1" t="s">
        <v>172</v>
      </c>
      <c r="D165" s="4" t="s">
        <v>86</v>
      </c>
      <c r="E165" s="3" t="s">
        <v>87</v>
      </c>
      <c r="F165" s="3" t="s">
        <v>89</v>
      </c>
      <c r="G165" s="4">
        <v>41</v>
      </c>
      <c r="H165" s="4">
        <v>82</v>
      </c>
      <c r="I165" s="4">
        <v>283</v>
      </c>
      <c r="J165" s="4" t="s">
        <v>8</v>
      </c>
      <c r="K165" s="4" t="s">
        <v>14</v>
      </c>
      <c r="L165" s="11"/>
      <c r="M165" s="3"/>
      <c r="N165"/>
      <c r="O165" s="4"/>
      <c r="P165" s="1"/>
      <c r="Q165" s="22"/>
      <c r="R165" t="s">
        <v>88</v>
      </c>
      <c r="S165" s="11"/>
    </row>
    <row r="166" spans="2:19" x14ac:dyDescent="0.25">
      <c r="B166" s="4">
        <v>20009697</v>
      </c>
      <c r="C166" s="1" t="s">
        <v>173</v>
      </c>
      <c r="D166" s="4" t="s">
        <v>86</v>
      </c>
      <c r="E166" s="3" t="s">
        <v>87</v>
      </c>
      <c r="F166" s="3" t="s">
        <v>89</v>
      </c>
      <c r="G166" s="4">
        <v>50</v>
      </c>
      <c r="H166" s="4">
        <v>100</v>
      </c>
      <c r="I166" s="4">
        <v>48</v>
      </c>
      <c r="J166" s="4" t="s">
        <v>8</v>
      </c>
      <c r="K166" s="4" t="s">
        <v>9</v>
      </c>
      <c r="L166" s="11"/>
      <c r="M166" s="3"/>
      <c r="N166">
        <v>4502692382</v>
      </c>
      <c r="O166" s="4">
        <v>100</v>
      </c>
      <c r="P166" s="1" t="s">
        <v>1396</v>
      </c>
      <c r="Q166" s="22">
        <v>46223</v>
      </c>
      <c r="R166" t="s">
        <v>88</v>
      </c>
      <c r="S166" s="11"/>
    </row>
    <row r="167" spans="2:19" x14ac:dyDescent="0.25">
      <c r="B167" s="4">
        <v>20010594</v>
      </c>
      <c r="C167" s="1" t="s">
        <v>174</v>
      </c>
      <c r="D167" s="4" t="s">
        <v>86</v>
      </c>
      <c r="E167" s="3" t="s">
        <v>87</v>
      </c>
      <c r="F167" s="3" t="s">
        <v>89</v>
      </c>
      <c r="G167" s="4">
        <v>10</v>
      </c>
      <c r="H167" s="4">
        <v>20</v>
      </c>
      <c r="I167" s="4">
        <v>27</v>
      </c>
      <c r="J167" s="4" t="s">
        <v>8</v>
      </c>
      <c r="K167" s="4" t="s">
        <v>7</v>
      </c>
      <c r="L167" s="11"/>
      <c r="M167" s="3"/>
      <c r="N167"/>
      <c r="O167" s="4"/>
      <c r="P167" s="1"/>
      <c r="Q167" s="22"/>
      <c r="R167" t="s">
        <v>88</v>
      </c>
      <c r="S167" s="11"/>
    </row>
    <row r="168" spans="2:19" x14ac:dyDescent="0.25">
      <c r="B168" s="4">
        <v>20009586</v>
      </c>
      <c r="C168" s="1" t="s">
        <v>1278</v>
      </c>
      <c r="D168" s="4" t="s">
        <v>86</v>
      </c>
      <c r="E168" s="3"/>
      <c r="F168" s="3" t="s">
        <v>68</v>
      </c>
      <c r="G168" s="4">
        <v>1000</v>
      </c>
      <c r="H168" s="4">
        <v>2000</v>
      </c>
      <c r="I168" s="4">
        <v>2500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/>
      <c r="S168" s="11"/>
    </row>
    <row r="169" spans="2:19" x14ac:dyDescent="0.25">
      <c r="B169" s="4">
        <v>20009587</v>
      </c>
      <c r="C169" s="1" t="s">
        <v>1279</v>
      </c>
      <c r="D169" s="4" t="s">
        <v>86</v>
      </c>
      <c r="E169" s="3"/>
      <c r="F169" s="3" t="s">
        <v>68</v>
      </c>
      <c r="G169" s="4">
        <v>1000</v>
      </c>
      <c r="H169" s="4">
        <v>2000</v>
      </c>
      <c r="I169" s="4">
        <v>1000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/>
      <c r="S169" s="11"/>
    </row>
    <row r="170" spans="2:19" x14ac:dyDescent="0.25">
      <c r="B170" s="4">
        <v>20010751</v>
      </c>
      <c r="C170" s="1" t="s">
        <v>175</v>
      </c>
      <c r="D170" s="4" t="s">
        <v>86</v>
      </c>
      <c r="E170" s="3" t="s">
        <v>87</v>
      </c>
      <c r="F170" s="3" t="s">
        <v>89</v>
      </c>
      <c r="G170" s="4">
        <v>6</v>
      </c>
      <c r="H170" s="4">
        <v>12</v>
      </c>
      <c r="I170" s="4">
        <v>3</v>
      </c>
      <c r="J170" s="4" t="s">
        <v>8</v>
      </c>
      <c r="K170" s="4" t="s">
        <v>9</v>
      </c>
      <c r="L170" s="11" t="s">
        <v>1668</v>
      </c>
      <c r="M170" s="3">
        <v>15</v>
      </c>
      <c r="N170"/>
      <c r="O170" s="4"/>
      <c r="P170" s="1"/>
      <c r="Q170" s="22"/>
      <c r="R170" t="s">
        <v>88</v>
      </c>
      <c r="S170" s="11"/>
    </row>
    <row r="171" spans="2:19" x14ac:dyDescent="0.25">
      <c r="B171" s="4">
        <v>20009588</v>
      </c>
      <c r="C171" s="1" t="s">
        <v>1280</v>
      </c>
      <c r="D171" s="4" t="s">
        <v>86</v>
      </c>
      <c r="E171" s="3"/>
      <c r="F171" s="3" t="s">
        <v>68</v>
      </c>
      <c r="G171" s="4">
        <v>2000</v>
      </c>
      <c r="H171" s="4">
        <v>4000</v>
      </c>
      <c r="I171" s="4">
        <v>2400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</row>
    <row r="172" spans="2:19" x14ac:dyDescent="0.25">
      <c r="B172" s="4">
        <v>20011173</v>
      </c>
      <c r="C172" s="1" t="s">
        <v>53</v>
      </c>
      <c r="D172" s="4" t="s">
        <v>86</v>
      </c>
      <c r="E172" s="3" t="s">
        <v>87</v>
      </c>
      <c r="F172" s="3" t="s">
        <v>89</v>
      </c>
      <c r="G172" s="4">
        <v>8</v>
      </c>
      <c r="H172" s="4">
        <v>10</v>
      </c>
      <c r="I172" s="4">
        <v>6</v>
      </c>
      <c r="J172" s="4" t="s">
        <v>8</v>
      </c>
      <c r="K172" s="4" t="s">
        <v>9</v>
      </c>
      <c r="L172" s="11" t="s">
        <v>1670</v>
      </c>
      <c r="M172" s="3">
        <v>10</v>
      </c>
      <c r="N172"/>
      <c r="O172" s="4"/>
      <c r="P172" s="1"/>
      <c r="Q172" s="22"/>
      <c r="R172" t="s">
        <v>88</v>
      </c>
      <c r="S172" s="11"/>
    </row>
    <row r="173" spans="2:19" x14ac:dyDescent="0.25">
      <c r="B173" s="4">
        <v>20009641</v>
      </c>
      <c r="C173" s="1" t="s">
        <v>1212</v>
      </c>
      <c r="D173" s="4" t="s">
        <v>86</v>
      </c>
      <c r="E173" s="3"/>
      <c r="F173" s="3" t="s">
        <v>68</v>
      </c>
      <c r="G173" s="4">
        <v>5000</v>
      </c>
      <c r="H173" s="4">
        <v>10000</v>
      </c>
      <c r="I173" s="4">
        <v>8150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/>
      <c r="S173" s="11"/>
    </row>
    <row r="174" spans="2:19" x14ac:dyDescent="0.25">
      <c r="B174" s="4">
        <v>20011174</v>
      </c>
      <c r="C174" s="1" t="s">
        <v>54</v>
      </c>
      <c r="D174" s="4" t="s">
        <v>86</v>
      </c>
      <c r="E174" s="3" t="s">
        <v>87</v>
      </c>
      <c r="F174" s="3" t="s">
        <v>89</v>
      </c>
      <c r="G174" s="4">
        <v>3</v>
      </c>
      <c r="H174" s="4">
        <v>7</v>
      </c>
      <c r="I174" s="4">
        <v>12</v>
      </c>
      <c r="J174" s="4" t="s">
        <v>8</v>
      </c>
      <c r="K174" s="4" t="s">
        <v>14</v>
      </c>
      <c r="L174" s="11"/>
      <c r="M174" s="3"/>
      <c r="N174"/>
      <c r="O174" s="4"/>
      <c r="P174" s="1"/>
      <c r="Q174" s="22"/>
      <c r="R174" t="s">
        <v>88</v>
      </c>
      <c r="S174" s="11"/>
    </row>
    <row r="175" spans="2:19" x14ac:dyDescent="0.25">
      <c r="B175" s="4">
        <v>20011177</v>
      </c>
      <c r="C175" s="1" t="s">
        <v>55</v>
      </c>
      <c r="D175" s="4" t="s">
        <v>86</v>
      </c>
      <c r="E175" s="3" t="s">
        <v>87</v>
      </c>
      <c r="F175" s="3" t="s">
        <v>89</v>
      </c>
      <c r="G175" s="4">
        <v>5</v>
      </c>
      <c r="H175" s="4">
        <v>8</v>
      </c>
      <c r="I175" s="4">
        <v>10</v>
      </c>
      <c r="J175" s="4" t="s">
        <v>8</v>
      </c>
      <c r="K175" s="4" t="s">
        <v>7</v>
      </c>
      <c r="L175" s="11"/>
      <c r="M175" s="3"/>
      <c r="N175"/>
      <c r="O175" s="4"/>
      <c r="P175" s="1"/>
      <c r="Q175" s="22"/>
      <c r="R175" t="s">
        <v>88</v>
      </c>
      <c r="S175" s="11"/>
    </row>
    <row r="176" spans="2:19" x14ac:dyDescent="0.25">
      <c r="B176" s="4">
        <v>20011480</v>
      </c>
      <c r="C176" s="1" t="s">
        <v>176</v>
      </c>
      <c r="D176" s="4" t="s">
        <v>86</v>
      </c>
      <c r="E176" s="3" t="s">
        <v>97</v>
      </c>
      <c r="F176" s="3" t="s">
        <v>89</v>
      </c>
      <c r="G176" s="4">
        <v>10</v>
      </c>
      <c r="H176" s="4">
        <v>20</v>
      </c>
      <c r="I176" s="4">
        <v>17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98</v>
      </c>
      <c r="S176" s="11"/>
    </row>
    <row r="177" spans="2:19" x14ac:dyDescent="0.25">
      <c r="B177" s="4">
        <v>20009699</v>
      </c>
      <c r="C177" s="1" t="s">
        <v>1381</v>
      </c>
      <c r="D177" s="4" t="s">
        <v>86</v>
      </c>
      <c r="E177" s="3"/>
      <c r="F177" s="3" t="s">
        <v>68</v>
      </c>
      <c r="G177" s="4">
        <v>30</v>
      </c>
      <c r="H177" s="4">
        <v>60</v>
      </c>
      <c r="I177" s="4">
        <v>18</v>
      </c>
      <c r="J177" s="4" t="s">
        <v>8</v>
      </c>
      <c r="K177" s="4" t="s">
        <v>9</v>
      </c>
      <c r="L177" s="11" t="s">
        <v>1668</v>
      </c>
      <c r="M177" s="3">
        <v>72</v>
      </c>
      <c r="N177"/>
      <c r="O177" s="4"/>
      <c r="P177" s="1"/>
      <c r="Q177" s="22"/>
      <c r="R177"/>
      <c r="S177" s="11"/>
    </row>
    <row r="178" spans="2:19" x14ac:dyDescent="0.25">
      <c r="B178" s="4">
        <v>20019648</v>
      </c>
      <c r="C178" s="1" t="s">
        <v>177</v>
      </c>
      <c r="D178" s="4" t="s">
        <v>86</v>
      </c>
      <c r="E178" s="3" t="s">
        <v>97</v>
      </c>
      <c r="F178" s="3" t="s">
        <v>89</v>
      </c>
      <c r="G178" s="4">
        <v>7</v>
      </c>
      <c r="H178" s="4">
        <v>11</v>
      </c>
      <c r="I178" s="4">
        <v>26</v>
      </c>
      <c r="J178" s="4" t="s">
        <v>8</v>
      </c>
      <c r="K178" s="4" t="s">
        <v>14</v>
      </c>
      <c r="L178" s="11"/>
      <c r="M178" s="3"/>
      <c r="N178"/>
      <c r="O178" s="4"/>
      <c r="P178" s="1"/>
      <c r="Q178" s="22"/>
      <c r="R178" t="s">
        <v>98</v>
      </c>
      <c r="S178" s="11"/>
    </row>
    <row r="179" spans="2:19" x14ac:dyDescent="0.25">
      <c r="B179" s="4">
        <v>20009765</v>
      </c>
      <c r="C179" s="1" t="s">
        <v>1490</v>
      </c>
      <c r="D179" s="4" t="s">
        <v>86</v>
      </c>
      <c r="E179" s="3"/>
      <c r="F179" s="3" t="s">
        <v>68</v>
      </c>
      <c r="G179" s="4">
        <v>2</v>
      </c>
      <c r="H179" s="4">
        <v>2</v>
      </c>
      <c r="I179" s="4">
        <v>5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/>
      <c r="S179" s="11"/>
    </row>
    <row r="180" spans="2:19" x14ac:dyDescent="0.25">
      <c r="B180" s="4">
        <v>20011481</v>
      </c>
      <c r="C180" s="1" t="s">
        <v>178</v>
      </c>
      <c r="D180" s="4" t="s">
        <v>86</v>
      </c>
      <c r="E180" s="3" t="s">
        <v>97</v>
      </c>
      <c r="F180" s="3" t="s">
        <v>89</v>
      </c>
      <c r="G180" s="4">
        <v>4</v>
      </c>
      <c r="H180" s="4">
        <v>8</v>
      </c>
      <c r="I180" s="4">
        <v>6</v>
      </c>
      <c r="J180" s="4" t="s">
        <v>8</v>
      </c>
      <c r="K180" s="4" t="s">
        <v>7</v>
      </c>
      <c r="L180" s="11"/>
      <c r="M180" s="3"/>
      <c r="N180"/>
      <c r="O180" s="4"/>
      <c r="P180" s="1"/>
      <c r="Q180" s="22"/>
      <c r="R180" t="s">
        <v>98</v>
      </c>
      <c r="S180" s="11"/>
    </row>
    <row r="181" spans="2:19" x14ac:dyDescent="0.25">
      <c r="B181" s="4">
        <v>20011483</v>
      </c>
      <c r="C181" s="1" t="s">
        <v>179</v>
      </c>
      <c r="D181" s="4" t="s">
        <v>86</v>
      </c>
      <c r="E181" s="3" t="s">
        <v>97</v>
      </c>
      <c r="F181" s="3" t="s">
        <v>89</v>
      </c>
      <c r="G181" s="4">
        <v>5</v>
      </c>
      <c r="H181" s="4">
        <v>8</v>
      </c>
      <c r="I181" s="4">
        <v>9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98</v>
      </c>
      <c r="S181" s="11"/>
    </row>
    <row r="182" spans="2:19" x14ac:dyDescent="0.25">
      <c r="B182" s="4">
        <v>20011519</v>
      </c>
      <c r="C182" s="1" t="s">
        <v>180</v>
      </c>
      <c r="D182" s="4" t="s">
        <v>86</v>
      </c>
      <c r="E182" s="3" t="s">
        <v>129</v>
      </c>
      <c r="F182" s="3" t="s">
        <v>89</v>
      </c>
      <c r="G182" s="4">
        <v>15</v>
      </c>
      <c r="H182" s="4">
        <v>25</v>
      </c>
      <c r="I182" s="4">
        <v>20</v>
      </c>
      <c r="J182" s="4" t="s">
        <v>25</v>
      </c>
      <c r="K182" s="4" t="s">
        <v>7</v>
      </c>
      <c r="L182" s="11"/>
      <c r="M182" s="3"/>
      <c r="N182"/>
      <c r="O182" s="4"/>
      <c r="P182" s="1"/>
      <c r="Q182" s="22"/>
      <c r="R182" t="s">
        <v>130</v>
      </c>
      <c r="S182" s="11"/>
    </row>
    <row r="183" spans="2:19" x14ac:dyDescent="0.25">
      <c r="B183" s="4">
        <v>20011601</v>
      </c>
      <c r="C183" s="1" t="s">
        <v>47</v>
      </c>
      <c r="D183" s="4" t="s">
        <v>86</v>
      </c>
      <c r="E183" s="3" t="s">
        <v>129</v>
      </c>
      <c r="F183" s="3" t="s">
        <v>89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130</v>
      </c>
      <c r="S183" s="11"/>
    </row>
    <row r="184" spans="2:19" x14ac:dyDescent="0.25">
      <c r="B184" s="4">
        <v>20011614</v>
      </c>
      <c r="C184" s="1" t="s">
        <v>181</v>
      </c>
      <c r="D184" s="4" t="s">
        <v>86</v>
      </c>
      <c r="E184" s="3" t="s">
        <v>129</v>
      </c>
      <c r="F184" s="3" t="s">
        <v>89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130</v>
      </c>
      <c r="S184" s="11"/>
    </row>
    <row r="185" spans="2:19" x14ac:dyDescent="0.25">
      <c r="B185" s="4">
        <v>20011281</v>
      </c>
      <c r="C185" s="1" t="s">
        <v>1270</v>
      </c>
      <c r="D185" s="4" t="s">
        <v>86</v>
      </c>
      <c r="E185" s="3"/>
      <c r="F185" s="3" t="s">
        <v>68</v>
      </c>
      <c r="G185" s="4">
        <v>15</v>
      </c>
      <c r="H185" s="4">
        <v>20</v>
      </c>
      <c r="I185" s="4">
        <v>2</v>
      </c>
      <c r="J185" s="4" t="s">
        <v>8</v>
      </c>
      <c r="K185" s="4" t="s">
        <v>9</v>
      </c>
      <c r="L185" s="11">
        <v>1002673992</v>
      </c>
      <c r="M185" s="3">
        <v>20</v>
      </c>
      <c r="N185"/>
      <c r="O185" s="4"/>
      <c r="P185" s="1"/>
      <c r="Q185" s="22"/>
      <c r="R185"/>
      <c r="S185" s="11"/>
    </row>
    <row r="186" spans="2:19" x14ac:dyDescent="0.25">
      <c r="B186" s="4">
        <v>20011723</v>
      </c>
      <c r="C186" s="1" t="s">
        <v>182</v>
      </c>
      <c r="D186" s="4" t="s">
        <v>86</v>
      </c>
      <c r="E186" s="3" t="s">
        <v>87</v>
      </c>
      <c r="F186" s="3" t="s">
        <v>102</v>
      </c>
      <c r="G186" s="4">
        <v>2</v>
      </c>
      <c r="H186" s="4">
        <v>4</v>
      </c>
      <c r="I186" s="4">
        <v>3</v>
      </c>
      <c r="J186" s="4" t="s">
        <v>8</v>
      </c>
      <c r="K186" s="4" t="s">
        <v>7</v>
      </c>
      <c r="L186" s="11"/>
      <c r="M186" s="3"/>
      <c r="N186"/>
      <c r="O186" s="4"/>
      <c r="P186" s="1"/>
      <c r="Q186" s="22"/>
      <c r="R186" t="s">
        <v>88</v>
      </c>
      <c r="S186" s="11"/>
    </row>
    <row r="187" spans="2:19" x14ac:dyDescent="0.25">
      <c r="B187" s="4">
        <v>20011297</v>
      </c>
      <c r="C187" s="1" t="s">
        <v>1271</v>
      </c>
      <c r="D187" s="4" t="s">
        <v>86</v>
      </c>
      <c r="E187" s="3"/>
      <c r="F187" s="3" t="s">
        <v>68</v>
      </c>
      <c r="G187" s="4">
        <v>15</v>
      </c>
      <c r="H187" s="4">
        <v>20</v>
      </c>
      <c r="I187" s="4">
        <v>16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/>
      <c r="S187" s="11"/>
    </row>
    <row r="188" spans="2:19" x14ac:dyDescent="0.25">
      <c r="B188" s="4">
        <v>20011819</v>
      </c>
      <c r="C188" s="1" t="s">
        <v>183</v>
      </c>
      <c r="D188" s="4" t="s">
        <v>86</v>
      </c>
      <c r="E188" s="3" t="s">
        <v>87</v>
      </c>
      <c r="F188" s="3" t="s">
        <v>89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88</v>
      </c>
      <c r="S188" s="11"/>
    </row>
    <row r="189" spans="2:19" x14ac:dyDescent="0.25">
      <c r="B189" s="4">
        <v>20011843</v>
      </c>
      <c r="C189" s="1" t="s">
        <v>184</v>
      </c>
      <c r="D189" s="4" t="s">
        <v>86</v>
      </c>
      <c r="E189" s="3" t="s">
        <v>87</v>
      </c>
      <c r="F189" s="3" t="s">
        <v>89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88</v>
      </c>
      <c r="S189" s="11"/>
    </row>
    <row r="190" spans="2:19" x14ac:dyDescent="0.25">
      <c r="B190" s="4">
        <v>20011891</v>
      </c>
      <c r="C190" s="1" t="s">
        <v>1372</v>
      </c>
      <c r="D190" s="4" t="s">
        <v>86</v>
      </c>
      <c r="E190" s="3"/>
      <c r="F190" s="3" t="s">
        <v>89</v>
      </c>
      <c r="G190" s="4">
        <v>55</v>
      </c>
      <c r="H190" s="4">
        <v>100</v>
      </c>
      <c r="I190" s="4">
        <v>57</v>
      </c>
      <c r="J190" s="4" t="s">
        <v>8</v>
      </c>
      <c r="K190" s="4" t="s">
        <v>7</v>
      </c>
      <c r="L190" s="11"/>
      <c r="M190" s="3"/>
      <c r="N190">
        <v>4502699208</v>
      </c>
      <c r="O190" s="4">
        <v>100</v>
      </c>
      <c r="P190" s="1" t="s">
        <v>1659</v>
      </c>
      <c r="Q190" s="22">
        <v>46216</v>
      </c>
      <c r="R190" t="s">
        <v>113</v>
      </c>
      <c r="S190" s="11"/>
    </row>
    <row r="191" spans="2:19" x14ac:dyDescent="0.25">
      <c r="B191" s="4">
        <v>20011612</v>
      </c>
      <c r="C191" s="1" t="s">
        <v>1382</v>
      </c>
      <c r="D191" s="4" t="s">
        <v>86</v>
      </c>
      <c r="E191" s="3"/>
      <c r="F191" s="3" t="s">
        <v>68</v>
      </c>
      <c r="G191" s="4">
        <v>12</v>
      </c>
      <c r="H191" s="4">
        <v>40</v>
      </c>
      <c r="I191" s="4">
        <v>40</v>
      </c>
      <c r="J191" s="4" t="s">
        <v>25</v>
      </c>
      <c r="K191" s="4" t="s">
        <v>7</v>
      </c>
      <c r="L191" s="11"/>
      <c r="M191" s="3"/>
      <c r="N191"/>
      <c r="O191" s="4"/>
      <c r="P191" s="1"/>
      <c r="Q191" s="22"/>
      <c r="R191"/>
      <c r="S191" s="11"/>
    </row>
    <row r="192" spans="2:19" x14ac:dyDescent="0.25">
      <c r="B192" s="4">
        <v>20011895</v>
      </c>
      <c r="C192" s="1" t="s">
        <v>185</v>
      </c>
      <c r="D192" s="4" t="s">
        <v>86</v>
      </c>
      <c r="E192" s="3"/>
      <c r="F192" s="3" t="s">
        <v>89</v>
      </c>
      <c r="G192" s="4">
        <v>50</v>
      </c>
      <c r="H192" s="4">
        <v>150</v>
      </c>
      <c r="I192" s="4">
        <v>14</v>
      </c>
      <c r="J192" s="4" t="s">
        <v>8</v>
      </c>
      <c r="K192" s="4" t="s">
        <v>9</v>
      </c>
      <c r="L192" s="11"/>
      <c r="M192" s="3"/>
      <c r="N192">
        <v>4502699118</v>
      </c>
      <c r="O192" s="4">
        <v>50</v>
      </c>
      <c r="P192" s="1" t="s">
        <v>1637</v>
      </c>
      <c r="Q192" s="22">
        <v>46237</v>
      </c>
      <c r="R192" t="s">
        <v>113</v>
      </c>
      <c r="S192" s="11"/>
    </row>
    <row r="193" spans="2:19" x14ac:dyDescent="0.25">
      <c r="B193" s="4">
        <v>20011900</v>
      </c>
      <c r="C193" s="1" t="s">
        <v>186</v>
      </c>
      <c r="D193" s="4" t="s">
        <v>86</v>
      </c>
      <c r="E193" s="3" t="s">
        <v>87</v>
      </c>
      <c r="F193" s="3" t="s">
        <v>89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88</v>
      </c>
      <c r="S193" s="11"/>
    </row>
    <row r="194" spans="2:19" x14ac:dyDescent="0.25">
      <c r="B194" s="4">
        <v>20011926</v>
      </c>
      <c r="C194" s="1" t="s">
        <v>1362</v>
      </c>
      <c r="D194" s="4" t="s">
        <v>86</v>
      </c>
      <c r="E194" s="3" t="s">
        <v>87</v>
      </c>
      <c r="F194" s="3" t="s">
        <v>89</v>
      </c>
      <c r="G194" s="4">
        <v>6</v>
      </c>
      <c r="H194" s="4">
        <v>10</v>
      </c>
      <c r="I194" s="4">
        <v>12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88</v>
      </c>
      <c r="S194" s="11"/>
    </row>
    <row r="195" spans="2:19" x14ac:dyDescent="0.25">
      <c r="B195" s="4">
        <v>20011928</v>
      </c>
      <c r="C195" s="1" t="s">
        <v>187</v>
      </c>
      <c r="D195" s="4" t="s">
        <v>86</v>
      </c>
      <c r="E195" s="3"/>
      <c r="F195" s="3" t="s">
        <v>89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113</v>
      </c>
      <c r="S195" s="11"/>
    </row>
    <row r="196" spans="2:19" x14ac:dyDescent="0.25">
      <c r="B196" s="4">
        <v>20011934</v>
      </c>
      <c r="C196" s="1" t="s">
        <v>188</v>
      </c>
      <c r="D196" s="4" t="s">
        <v>86</v>
      </c>
      <c r="E196" s="3"/>
      <c r="F196" s="3" t="s">
        <v>89</v>
      </c>
      <c r="G196" s="4">
        <v>120</v>
      </c>
      <c r="H196" s="4">
        <v>200</v>
      </c>
      <c r="I196" s="4">
        <v>200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113</v>
      </c>
      <c r="S196" s="11"/>
    </row>
    <row r="197" spans="2:19" x14ac:dyDescent="0.25">
      <c r="B197" s="4">
        <v>20011957</v>
      </c>
      <c r="C197" s="1" t="s">
        <v>189</v>
      </c>
      <c r="D197" s="4" t="s">
        <v>86</v>
      </c>
      <c r="E197" s="3" t="s">
        <v>87</v>
      </c>
      <c r="F197" s="3" t="s">
        <v>89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 t="s">
        <v>1624</v>
      </c>
      <c r="M197" s="3"/>
      <c r="N197"/>
      <c r="O197" s="4"/>
      <c r="P197" s="1"/>
      <c r="Q197" s="22"/>
      <c r="R197" t="s">
        <v>190</v>
      </c>
      <c r="S197" s="11" t="s">
        <v>1581</v>
      </c>
    </row>
    <row r="198" spans="2:19" x14ac:dyDescent="0.25">
      <c r="B198" s="4">
        <v>20012096</v>
      </c>
      <c r="C198" s="1" t="s">
        <v>191</v>
      </c>
      <c r="D198" s="4" t="s">
        <v>86</v>
      </c>
      <c r="E198" s="3"/>
      <c r="F198" s="3" t="s">
        <v>89</v>
      </c>
      <c r="G198" s="4">
        <v>900</v>
      </c>
      <c r="H198" s="4">
        <v>1200</v>
      </c>
      <c r="I198" s="4">
        <v>1980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113</v>
      </c>
      <c r="S198" s="11"/>
    </row>
    <row r="199" spans="2:19" x14ac:dyDescent="0.25">
      <c r="B199" s="4">
        <v>20012114</v>
      </c>
      <c r="C199" s="1" t="s">
        <v>192</v>
      </c>
      <c r="D199" s="4" t="s">
        <v>86</v>
      </c>
      <c r="E199" s="3"/>
      <c r="F199" s="3" t="s">
        <v>89</v>
      </c>
      <c r="G199" s="4">
        <v>7</v>
      </c>
      <c r="H199" s="4">
        <v>14</v>
      </c>
      <c r="I199" s="4">
        <v>17</v>
      </c>
      <c r="J199" s="4" t="s">
        <v>8</v>
      </c>
      <c r="K199" s="4" t="s">
        <v>7</v>
      </c>
      <c r="L199" s="11"/>
      <c r="M199" s="3"/>
      <c r="N199"/>
      <c r="O199" s="4"/>
      <c r="P199" s="1"/>
      <c r="Q199" s="22"/>
      <c r="R199" t="s">
        <v>113</v>
      </c>
      <c r="S199" s="11"/>
    </row>
    <row r="200" spans="2:19" x14ac:dyDescent="0.25">
      <c r="B200" s="4">
        <v>20012171</v>
      </c>
      <c r="C200" s="1" t="s">
        <v>193</v>
      </c>
      <c r="D200" s="4" t="s">
        <v>86</v>
      </c>
      <c r="E200" s="3" t="s">
        <v>97</v>
      </c>
      <c r="F200" s="3" t="s">
        <v>89</v>
      </c>
      <c r="G200" s="4">
        <v>100</v>
      </c>
      <c r="H200" s="4">
        <v>200</v>
      </c>
      <c r="I200" s="4">
        <v>198</v>
      </c>
      <c r="J200" s="4" t="s">
        <v>23</v>
      </c>
      <c r="K200" s="4" t="s">
        <v>7</v>
      </c>
      <c r="L200" s="11"/>
      <c r="M200" s="3"/>
      <c r="N200"/>
      <c r="O200" s="4"/>
      <c r="P200" s="1"/>
      <c r="Q200" s="22"/>
      <c r="R200" t="s">
        <v>98</v>
      </c>
      <c r="S200" s="11"/>
    </row>
    <row r="201" spans="2:19" x14ac:dyDescent="0.25">
      <c r="B201" s="4">
        <v>20011937</v>
      </c>
      <c r="C201" s="1" t="s">
        <v>1407</v>
      </c>
      <c r="D201" s="4" t="s">
        <v>86</v>
      </c>
      <c r="E201" s="3"/>
      <c r="F201" s="3" t="s">
        <v>68</v>
      </c>
      <c r="G201" s="4">
        <v>5</v>
      </c>
      <c r="H201" s="4">
        <v>10</v>
      </c>
      <c r="I201" s="4">
        <v>0</v>
      </c>
      <c r="J201" s="4" t="s">
        <v>24</v>
      </c>
      <c r="K201" s="4" t="s">
        <v>13</v>
      </c>
      <c r="L201" s="11"/>
      <c r="M201" s="3"/>
      <c r="N201">
        <v>4502699199</v>
      </c>
      <c r="O201" s="4">
        <v>10</v>
      </c>
      <c r="P201" s="1" t="s">
        <v>1662</v>
      </c>
      <c r="Q201" s="22">
        <v>46231</v>
      </c>
      <c r="R201"/>
      <c r="S201" s="11"/>
    </row>
    <row r="202" spans="2:19" x14ac:dyDescent="0.25">
      <c r="B202" s="4">
        <v>20012198</v>
      </c>
      <c r="C202" s="1" t="s">
        <v>48</v>
      </c>
      <c r="D202" s="4" t="s">
        <v>86</v>
      </c>
      <c r="E202" s="3" t="s">
        <v>91</v>
      </c>
      <c r="F202" s="3" t="s">
        <v>89</v>
      </c>
      <c r="G202" s="4">
        <v>18</v>
      </c>
      <c r="H202" s="4">
        <v>20</v>
      </c>
      <c r="I202" s="4">
        <v>28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 t="s">
        <v>92</v>
      </c>
      <c r="S202" s="11"/>
    </row>
    <row r="203" spans="2:19" x14ac:dyDescent="0.25">
      <c r="B203" s="4">
        <v>20011953</v>
      </c>
      <c r="C203" s="1" t="s">
        <v>1525</v>
      </c>
      <c r="D203" s="4" t="s">
        <v>86</v>
      </c>
      <c r="E203" s="3"/>
      <c r="F203" s="3" t="s">
        <v>68</v>
      </c>
      <c r="G203" s="4">
        <v>1</v>
      </c>
      <c r="H203" s="4">
        <v>2</v>
      </c>
      <c r="I203" s="4">
        <v>2</v>
      </c>
      <c r="J203" s="4" t="s">
        <v>8</v>
      </c>
      <c r="K203" s="4" t="s">
        <v>7</v>
      </c>
      <c r="L203" s="11"/>
      <c r="M203" s="3"/>
      <c r="N203"/>
      <c r="O203" s="4"/>
      <c r="P203" s="1"/>
      <c r="Q203" s="22"/>
      <c r="R203"/>
      <c r="S203" s="11"/>
    </row>
    <row r="204" spans="2:19" x14ac:dyDescent="0.25">
      <c r="B204" s="4">
        <v>20012262</v>
      </c>
      <c r="C204" s="1" t="s">
        <v>194</v>
      </c>
      <c r="D204" s="4" t="s">
        <v>86</v>
      </c>
      <c r="E204" s="3"/>
      <c r="F204" s="3" t="s">
        <v>89</v>
      </c>
      <c r="G204" s="4">
        <v>20</v>
      </c>
      <c r="H204" s="4">
        <v>20</v>
      </c>
      <c r="I204" s="4">
        <v>18</v>
      </c>
      <c r="J204" s="4" t="s">
        <v>8</v>
      </c>
      <c r="K204" s="4" t="s">
        <v>9</v>
      </c>
      <c r="L204" s="11"/>
      <c r="M204" s="3"/>
      <c r="N204">
        <v>4502699203</v>
      </c>
      <c r="O204" s="4">
        <v>25</v>
      </c>
      <c r="P204" s="1" t="s">
        <v>1659</v>
      </c>
      <c r="Q204" s="22">
        <v>46216</v>
      </c>
      <c r="R204" t="s">
        <v>113</v>
      </c>
      <c r="S204" s="11"/>
    </row>
    <row r="205" spans="2:19" x14ac:dyDescent="0.25">
      <c r="B205" s="4">
        <v>20011956</v>
      </c>
      <c r="C205" s="1" t="s">
        <v>1431</v>
      </c>
      <c r="D205" s="4" t="s">
        <v>86</v>
      </c>
      <c r="E205" s="3"/>
      <c r="F205" s="3" t="s">
        <v>68</v>
      </c>
      <c r="G205" s="4">
        <v>2</v>
      </c>
      <c r="H205" s="4">
        <v>2</v>
      </c>
      <c r="I205" s="4">
        <v>4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/>
      <c r="S205" s="11"/>
    </row>
    <row r="206" spans="2:19" x14ac:dyDescent="0.25">
      <c r="B206" s="4">
        <v>20012263</v>
      </c>
      <c r="C206" s="1" t="s">
        <v>35</v>
      </c>
      <c r="D206" s="4" t="s">
        <v>86</v>
      </c>
      <c r="E206" s="3"/>
      <c r="F206" s="3" t="s">
        <v>89</v>
      </c>
      <c r="G206" s="4">
        <v>30</v>
      </c>
      <c r="H206" s="4">
        <v>50</v>
      </c>
      <c r="I206" s="4">
        <v>20</v>
      </c>
      <c r="J206" s="4" t="s">
        <v>8</v>
      </c>
      <c r="K206" s="4" t="s">
        <v>9</v>
      </c>
      <c r="L206" s="11"/>
      <c r="M206" s="3"/>
      <c r="N206">
        <v>4502699207</v>
      </c>
      <c r="O206" s="4">
        <v>50</v>
      </c>
      <c r="P206" s="1" t="s">
        <v>1659</v>
      </c>
      <c r="Q206" s="22">
        <v>46216</v>
      </c>
      <c r="R206" t="s">
        <v>113</v>
      </c>
      <c r="S206" s="11"/>
    </row>
    <row r="207" spans="2:19" x14ac:dyDescent="0.25">
      <c r="B207" s="4">
        <v>20012284</v>
      </c>
      <c r="C207" s="1" t="s">
        <v>195</v>
      </c>
      <c r="D207" s="4" t="s">
        <v>86</v>
      </c>
      <c r="E207" s="3"/>
      <c r="F207" s="3" t="s">
        <v>89</v>
      </c>
      <c r="G207" s="4">
        <v>10</v>
      </c>
      <c r="H207" s="4">
        <v>20</v>
      </c>
      <c r="I207" s="4">
        <v>32</v>
      </c>
      <c r="J207" s="4" t="s">
        <v>8</v>
      </c>
      <c r="K207" s="4" t="s">
        <v>14</v>
      </c>
      <c r="L207" s="11"/>
      <c r="M207" s="3"/>
      <c r="N207"/>
      <c r="O207" s="4"/>
      <c r="P207" s="1"/>
      <c r="Q207" s="22"/>
      <c r="R207" t="s">
        <v>113</v>
      </c>
      <c r="S207" s="11"/>
    </row>
    <row r="208" spans="2:19" x14ac:dyDescent="0.25">
      <c r="B208" s="4">
        <v>20011962</v>
      </c>
      <c r="C208" s="1" t="s">
        <v>789</v>
      </c>
      <c r="D208" s="4" t="s">
        <v>86</v>
      </c>
      <c r="E208" s="3"/>
      <c r="F208" s="3" t="s">
        <v>68</v>
      </c>
      <c r="G208" s="4">
        <v>3</v>
      </c>
      <c r="H208" s="4">
        <v>5</v>
      </c>
      <c r="I208" s="4">
        <v>2</v>
      </c>
      <c r="J208" s="4" t="s">
        <v>8</v>
      </c>
      <c r="K208" s="4" t="s">
        <v>9</v>
      </c>
      <c r="L208" s="11"/>
      <c r="M208" s="3"/>
      <c r="N208">
        <v>4502666756</v>
      </c>
      <c r="O208" s="4">
        <v>3</v>
      </c>
      <c r="P208" s="1" t="s">
        <v>1576</v>
      </c>
      <c r="Q208" s="22">
        <v>46161</v>
      </c>
      <c r="R208"/>
      <c r="S208" s="11"/>
    </row>
    <row r="209" spans="2:19" x14ac:dyDescent="0.25">
      <c r="B209" s="4">
        <v>20012286</v>
      </c>
      <c r="C209" s="1" t="s">
        <v>196</v>
      </c>
      <c r="D209" s="4" t="s">
        <v>86</v>
      </c>
      <c r="E209" s="3"/>
      <c r="F209" s="3" t="s">
        <v>89</v>
      </c>
      <c r="G209" s="4">
        <v>14</v>
      </c>
      <c r="H209" s="4">
        <v>28</v>
      </c>
      <c r="I209" s="4">
        <v>94</v>
      </c>
      <c r="J209" s="4" t="s">
        <v>8</v>
      </c>
      <c r="K209" s="4" t="s">
        <v>14</v>
      </c>
      <c r="L209" s="11"/>
      <c r="M209" s="3"/>
      <c r="N209"/>
      <c r="O209" s="4"/>
      <c r="P209" s="1"/>
      <c r="Q209" s="22"/>
      <c r="R209" t="s">
        <v>113</v>
      </c>
      <c r="S209" s="11"/>
    </row>
    <row r="210" spans="2:19" x14ac:dyDescent="0.25">
      <c r="B210" s="4">
        <v>20012106</v>
      </c>
      <c r="C210" s="1" t="s">
        <v>1056</v>
      </c>
      <c r="D210" s="4" t="s">
        <v>86</v>
      </c>
      <c r="E210" s="3"/>
      <c r="F210" s="3" t="s">
        <v>68</v>
      </c>
      <c r="G210" s="4">
        <v>100</v>
      </c>
      <c r="H210" s="4">
        <v>100</v>
      </c>
      <c r="I210" s="4">
        <v>50</v>
      </c>
      <c r="J210" s="4" t="s">
        <v>8</v>
      </c>
      <c r="K210" s="4" t="s">
        <v>9</v>
      </c>
      <c r="L210" s="11" t="s">
        <v>1667</v>
      </c>
      <c r="M210" s="3">
        <v>100</v>
      </c>
      <c r="N210"/>
      <c r="O210" s="4"/>
      <c r="P210" s="1"/>
      <c r="Q210" s="22"/>
      <c r="R210"/>
      <c r="S210" s="11"/>
    </row>
    <row r="211" spans="2:19" x14ac:dyDescent="0.25">
      <c r="B211" s="4">
        <v>20012289</v>
      </c>
      <c r="C211" s="1" t="s">
        <v>36</v>
      </c>
      <c r="D211" s="4" t="s">
        <v>86</v>
      </c>
      <c r="E211" s="3"/>
      <c r="F211" s="3" t="s">
        <v>89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113</v>
      </c>
      <c r="S211" s="11"/>
    </row>
    <row r="212" spans="2:19" x14ac:dyDescent="0.25">
      <c r="B212" s="4">
        <v>20012298</v>
      </c>
      <c r="C212" s="1" t="s">
        <v>197</v>
      </c>
      <c r="D212" s="4" t="s">
        <v>86</v>
      </c>
      <c r="E212" s="3"/>
      <c r="F212" s="3" t="s">
        <v>89</v>
      </c>
      <c r="G212" s="4">
        <v>20</v>
      </c>
      <c r="H212" s="4">
        <v>40</v>
      </c>
      <c r="I212" s="4">
        <v>22</v>
      </c>
      <c r="J212" s="4" t="s">
        <v>8</v>
      </c>
      <c r="K212" s="4" t="s">
        <v>7</v>
      </c>
      <c r="L212" s="11">
        <v>1002671085</v>
      </c>
      <c r="M212" s="3">
        <v>40</v>
      </c>
      <c r="N212"/>
      <c r="O212" s="4"/>
      <c r="P212" s="1"/>
      <c r="Q212" s="22"/>
      <c r="R212" t="s">
        <v>113</v>
      </c>
      <c r="S212" s="11"/>
    </row>
    <row r="213" spans="2:19" x14ac:dyDescent="0.25">
      <c r="B213" s="4">
        <v>20012166</v>
      </c>
      <c r="C213" s="1" t="s">
        <v>1108</v>
      </c>
      <c r="D213" s="4" t="s">
        <v>86</v>
      </c>
      <c r="E213" s="3"/>
      <c r="F213" s="3" t="s">
        <v>68</v>
      </c>
      <c r="G213" s="4">
        <v>5</v>
      </c>
      <c r="H213" s="4">
        <v>3</v>
      </c>
      <c r="I213" s="4">
        <v>7</v>
      </c>
      <c r="J213" s="4" t="s">
        <v>24</v>
      </c>
      <c r="K213" s="4" t="s">
        <v>7</v>
      </c>
      <c r="L213" s="11"/>
      <c r="M213" s="3"/>
      <c r="N213"/>
      <c r="O213" s="4"/>
      <c r="P213" s="1"/>
      <c r="Q213" s="22"/>
      <c r="R213"/>
      <c r="S213" s="11"/>
    </row>
    <row r="214" spans="2:19" x14ac:dyDescent="0.25">
      <c r="B214" s="4">
        <v>20012310</v>
      </c>
      <c r="C214" s="1" t="s">
        <v>198</v>
      </c>
      <c r="D214" s="4" t="s">
        <v>86</v>
      </c>
      <c r="E214" s="3"/>
      <c r="F214" s="3" t="s">
        <v>89</v>
      </c>
      <c r="G214" s="4">
        <v>16</v>
      </c>
      <c r="H214" s="4">
        <v>32</v>
      </c>
      <c r="I214" s="4">
        <v>20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 t="s">
        <v>113</v>
      </c>
      <c r="S214" s="11"/>
    </row>
    <row r="215" spans="2:19" x14ac:dyDescent="0.25">
      <c r="B215" s="4">
        <v>20012175</v>
      </c>
      <c r="C215" s="1" t="s">
        <v>1408</v>
      </c>
      <c r="D215" s="4" t="s">
        <v>86</v>
      </c>
      <c r="E215" s="3"/>
      <c r="F215" s="3" t="s">
        <v>68</v>
      </c>
      <c r="G215" s="4">
        <v>4</v>
      </c>
      <c r="H215" s="4">
        <v>4</v>
      </c>
      <c r="I215" s="4">
        <v>4</v>
      </c>
      <c r="J215" s="4" t="s">
        <v>8</v>
      </c>
      <c r="K215" s="4" t="s">
        <v>7</v>
      </c>
      <c r="L215" s="11"/>
      <c r="M215" s="3"/>
      <c r="N215"/>
      <c r="O215" s="4"/>
      <c r="P215" s="1"/>
      <c r="Q215" s="22"/>
      <c r="R215"/>
      <c r="S215" s="11"/>
    </row>
    <row r="216" spans="2:19" x14ac:dyDescent="0.25">
      <c r="B216" s="4">
        <v>20012311</v>
      </c>
      <c r="C216" s="1" t="s">
        <v>199</v>
      </c>
      <c r="D216" s="4" t="s">
        <v>86</v>
      </c>
      <c r="E216" s="3"/>
      <c r="F216" s="3" t="s">
        <v>89</v>
      </c>
      <c r="G216" s="4">
        <v>30</v>
      </c>
      <c r="H216" s="4">
        <v>40</v>
      </c>
      <c r="I216" s="4">
        <v>39</v>
      </c>
      <c r="J216" s="4" t="s">
        <v>8</v>
      </c>
      <c r="K216" s="4" t="s">
        <v>7</v>
      </c>
      <c r="L216" s="11"/>
      <c r="M216" s="3"/>
      <c r="N216"/>
      <c r="O216" s="4"/>
      <c r="P216" s="1"/>
      <c r="Q216" s="22"/>
      <c r="R216" t="s">
        <v>113</v>
      </c>
      <c r="S216" s="11"/>
    </row>
    <row r="217" spans="2:19" x14ac:dyDescent="0.25">
      <c r="B217" s="4">
        <v>20012357</v>
      </c>
      <c r="C217" s="1" t="s">
        <v>200</v>
      </c>
      <c r="D217" s="4" t="s">
        <v>86</v>
      </c>
      <c r="E217" s="3"/>
      <c r="F217" s="3" t="s">
        <v>89</v>
      </c>
      <c r="G217" s="4">
        <v>15</v>
      </c>
      <c r="H217" s="4">
        <v>30</v>
      </c>
      <c r="I217" s="4">
        <v>30</v>
      </c>
      <c r="J217" s="4" t="s">
        <v>8</v>
      </c>
      <c r="K217" s="4" t="s">
        <v>7</v>
      </c>
      <c r="L217" s="11"/>
      <c r="M217" s="3"/>
      <c r="N217"/>
      <c r="O217" s="4"/>
      <c r="P217" s="1"/>
      <c r="Q217" s="22"/>
      <c r="R217" t="s">
        <v>113</v>
      </c>
      <c r="S217" s="11"/>
    </row>
    <row r="218" spans="2:19" x14ac:dyDescent="0.25">
      <c r="B218" s="4">
        <v>20012220</v>
      </c>
      <c r="C218" s="1" t="s">
        <v>1526</v>
      </c>
      <c r="D218" s="4" t="s">
        <v>86</v>
      </c>
      <c r="E218" s="3"/>
      <c r="F218" s="3" t="s">
        <v>68</v>
      </c>
      <c r="G218" s="4">
        <v>416</v>
      </c>
      <c r="H218" s="4">
        <v>208</v>
      </c>
      <c r="I218" s="4">
        <v>416</v>
      </c>
      <c r="J218" s="4" t="s">
        <v>23</v>
      </c>
      <c r="K218" s="4" t="s">
        <v>7</v>
      </c>
      <c r="L218" s="11"/>
      <c r="M218" s="3"/>
      <c r="N218"/>
      <c r="O218" s="4"/>
      <c r="P218" s="1"/>
      <c r="Q218" s="22"/>
      <c r="R218"/>
      <c r="S218" s="11"/>
    </row>
    <row r="219" spans="2:19" x14ac:dyDescent="0.25">
      <c r="B219" s="4">
        <v>20012377</v>
      </c>
      <c r="C219" s="1" t="s">
        <v>37</v>
      </c>
      <c r="D219" s="4" t="s">
        <v>86</v>
      </c>
      <c r="E219" s="3" t="s">
        <v>87</v>
      </c>
      <c r="F219" s="3" t="s">
        <v>89</v>
      </c>
      <c r="G219" s="4">
        <v>4</v>
      </c>
      <c r="H219" s="4">
        <v>8</v>
      </c>
      <c r="I219" s="4">
        <v>6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88</v>
      </c>
      <c r="S219" s="11"/>
    </row>
    <row r="220" spans="2:19" x14ac:dyDescent="0.25">
      <c r="B220" s="4">
        <v>20012383</v>
      </c>
      <c r="C220" s="1" t="s">
        <v>38</v>
      </c>
      <c r="D220" s="4" t="s">
        <v>86</v>
      </c>
      <c r="E220" s="3" t="s">
        <v>87</v>
      </c>
      <c r="F220" s="3" t="s">
        <v>89</v>
      </c>
      <c r="G220" s="4">
        <v>50</v>
      </c>
      <c r="H220" s="4">
        <v>50</v>
      </c>
      <c r="I220" s="4">
        <v>50</v>
      </c>
      <c r="J220" s="4" t="s">
        <v>8</v>
      </c>
      <c r="K220" s="4" t="s">
        <v>7</v>
      </c>
      <c r="L220" s="69"/>
      <c r="M220" s="3"/>
      <c r="N220">
        <v>4502698941</v>
      </c>
      <c r="O220" s="4">
        <v>60</v>
      </c>
      <c r="P220" s="1" t="s">
        <v>1637</v>
      </c>
      <c r="Q220" s="22">
        <v>46223</v>
      </c>
      <c r="R220" t="s">
        <v>88</v>
      </c>
      <c r="S220" s="11"/>
    </row>
    <row r="221" spans="2:19" x14ac:dyDescent="0.25">
      <c r="B221" s="4">
        <v>20012391</v>
      </c>
      <c r="C221" s="1" t="s">
        <v>1273</v>
      </c>
      <c r="D221" s="4" t="s">
        <v>86</v>
      </c>
      <c r="E221" s="3" t="s">
        <v>138</v>
      </c>
      <c r="F221" s="3" t="s">
        <v>89</v>
      </c>
      <c r="G221" s="4">
        <v>4000</v>
      </c>
      <c r="H221" s="4">
        <v>6000</v>
      </c>
      <c r="I221" s="4">
        <v>6500</v>
      </c>
      <c r="J221" s="4" t="s">
        <v>8</v>
      </c>
      <c r="K221" s="4" t="s">
        <v>7</v>
      </c>
      <c r="L221" s="11"/>
      <c r="M221" s="3"/>
      <c r="N221"/>
      <c r="O221" s="4"/>
      <c r="P221" s="1"/>
      <c r="Q221" s="22"/>
      <c r="R221" t="s">
        <v>139</v>
      </c>
      <c r="S221" s="11"/>
    </row>
    <row r="222" spans="2:19" x14ac:dyDescent="0.25">
      <c r="B222" s="4">
        <v>20013228</v>
      </c>
      <c r="C222" s="1" t="s">
        <v>201</v>
      </c>
      <c r="D222" s="4" t="s">
        <v>86</v>
      </c>
      <c r="E222" s="3" t="s">
        <v>87</v>
      </c>
      <c r="F222" s="3" t="s">
        <v>89</v>
      </c>
      <c r="G222" s="4">
        <v>1</v>
      </c>
      <c r="H222" s="4">
        <v>1</v>
      </c>
      <c r="I222" s="4">
        <v>3</v>
      </c>
      <c r="J222" s="4" t="s">
        <v>8</v>
      </c>
      <c r="K222" s="4" t="s">
        <v>14</v>
      </c>
      <c r="L222" s="11"/>
      <c r="M222" s="3"/>
      <c r="N222"/>
      <c r="O222" s="4"/>
      <c r="P222" s="1"/>
      <c r="Q222" s="22"/>
      <c r="R222" t="s">
        <v>88</v>
      </c>
      <c r="S222" s="11"/>
    </row>
    <row r="223" spans="2:19" x14ac:dyDescent="0.25">
      <c r="B223" s="4">
        <v>20012269</v>
      </c>
      <c r="C223" s="1" t="s">
        <v>1568</v>
      </c>
      <c r="D223" s="4" t="s">
        <v>86</v>
      </c>
      <c r="E223" s="3"/>
      <c r="F223" s="3" t="s">
        <v>68</v>
      </c>
      <c r="G223" s="4">
        <v>400</v>
      </c>
      <c r="H223" s="4">
        <v>210</v>
      </c>
      <c r="I223" s="4">
        <v>600</v>
      </c>
      <c r="J223" s="4" t="s">
        <v>25</v>
      </c>
      <c r="K223" s="4" t="s">
        <v>7</v>
      </c>
      <c r="L223" s="11"/>
      <c r="M223" s="3"/>
      <c r="N223"/>
      <c r="O223" s="4"/>
      <c r="P223" s="1"/>
      <c r="Q223" s="22"/>
      <c r="R223"/>
      <c r="S223" s="11"/>
    </row>
    <row r="224" spans="2:19" x14ac:dyDescent="0.25">
      <c r="B224" s="4">
        <v>20013236</v>
      </c>
      <c r="C224" s="1" t="s">
        <v>202</v>
      </c>
      <c r="D224" s="4" t="s">
        <v>86</v>
      </c>
      <c r="E224" s="3" t="s">
        <v>87</v>
      </c>
      <c r="F224" s="3" t="s">
        <v>89</v>
      </c>
      <c r="G224" s="4">
        <v>10</v>
      </c>
      <c r="H224" s="4">
        <v>20</v>
      </c>
      <c r="I224" s="4">
        <v>28</v>
      </c>
      <c r="J224" s="4" t="s">
        <v>8</v>
      </c>
      <c r="K224" s="4" t="s">
        <v>7</v>
      </c>
      <c r="L224" s="11"/>
      <c r="M224" s="3"/>
      <c r="N224"/>
      <c r="O224" s="4"/>
      <c r="P224" s="1"/>
      <c r="Q224" s="22"/>
      <c r="R224" t="s">
        <v>88</v>
      </c>
      <c r="S224" s="11"/>
    </row>
    <row r="225" spans="2:19" x14ac:dyDescent="0.25">
      <c r="B225" s="4">
        <v>20013241</v>
      </c>
      <c r="C225" s="1" t="s">
        <v>203</v>
      </c>
      <c r="D225" s="4" t="s">
        <v>86</v>
      </c>
      <c r="E225" s="3" t="s">
        <v>87</v>
      </c>
      <c r="F225" s="3" t="s">
        <v>89</v>
      </c>
      <c r="G225" s="4">
        <v>2</v>
      </c>
      <c r="H225" s="4">
        <v>2</v>
      </c>
      <c r="I225" s="4">
        <v>20</v>
      </c>
      <c r="J225" s="4" t="s">
        <v>8</v>
      </c>
      <c r="K225" s="4" t="s">
        <v>14</v>
      </c>
      <c r="L225" s="11"/>
      <c r="M225" s="3"/>
      <c r="N225"/>
      <c r="O225" s="4"/>
      <c r="P225" s="1"/>
      <c r="Q225" s="22"/>
      <c r="R225" t="s">
        <v>88</v>
      </c>
      <c r="S225" s="11"/>
    </row>
    <row r="226" spans="2:19" x14ac:dyDescent="0.25">
      <c r="B226" s="4">
        <v>20012285</v>
      </c>
      <c r="C226" s="1" t="s">
        <v>1383</v>
      </c>
      <c r="D226" s="4" t="s">
        <v>86</v>
      </c>
      <c r="E226" s="3"/>
      <c r="F226" s="3" t="s">
        <v>68</v>
      </c>
      <c r="G226" s="4">
        <v>20</v>
      </c>
      <c r="H226" s="4">
        <v>50</v>
      </c>
      <c r="I226" s="4">
        <v>23</v>
      </c>
      <c r="J226" s="4" t="s">
        <v>8</v>
      </c>
      <c r="K226" s="4" t="s">
        <v>7</v>
      </c>
      <c r="L226" s="11"/>
      <c r="M226" s="3"/>
      <c r="N226"/>
      <c r="O226" s="4"/>
      <c r="P226" s="1"/>
      <c r="Q226" s="22"/>
      <c r="R226"/>
      <c r="S226" s="11"/>
    </row>
    <row r="227" spans="2:19" x14ac:dyDescent="0.25">
      <c r="B227" s="4">
        <v>20013400</v>
      </c>
      <c r="C227" s="1" t="s">
        <v>204</v>
      </c>
      <c r="D227" s="4" t="s">
        <v>86</v>
      </c>
      <c r="E227" s="3" t="s">
        <v>118</v>
      </c>
      <c r="F227" s="3" t="s">
        <v>89</v>
      </c>
      <c r="G227" s="4">
        <v>9</v>
      </c>
      <c r="H227" s="4">
        <v>14</v>
      </c>
      <c r="I227" s="4">
        <v>59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156</v>
      </c>
      <c r="S227" s="11"/>
    </row>
    <row r="228" spans="2:19" x14ac:dyDescent="0.25">
      <c r="B228" s="4">
        <v>20013403</v>
      </c>
      <c r="C228" s="1" t="s">
        <v>205</v>
      </c>
      <c r="D228" s="4" t="s">
        <v>86</v>
      </c>
      <c r="E228" s="3" t="s">
        <v>118</v>
      </c>
      <c r="F228" s="3" t="s">
        <v>89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156</v>
      </c>
      <c r="S228" s="11"/>
    </row>
    <row r="229" spans="2:19" x14ac:dyDescent="0.25">
      <c r="B229" s="4">
        <v>20013409</v>
      </c>
      <c r="C229" s="1" t="s">
        <v>206</v>
      </c>
      <c r="D229" s="4" t="s">
        <v>86</v>
      </c>
      <c r="E229" s="3" t="s">
        <v>118</v>
      </c>
      <c r="F229" s="3" t="s">
        <v>89</v>
      </c>
      <c r="G229" s="4">
        <v>9</v>
      </c>
      <c r="H229" s="4">
        <v>10</v>
      </c>
      <c r="I229" s="4">
        <v>12</v>
      </c>
      <c r="J229" s="4" t="s">
        <v>8</v>
      </c>
      <c r="K229" s="4" t="s">
        <v>7</v>
      </c>
      <c r="L229" s="11"/>
      <c r="M229" s="3"/>
      <c r="N229"/>
      <c r="O229" s="4"/>
      <c r="P229" s="1"/>
      <c r="Q229" s="22"/>
      <c r="R229" t="s">
        <v>156</v>
      </c>
      <c r="S229" s="11"/>
    </row>
    <row r="230" spans="2:19" x14ac:dyDescent="0.25">
      <c r="B230" s="4">
        <v>20013415</v>
      </c>
      <c r="C230" s="1" t="s">
        <v>207</v>
      </c>
      <c r="D230" s="4" t="s">
        <v>86</v>
      </c>
      <c r="E230" s="3" t="s">
        <v>118</v>
      </c>
      <c r="F230" s="3" t="s">
        <v>89</v>
      </c>
      <c r="G230" s="4">
        <v>10</v>
      </c>
      <c r="H230" s="4">
        <v>16</v>
      </c>
      <c r="I230" s="4">
        <v>33</v>
      </c>
      <c r="J230" s="4" t="s">
        <v>8</v>
      </c>
      <c r="K230" s="4" t="s">
        <v>14</v>
      </c>
      <c r="L230" s="11"/>
      <c r="M230" s="3"/>
      <c r="N230"/>
      <c r="O230" s="4"/>
      <c r="P230" s="1"/>
      <c r="Q230" s="22"/>
      <c r="R230" t="s">
        <v>156</v>
      </c>
      <c r="S230" s="11"/>
    </row>
    <row r="231" spans="2:19" x14ac:dyDescent="0.25">
      <c r="B231" s="4">
        <v>20013416</v>
      </c>
      <c r="C231" s="1" t="s">
        <v>208</v>
      </c>
      <c r="D231" s="4" t="s">
        <v>86</v>
      </c>
      <c r="E231" s="3" t="s">
        <v>118</v>
      </c>
      <c r="F231" s="3" t="s">
        <v>89</v>
      </c>
      <c r="G231" s="4">
        <v>13</v>
      </c>
      <c r="H231" s="4">
        <v>21</v>
      </c>
      <c r="I231" s="4">
        <v>58</v>
      </c>
      <c r="J231" s="4" t="s">
        <v>25</v>
      </c>
      <c r="K231" s="4" t="s">
        <v>14</v>
      </c>
      <c r="L231" s="11"/>
      <c r="M231" s="3"/>
      <c r="N231"/>
      <c r="O231" s="4"/>
      <c r="P231" s="1"/>
      <c r="Q231" s="22"/>
      <c r="R231" t="s">
        <v>156</v>
      </c>
      <c r="S231" s="11"/>
    </row>
    <row r="232" spans="2:19" x14ac:dyDescent="0.25">
      <c r="B232" s="4">
        <v>20012350</v>
      </c>
      <c r="C232" s="1" t="s">
        <v>1499</v>
      </c>
      <c r="D232" s="4" t="s">
        <v>86</v>
      </c>
      <c r="E232" s="3"/>
      <c r="F232" s="3" t="s">
        <v>68</v>
      </c>
      <c r="G232" s="4">
        <v>4</v>
      </c>
      <c r="H232" s="4">
        <v>2</v>
      </c>
      <c r="I232" s="4">
        <v>4</v>
      </c>
      <c r="J232" s="4" t="s">
        <v>8</v>
      </c>
      <c r="K232" s="4" t="s">
        <v>7</v>
      </c>
      <c r="L232" s="11"/>
      <c r="M232" s="3"/>
      <c r="N232"/>
      <c r="O232" s="4"/>
      <c r="P232" s="1"/>
      <c r="Q232" s="22"/>
      <c r="R232"/>
      <c r="S232" s="11"/>
    </row>
    <row r="233" spans="2:19" x14ac:dyDescent="0.25">
      <c r="B233" s="4">
        <v>20013417</v>
      </c>
      <c r="C233" s="1" t="s">
        <v>209</v>
      </c>
      <c r="D233" s="4" t="s">
        <v>86</v>
      </c>
      <c r="E233" s="3" t="s">
        <v>118</v>
      </c>
      <c r="F233" s="3" t="s">
        <v>89</v>
      </c>
      <c r="G233" s="4">
        <v>16</v>
      </c>
      <c r="H233" s="4">
        <v>26</v>
      </c>
      <c r="I233" s="4">
        <v>91</v>
      </c>
      <c r="J233" s="4" t="s">
        <v>25</v>
      </c>
      <c r="K233" s="4" t="s">
        <v>14</v>
      </c>
      <c r="L233" s="11"/>
      <c r="M233" s="3"/>
      <c r="N233"/>
      <c r="O233" s="4"/>
      <c r="P233" s="1"/>
      <c r="Q233" s="22"/>
      <c r="R233" t="s">
        <v>156</v>
      </c>
      <c r="S233" s="11"/>
    </row>
    <row r="234" spans="2:19" x14ac:dyDescent="0.25">
      <c r="B234" s="4">
        <v>20013418</v>
      </c>
      <c r="C234" s="1" t="s">
        <v>210</v>
      </c>
      <c r="D234" s="4" t="s">
        <v>86</v>
      </c>
      <c r="E234" s="3" t="s">
        <v>118</v>
      </c>
      <c r="F234" s="3" t="s">
        <v>89</v>
      </c>
      <c r="G234" s="4">
        <v>10</v>
      </c>
      <c r="H234" s="4">
        <v>16</v>
      </c>
      <c r="I234" s="4">
        <v>91</v>
      </c>
      <c r="J234" s="4" t="s">
        <v>25</v>
      </c>
      <c r="K234" s="4" t="s">
        <v>14</v>
      </c>
      <c r="L234" s="11"/>
      <c r="M234" s="3"/>
      <c r="N234"/>
      <c r="O234" s="4"/>
      <c r="P234" s="1"/>
      <c r="Q234" s="22"/>
      <c r="R234" t="s">
        <v>156</v>
      </c>
      <c r="S234" s="11"/>
    </row>
    <row r="235" spans="2:19" x14ac:dyDescent="0.25">
      <c r="B235" s="4">
        <v>20012364</v>
      </c>
      <c r="C235" s="1" t="s">
        <v>1472</v>
      </c>
      <c r="D235" s="4" t="s">
        <v>86</v>
      </c>
      <c r="E235" s="3"/>
      <c r="F235" s="3" t="s">
        <v>68</v>
      </c>
      <c r="G235" s="4">
        <v>150</v>
      </c>
      <c r="H235" s="4">
        <v>100</v>
      </c>
      <c r="I235" s="4">
        <v>284</v>
      </c>
      <c r="J235" s="4" t="s">
        <v>8</v>
      </c>
      <c r="K235" s="4" t="s">
        <v>14</v>
      </c>
      <c r="L235" s="11"/>
      <c r="M235" s="3"/>
      <c r="N235"/>
      <c r="O235" s="4"/>
      <c r="P235" s="1"/>
      <c r="Q235" s="22"/>
      <c r="R235"/>
      <c r="S235" s="11"/>
    </row>
    <row r="236" spans="2:19" x14ac:dyDescent="0.25">
      <c r="B236" s="4">
        <v>20012365</v>
      </c>
      <c r="C236" s="1" t="s">
        <v>1500</v>
      </c>
      <c r="D236" s="4" t="s">
        <v>86</v>
      </c>
      <c r="E236" s="3"/>
      <c r="F236" s="3" t="s">
        <v>68</v>
      </c>
      <c r="G236" s="4">
        <v>200</v>
      </c>
      <c r="H236" s="4">
        <v>100</v>
      </c>
      <c r="I236" s="4">
        <v>276</v>
      </c>
      <c r="J236" s="4" t="s">
        <v>8</v>
      </c>
      <c r="K236" s="4" t="s">
        <v>7</v>
      </c>
      <c r="L236" s="11"/>
      <c r="M236" s="3"/>
      <c r="N236"/>
      <c r="O236" s="4"/>
      <c r="P236" s="1"/>
      <c r="Q236" s="22"/>
      <c r="R236"/>
      <c r="S236" s="11"/>
    </row>
    <row r="237" spans="2:19" x14ac:dyDescent="0.25">
      <c r="B237" s="4">
        <v>20013419</v>
      </c>
      <c r="C237" s="1" t="s">
        <v>211</v>
      </c>
      <c r="D237" s="4" t="s">
        <v>86</v>
      </c>
      <c r="E237" s="3" t="s">
        <v>87</v>
      </c>
      <c r="F237" s="3" t="s">
        <v>89</v>
      </c>
      <c r="G237" s="4">
        <v>17</v>
      </c>
      <c r="H237" s="4">
        <v>28</v>
      </c>
      <c r="I237" s="4">
        <v>210</v>
      </c>
      <c r="J237" s="4" t="s">
        <v>8</v>
      </c>
      <c r="K237" s="4" t="s">
        <v>14</v>
      </c>
      <c r="L237" s="11"/>
      <c r="M237" s="3"/>
      <c r="N237">
        <v>4502698264</v>
      </c>
      <c r="O237" s="4">
        <v>20</v>
      </c>
      <c r="P237" s="1" t="s">
        <v>1663</v>
      </c>
      <c r="Q237" s="22">
        <v>46237</v>
      </c>
      <c r="R237" t="s">
        <v>88</v>
      </c>
      <c r="S237" s="11"/>
    </row>
    <row r="238" spans="2:19" x14ac:dyDescent="0.25">
      <c r="B238" s="4">
        <v>20012367</v>
      </c>
      <c r="C238" s="1" t="s">
        <v>1501</v>
      </c>
      <c r="D238" s="4" t="s">
        <v>86</v>
      </c>
      <c r="E238" s="3"/>
      <c r="F238" s="3" t="s">
        <v>68</v>
      </c>
      <c r="G238" s="4">
        <v>6</v>
      </c>
      <c r="H238" s="4">
        <v>3</v>
      </c>
      <c r="I238" s="4">
        <v>8</v>
      </c>
      <c r="J238" s="4" t="s">
        <v>8</v>
      </c>
      <c r="K238" s="4" t="s">
        <v>7</v>
      </c>
      <c r="L238" s="11"/>
      <c r="M238" s="3"/>
      <c r="N238"/>
      <c r="O238" s="4"/>
      <c r="P238" s="1"/>
      <c r="Q238" s="22"/>
      <c r="R238"/>
      <c r="S238" s="11"/>
    </row>
    <row r="239" spans="2:19" x14ac:dyDescent="0.25">
      <c r="B239" s="4">
        <v>20013420</v>
      </c>
      <c r="C239" s="1" t="s">
        <v>212</v>
      </c>
      <c r="D239" s="4" t="s">
        <v>86</v>
      </c>
      <c r="E239" s="3" t="s">
        <v>87</v>
      </c>
      <c r="F239" s="3" t="s">
        <v>89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88</v>
      </c>
      <c r="S239" s="11"/>
    </row>
    <row r="240" spans="2:19" x14ac:dyDescent="0.25">
      <c r="B240" s="4">
        <v>20012378</v>
      </c>
      <c r="C240" s="1" t="s">
        <v>1299</v>
      </c>
      <c r="D240" s="4" t="s">
        <v>86</v>
      </c>
      <c r="E240" s="3"/>
      <c r="F240" s="3" t="s">
        <v>68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</row>
    <row r="241" spans="2:19" x14ac:dyDescent="0.25">
      <c r="B241" s="4">
        <v>20012380</v>
      </c>
      <c r="C241" s="1" t="s">
        <v>1410</v>
      </c>
      <c r="D241" s="4" t="s">
        <v>86</v>
      </c>
      <c r="E241" s="3"/>
      <c r="F241" s="3" t="s">
        <v>68</v>
      </c>
      <c r="G241" s="4">
        <v>2</v>
      </c>
      <c r="H241" s="4">
        <v>4</v>
      </c>
      <c r="I241" s="4">
        <v>5</v>
      </c>
      <c r="J241" s="4" t="s">
        <v>8</v>
      </c>
      <c r="K241" s="4" t="s">
        <v>7</v>
      </c>
      <c r="L241" s="11"/>
      <c r="M241" s="3"/>
      <c r="N241"/>
      <c r="O241" s="4"/>
      <c r="P241" s="1"/>
      <c r="Q241" s="22"/>
      <c r="R241"/>
      <c r="S241" s="11"/>
    </row>
    <row r="242" spans="2:19" x14ac:dyDescent="0.25">
      <c r="B242" s="4">
        <v>20013627</v>
      </c>
      <c r="C242" s="1" t="s">
        <v>213</v>
      </c>
      <c r="D242" s="4" t="s">
        <v>86</v>
      </c>
      <c r="E242" s="3" t="s">
        <v>118</v>
      </c>
      <c r="F242" s="3" t="s">
        <v>89</v>
      </c>
      <c r="G242" s="4">
        <v>1</v>
      </c>
      <c r="H242" s="4">
        <v>1</v>
      </c>
      <c r="I242" s="4">
        <v>22</v>
      </c>
      <c r="J242" s="4" t="s">
        <v>8</v>
      </c>
      <c r="K242" s="4" t="s">
        <v>14</v>
      </c>
      <c r="L242" s="11"/>
      <c r="M242" s="3"/>
      <c r="N242"/>
      <c r="O242" s="4"/>
      <c r="P242" s="1"/>
      <c r="Q242" s="22"/>
      <c r="R242" t="s">
        <v>148</v>
      </c>
      <c r="S242" s="11"/>
    </row>
    <row r="243" spans="2:19" x14ac:dyDescent="0.25">
      <c r="B243" s="4">
        <v>20013629</v>
      </c>
      <c r="C243" s="1" t="s">
        <v>214</v>
      </c>
      <c r="D243" s="4" t="s">
        <v>86</v>
      </c>
      <c r="E243" s="3" t="s">
        <v>118</v>
      </c>
      <c r="F243" s="3" t="s">
        <v>89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148</v>
      </c>
      <c r="S243" s="11"/>
    </row>
    <row r="244" spans="2:19" x14ac:dyDescent="0.25">
      <c r="B244" s="4">
        <v>20012425</v>
      </c>
      <c r="C244" s="1" t="s">
        <v>1344</v>
      </c>
      <c r="D244" s="4" t="s">
        <v>86</v>
      </c>
      <c r="E244" s="3"/>
      <c r="F244" s="3" t="s">
        <v>68</v>
      </c>
      <c r="G244" s="4">
        <v>6</v>
      </c>
      <c r="H244" s="4">
        <v>6</v>
      </c>
      <c r="I244" s="4">
        <v>2</v>
      </c>
      <c r="J244" s="4" t="s">
        <v>8</v>
      </c>
      <c r="K244" s="4" t="s">
        <v>9</v>
      </c>
      <c r="L244" s="11">
        <v>1002671085</v>
      </c>
      <c r="M244" s="3">
        <v>6</v>
      </c>
      <c r="N244"/>
      <c r="O244" s="4"/>
      <c r="P244" s="1"/>
      <c r="Q244" s="22"/>
      <c r="R244"/>
      <c r="S244" s="11"/>
    </row>
    <row r="245" spans="2:19" x14ac:dyDescent="0.25">
      <c r="B245" s="4">
        <v>20013634</v>
      </c>
      <c r="C245" s="1" t="s">
        <v>1336</v>
      </c>
      <c r="D245" s="4" t="s">
        <v>86</v>
      </c>
      <c r="E245" s="3" t="s">
        <v>118</v>
      </c>
      <c r="F245" s="3" t="s">
        <v>89</v>
      </c>
      <c r="G245" s="4">
        <v>1</v>
      </c>
      <c r="H245" s="4">
        <v>1</v>
      </c>
      <c r="I245" s="4">
        <v>10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148</v>
      </c>
      <c r="S245" s="11"/>
    </row>
    <row r="246" spans="2:19" x14ac:dyDescent="0.25">
      <c r="B246" s="4">
        <v>20012429</v>
      </c>
      <c r="C246" s="1" t="s">
        <v>1345</v>
      </c>
      <c r="D246" s="4" t="s">
        <v>86</v>
      </c>
      <c r="E246" s="3"/>
      <c r="F246" s="3" t="s">
        <v>68</v>
      </c>
      <c r="G246" s="4">
        <v>6</v>
      </c>
      <c r="H246" s="4">
        <v>6</v>
      </c>
      <c r="I246" s="4">
        <v>2</v>
      </c>
      <c r="J246" s="4" t="s">
        <v>8</v>
      </c>
      <c r="K246" s="4" t="s">
        <v>9</v>
      </c>
      <c r="L246" s="11">
        <v>1002671085</v>
      </c>
      <c r="M246" s="3">
        <v>10</v>
      </c>
      <c r="N246"/>
      <c r="O246" s="4"/>
      <c r="P246" s="1"/>
      <c r="Q246" s="22"/>
      <c r="R246"/>
      <c r="S246" s="11"/>
    </row>
    <row r="247" spans="2:19" x14ac:dyDescent="0.25">
      <c r="B247" s="4">
        <v>20013808</v>
      </c>
      <c r="C247" s="1" t="s">
        <v>215</v>
      </c>
      <c r="D247" s="4" t="s">
        <v>86</v>
      </c>
      <c r="E247" s="3" t="s">
        <v>87</v>
      </c>
      <c r="F247" s="3" t="s">
        <v>89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88</v>
      </c>
      <c r="S247" s="11"/>
    </row>
    <row r="248" spans="2:19" x14ac:dyDescent="0.25">
      <c r="B248" s="4">
        <v>20012432</v>
      </c>
      <c r="C248" s="1" t="s">
        <v>1346</v>
      </c>
      <c r="D248" s="4" t="s">
        <v>86</v>
      </c>
      <c r="E248" s="3"/>
      <c r="F248" s="3" t="s">
        <v>68</v>
      </c>
      <c r="G248" s="4">
        <v>6</v>
      </c>
      <c r="H248" s="4">
        <v>6</v>
      </c>
      <c r="I248" s="4">
        <v>7</v>
      </c>
      <c r="J248" s="4" t="s">
        <v>8</v>
      </c>
      <c r="K248" s="4" t="s">
        <v>7</v>
      </c>
      <c r="L248" s="11"/>
      <c r="M248" s="3"/>
      <c r="N248"/>
      <c r="O248" s="4"/>
      <c r="P248" s="1"/>
      <c r="Q248" s="22"/>
      <c r="R248"/>
      <c r="S248" s="11"/>
    </row>
    <row r="249" spans="2:19" x14ac:dyDescent="0.25">
      <c r="B249" s="4">
        <v>20012614</v>
      </c>
      <c r="C249" s="1" t="s">
        <v>1107</v>
      </c>
      <c r="D249" s="4" t="s">
        <v>86</v>
      </c>
      <c r="E249" s="3"/>
      <c r="F249" s="3" t="s">
        <v>68</v>
      </c>
      <c r="G249" s="4">
        <v>30</v>
      </c>
      <c r="H249" s="4">
        <v>60</v>
      </c>
      <c r="I249" s="4">
        <v>40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/>
      <c r="S249" s="11"/>
    </row>
    <row r="250" spans="2:19" x14ac:dyDescent="0.25">
      <c r="B250" s="4">
        <v>20019882</v>
      </c>
      <c r="C250" s="1" t="s">
        <v>216</v>
      </c>
      <c r="D250" s="4" t="s">
        <v>86</v>
      </c>
      <c r="E250" s="3" t="s">
        <v>91</v>
      </c>
      <c r="F250" s="3" t="s">
        <v>89</v>
      </c>
      <c r="G250" s="4">
        <v>10</v>
      </c>
      <c r="H250" s="4">
        <v>20</v>
      </c>
      <c r="I250" s="4">
        <v>30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 t="s">
        <v>92</v>
      </c>
      <c r="S250" s="11"/>
    </row>
    <row r="251" spans="2:19" x14ac:dyDescent="0.25">
      <c r="B251" s="15">
        <v>20013235</v>
      </c>
      <c r="C251" s="1" t="s">
        <v>1300</v>
      </c>
      <c r="D251" s="4" t="s">
        <v>86</v>
      </c>
      <c r="E251" s="3"/>
      <c r="F251" s="3" t="s">
        <v>68</v>
      </c>
      <c r="G251" s="4">
        <v>10</v>
      </c>
      <c r="H251" s="4">
        <v>20</v>
      </c>
      <c r="I251" s="4">
        <v>8</v>
      </c>
      <c r="J251" s="4" t="s">
        <v>8</v>
      </c>
      <c r="K251" s="4" t="s">
        <v>9</v>
      </c>
      <c r="L251" s="11"/>
      <c r="M251" s="3"/>
      <c r="N251">
        <v>4502665932</v>
      </c>
      <c r="O251" s="4">
        <v>20</v>
      </c>
      <c r="P251" s="1" t="s">
        <v>1422</v>
      </c>
      <c r="Q251" s="22">
        <v>46160</v>
      </c>
      <c r="R251"/>
      <c r="S251" s="11"/>
    </row>
    <row r="252" spans="2:19" x14ac:dyDescent="0.25">
      <c r="B252" s="4">
        <v>20013809</v>
      </c>
      <c r="C252" s="1" t="s">
        <v>217</v>
      </c>
      <c r="D252" s="4" t="s">
        <v>86</v>
      </c>
      <c r="E252" s="3" t="s">
        <v>87</v>
      </c>
      <c r="F252" s="3" t="s">
        <v>89</v>
      </c>
      <c r="G252" s="4">
        <v>10</v>
      </c>
      <c r="H252" s="4">
        <v>15</v>
      </c>
      <c r="I252" s="4">
        <v>24</v>
      </c>
      <c r="J252" s="4" t="s">
        <v>8</v>
      </c>
      <c r="K252" s="4" t="s">
        <v>7</v>
      </c>
      <c r="L252" s="11"/>
      <c r="M252" s="3"/>
      <c r="N252"/>
      <c r="O252" s="4"/>
      <c r="P252" s="1"/>
      <c r="Q252" s="22"/>
      <c r="R252" t="s">
        <v>88</v>
      </c>
      <c r="S252" s="11"/>
    </row>
    <row r="253" spans="2:19" x14ac:dyDescent="0.25">
      <c r="B253" s="4">
        <v>20019683</v>
      </c>
      <c r="C253" s="1" t="s">
        <v>218</v>
      </c>
      <c r="D253" s="4" t="s">
        <v>86</v>
      </c>
      <c r="E253" s="3" t="s">
        <v>118</v>
      </c>
      <c r="F253" s="3" t="s">
        <v>89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148</v>
      </c>
      <c r="S253" s="11"/>
    </row>
    <row r="254" spans="2:19" x14ac:dyDescent="0.25">
      <c r="B254" s="4">
        <v>20013237</v>
      </c>
      <c r="C254" s="1" t="s">
        <v>1326</v>
      </c>
      <c r="D254" s="4" t="s">
        <v>86</v>
      </c>
      <c r="E254" s="3"/>
      <c r="F254" s="3" t="s">
        <v>68</v>
      </c>
      <c r="G254" s="4">
        <v>30</v>
      </c>
      <c r="H254" s="4">
        <v>30</v>
      </c>
      <c r="I254" s="4">
        <v>52</v>
      </c>
      <c r="J254" s="4" t="s">
        <v>8</v>
      </c>
      <c r="K254" s="4" t="s">
        <v>7</v>
      </c>
      <c r="L254" s="11"/>
      <c r="M254" s="3"/>
      <c r="N254"/>
      <c r="O254" s="17"/>
      <c r="P254" s="76"/>
      <c r="Q254" s="24"/>
      <c r="R254"/>
      <c r="S254" s="11"/>
    </row>
    <row r="255" spans="2:19" x14ac:dyDescent="0.25">
      <c r="B255" s="4">
        <v>20013810</v>
      </c>
      <c r="C255" s="1" t="s">
        <v>219</v>
      </c>
      <c r="D255" s="4" t="s">
        <v>86</v>
      </c>
      <c r="E255" s="3" t="s">
        <v>87</v>
      </c>
      <c r="F255" s="3" t="s">
        <v>89</v>
      </c>
      <c r="G255" s="4">
        <v>7</v>
      </c>
      <c r="H255" s="4">
        <v>11</v>
      </c>
      <c r="I255" s="4">
        <v>17</v>
      </c>
      <c r="J255" s="4" t="s">
        <v>8</v>
      </c>
      <c r="K255" s="4" t="s">
        <v>7</v>
      </c>
      <c r="L255" s="11"/>
      <c r="M255" s="3"/>
      <c r="N255"/>
      <c r="O255" s="4"/>
      <c r="P255" s="1"/>
      <c r="Q255" s="22"/>
      <c r="R255" t="s">
        <v>88</v>
      </c>
      <c r="S255" s="11"/>
    </row>
    <row r="256" spans="2:19" x14ac:dyDescent="0.25">
      <c r="B256" s="4">
        <v>20013238</v>
      </c>
      <c r="C256" s="1" t="s">
        <v>1301</v>
      </c>
      <c r="D256" s="4" t="s">
        <v>86</v>
      </c>
      <c r="E256" s="3"/>
      <c r="F256" s="3" t="s">
        <v>68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</row>
    <row r="257" spans="2:19" x14ac:dyDescent="0.25">
      <c r="B257" s="4">
        <v>20014010</v>
      </c>
      <c r="C257" s="1" t="s">
        <v>220</v>
      </c>
      <c r="D257" s="4" t="s">
        <v>86</v>
      </c>
      <c r="E257" s="3" t="s">
        <v>115</v>
      </c>
      <c r="F257" s="3" t="s">
        <v>89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116</v>
      </c>
      <c r="S257" s="11"/>
    </row>
    <row r="258" spans="2:19" x14ac:dyDescent="0.25">
      <c r="B258" s="4">
        <v>20014012</v>
      </c>
      <c r="C258" s="1" t="s">
        <v>221</v>
      </c>
      <c r="D258" s="4" t="s">
        <v>86</v>
      </c>
      <c r="E258" s="3" t="s">
        <v>222</v>
      </c>
      <c r="F258" s="3" t="s">
        <v>89</v>
      </c>
      <c r="G258" s="4">
        <v>10</v>
      </c>
      <c r="H258" s="4">
        <v>15</v>
      </c>
      <c r="I258" s="4">
        <v>17</v>
      </c>
      <c r="J258" s="4" t="s">
        <v>8</v>
      </c>
      <c r="K258" s="4" t="s">
        <v>7</v>
      </c>
      <c r="L258" s="11"/>
      <c r="M258" s="3"/>
      <c r="N258"/>
      <c r="O258" s="4"/>
      <c r="P258" s="1"/>
      <c r="Q258" s="22"/>
      <c r="R258" t="s">
        <v>223</v>
      </c>
      <c r="S258" s="11"/>
    </row>
    <row r="259" spans="2:19" x14ac:dyDescent="0.25">
      <c r="B259" s="4">
        <v>20014203</v>
      </c>
      <c r="C259" s="1" t="s">
        <v>224</v>
      </c>
      <c r="D259" s="4" t="s">
        <v>86</v>
      </c>
      <c r="E259" s="3" t="s">
        <v>118</v>
      </c>
      <c r="F259" s="3" t="s">
        <v>89</v>
      </c>
      <c r="G259" s="4">
        <v>2</v>
      </c>
      <c r="H259" s="4">
        <v>3</v>
      </c>
      <c r="I259" s="4">
        <v>5</v>
      </c>
      <c r="J259" s="4" t="s">
        <v>8</v>
      </c>
      <c r="K259" s="4" t="s">
        <v>7</v>
      </c>
      <c r="L259" s="11"/>
      <c r="M259" s="3"/>
      <c r="N259"/>
      <c r="O259" s="4"/>
      <c r="P259" s="1"/>
      <c r="Q259" s="22"/>
      <c r="R259"/>
      <c r="S259" s="11"/>
    </row>
    <row r="260" spans="2:19" x14ac:dyDescent="0.25">
      <c r="B260" s="4">
        <v>20014648</v>
      </c>
      <c r="C260" s="1" t="s">
        <v>225</v>
      </c>
      <c r="D260" s="4" t="s">
        <v>86</v>
      </c>
      <c r="E260" s="3" t="s">
        <v>129</v>
      </c>
      <c r="F260" s="3" t="s">
        <v>89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130</v>
      </c>
      <c r="S260" s="11"/>
    </row>
    <row r="261" spans="2:19" x14ac:dyDescent="0.25">
      <c r="B261" s="4">
        <v>20014649</v>
      </c>
      <c r="C261" s="1" t="s">
        <v>226</v>
      </c>
      <c r="D261" s="4" t="s">
        <v>86</v>
      </c>
      <c r="E261" s="3" t="s">
        <v>129</v>
      </c>
      <c r="F261" s="3" t="s">
        <v>89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130</v>
      </c>
      <c r="S261" s="11"/>
    </row>
    <row r="262" spans="2:19" x14ac:dyDescent="0.25">
      <c r="B262" s="4">
        <v>20014672</v>
      </c>
      <c r="C262" s="1" t="s">
        <v>227</v>
      </c>
      <c r="D262" s="4" t="s">
        <v>86</v>
      </c>
      <c r="E262" s="3" t="s">
        <v>87</v>
      </c>
      <c r="F262" s="3" t="s">
        <v>89</v>
      </c>
      <c r="G262" s="4">
        <v>2</v>
      </c>
      <c r="H262" s="4">
        <v>2</v>
      </c>
      <c r="I262" s="4">
        <v>2</v>
      </c>
      <c r="J262" s="4" t="s">
        <v>8</v>
      </c>
      <c r="K262" s="4" t="s">
        <v>7</v>
      </c>
      <c r="L262" s="11"/>
      <c r="M262" s="3"/>
      <c r="N262"/>
      <c r="O262" s="17"/>
      <c r="P262" s="76"/>
      <c r="Q262" s="24"/>
      <c r="R262" t="s">
        <v>190</v>
      </c>
      <c r="S262" s="11"/>
    </row>
    <row r="263" spans="2:19" x14ac:dyDescent="0.25">
      <c r="B263" s="4">
        <v>20014673</v>
      </c>
      <c r="C263" s="1" t="s">
        <v>228</v>
      </c>
      <c r="D263" s="4" t="s">
        <v>86</v>
      </c>
      <c r="E263" s="3" t="s">
        <v>87</v>
      </c>
      <c r="F263" s="3" t="s">
        <v>89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4"/>
      <c r="P263" s="1"/>
      <c r="Q263" s="22"/>
      <c r="R263" t="s">
        <v>190</v>
      </c>
      <c r="S263" s="11"/>
    </row>
    <row r="264" spans="2:19" x14ac:dyDescent="0.25">
      <c r="B264" s="4">
        <v>20014687</v>
      </c>
      <c r="C264" s="1" t="s">
        <v>229</v>
      </c>
      <c r="D264" s="4" t="s">
        <v>86</v>
      </c>
      <c r="E264" s="3"/>
      <c r="F264" s="3" t="s">
        <v>89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113</v>
      </c>
      <c r="S264" s="11"/>
    </row>
    <row r="265" spans="2:19" x14ac:dyDescent="0.25">
      <c r="B265" s="4">
        <v>20014748</v>
      </c>
      <c r="C265" s="1" t="s">
        <v>230</v>
      </c>
      <c r="D265" s="4" t="s">
        <v>86</v>
      </c>
      <c r="E265" s="3" t="s">
        <v>118</v>
      </c>
      <c r="F265" s="3" t="s">
        <v>89</v>
      </c>
      <c r="G265" s="4">
        <v>5</v>
      </c>
      <c r="H265" s="4">
        <v>8</v>
      </c>
      <c r="I265" s="4">
        <v>5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156</v>
      </c>
      <c r="S265" s="11"/>
    </row>
    <row r="266" spans="2:19" x14ac:dyDescent="0.25">
      <c r="B266" s="4">
        <v>20014754</v>
      </c>
      <c r="C266" s="1" t="s">
        <v>231</v>
      </c>
      <c r="D266" s="4" t="s">
        <v>86</v>
      </c>
      <c r="E266" s="3" t="s">
        <v>87</v>
      </c>
      <c r="F266" s="3" t="s">
        <v>89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190</v>
      </c>
      <c r="S266" s="11"/>
    </row>
    <row r="267" spans="2:19" x14ac:dyDescent="0.25">
      <c r="B267" s="4">
        <v>20014756</v>
      </c>
      <c r="C267" s="1" t="s">
        <v>232</v>
      </c>
      <c r="D267" s="4" t="s">
        <v>86</v>
      </c>
      <c r="E267" s="3" t="s">
        <v>87</v>
      </c>
      <c r="F267" s="3" t="s">
        <v>89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 t="s">
        <v>1668</v>
      </c>
      <c r="M267" s="3">
        <v>45</v>
      </c>
      <c r="N267"/>
      <c r="O267" s="4"/>
      <c r="P267" s="1"/>
      <c r="Q267" s="22"/>
      <c r="R267" t="s">
        <v>190</v>
      </c>
      <c r="S267" s="11"/>
    </row>
    <row r="268" spans="2:19" x14ac:dyDescent="0.25">
      <c r="B268" s="4">
        <v>20013797</v>
      </c>
      <c r="C268" s="1" t="s">
        <v>1327</v>
      </c>
      <c r="D268" s="4" t="s">
        <v>86</v>
      </c>
      <c r="E268" s="3"/>
      <c r="F268" s="3" t="s">
        <v>68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</row>
    <row r="269" spans="2:19" x14ac:dyDescent="0.25">
      <c r="B269" s="4">
        <v>20014757</v>
      </c>
      <c r="C269" s="1" t="s">
        <v>233</v>
      </c>
      <c r="D269" s="4" t="s">
        <v>86</v>
      </c>
      <c r="E269" s="3" t="s">
        <v>87</v>
      </c>
      <c r="F269" s="3" t="s">
        <v>89</v>
      </c>
      <c r="G269" s="4">
        <v>10</v>
      </c>
      <c r="H269" s="4">
        <v>20</v>
      </c>
      <c r="I269" s="4">
        <v>20</v>
      </c>
      <c r="J269" s="4" t="s">
        <v>8</v>
      </c>
      <c r="K269" s="4" t="s">
        <v>7</v>
      </c>
      <c r="L269" s="11"/>
      <c r="M269" s="3"/>
      <c r="N269"/>
      <c r="O269" s="4"/>
      <c r="P269" s="1"/>
      <c r="Q269" s="22"/>
      <c r="R269" t="s">
        <v>190</v>
      </c>
      <c r="S269" s="11"/>
    </row>
    <row r="270" spans="2:19" x14ac:dyDescent="0.25">
      <c r="B270" s="4">
        <v>20013799</v>
      </c>
      <c r="C270" s="1" t="s">
        <v>1328</v>
      </c>
      <c r="D270" s="4" t="s">
        <v>86</v>
      </c>
      <c r="E270" s="3"/>
      <c r="F270" s="3" t="s">
        <v>68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</row>
    <row r="271" spans="2:19" x14ac:dyDescent="0.25">
      <c r="B271" s="4">
        <v>20014897</v>
      </c>
      <c r="C271" s="1" t="s">
        <v>234</v>
      </c>
      <c r="D271" s="4" t="s">
        <v>86</v>
      </c>
      <c r="E271" s="3" t="s">
        <v>129</v>
      </c>
      <c r="F271" s="3" t="s">
        <v>89</v>
      </c>
      <c r="G271" s="4">
        <v>9</v>
      </c>
      <c r="H271" s="4">
        <v>14</v>
      </c>
      <c r="I271" s="4">
        <v>11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</row>
    <row r="272" spans="2:19" x14ac:dyDescent="0.25">
      <c r="B272" s="4">
        <v>20013800</v>
      </c>
      <c r="C272" s="1" t="s">
        <v>1281</v>
      </c>
      <c r="D272" s="4" t="s">
        <v>86</v>
      </c>
      <c r="E272" s="3"/>
      <c r="F272" s="3" t="s">
        <v>68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</row>
    <row r="273" spans="2:19" x14ac:dyDescent="0.25">
      <c r="B273" s="4">
        <v>20015039</v>
      </c>
      <c r="C273" s="1" t="s">
        <v>235</v>
      </c>
      <c r="D273" s="4" t="s">
        <v>86</v>
      </c>
      <c r="E273" s="3" t="s">
        <v>118</v>
      </c>
      <c r="F273" s="3" t="s">
        <v>89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156</v>
      </c>
      <c r="S273" s="11"/>
    </row>
    <row r="274" spans="2:19" x14ac:dyDescent="0.25">
      <c r="B274" s="4">
        <v>20015090</v>
      </c>
      <c r="C274" s="1" t="s">
        <v>236</v>
      </c>
      <c r="D274" s="4" t="s">
        <v>86</v>
      </c>
      <c r="E274" s="3" t="s">
        <v>115</v>
      </c>
      <c r="F274" s="3" t="s">
        <v>89</v>
      </c>
      <c r="G274" s="4">
        <v>40</v>
      </c>
      <c r="H274" s="4">
        <v>60</v>
      </c>
      <c r="I274" s="4">
        <v>112</v>
      </c>
      <c r="J274" s="4" t="s">
        <v>8</v>
      </c>
      <c r="K274" s="4" t="s">
        <v>14</v>
      </c>
      <c r="L274" s="11"/>
      <c r="M274" s="3"/>
      <c r="N274"/>
      <c r="O274" s="4"/>
      <c r="P274" s="1"/>
      <c r="Q274" s="22"/>
      <c r="R274" t="s">
        <v>116</v>
      </c>
      <c r="S274" s="11"/>
    </row>
    <row r="275" spans="2:19" x14ac:dyDescent="0.25">
      <c r="B275" s="4">
        <v>20015158</v>
      </c>
      <c r="C275" s="1" t="s">
        <v>237</v>
      </c>
      <c r="D275" s="4" t="s">
        <v>86</v>
      </c>
      <c r="E275" s="3" t="s">
        <v>91</v>
      </c>
      <c r="F275" s="3" t="s">
        <v>89</v>
      </c>
      <c r="G275" s="4">
        <v>2001</v>
      </c>
      <c r="H275" s="4">
        <v>3000</v>
      </c>
      <c r="I275" s="4">
        <v>2300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92</v>
      </c>
      <c r="S275" s="11"/>
    </row>
    <row r="276" spans="2:19" x14ac:dyDescent="0.25">
      <c r="B276" s="4">
        <v>20015161</v>
      </c>
      <c r="C276" s="1" t="s">
        <v>238</v>
      </c>
      <c r="D276" s="4" t="s">
        <v>86</v>
      </c>
      <c r="E276" s="3" t="s">
        <v>91</v>
      </c>
      <c r="F276" s="3" t="s">
        <v>89</v>
      </c>
      <c r="G276" s="4">
        <v>1500</v>
      </c>
      <c r="H276" s="4">
        <v>2000</v>
      </c>
      <c r="I276" s="4">
        <v>2600</v>
      </c>
      <c r="J276" s="4" t="s">
        <v>10</v>
      </c>
      <c r="K276" s="4" t="s">
        <v>7</v>
      </c>
      <c r="L276" s="11"/>
      <c r="M276" s="3"/>
      <c r="N276"/>
      <c r="O276" s="4"/>
      <c r="P276" s="1"/>
      <c r="Q276" s="22"/>
      <c r="R276" t="s">
        <v>92</v>
      </c>
      <c r="S276" s="11"/>
    </row>
    <row r="277" spans="2:19" x14ac:dyDescent="0.25">
      <c r="B277" s="4">
        <v>20013978</v>
      </c>
      <c r="C277" s="1" t="s">
        <v>1247</v>
      </c>
      <c r="D277" s="4" t="s">
        <v>86</v>
      </c>
      <c r="E277" s="3"/>
      <c r="F277" s="3" t="s">
        <v>68</v>
      </c>
      <c r="G277" s="4">
        <v>10</v>
      </c>
      <c r="H277" s="4">
        <v>20</v>
      </c>
      <c r="I277" s="4">
        <v>1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11" t="s">
        <v>1631</v>
      </c>
    </row>
    <row r="278" spans="2:19" x14ac:dyDescent="0.25">
      <c r="B278" s="4">
        <v>20015163</v>
      </c>
      <c r="C278" s="1" t="s">
        <v>239</v>
      </c>
      <c r="D278" s="4" t="s">
        <v>86</v>
      </c>
      <c r="E278" s="3" t="s">
        <v>91</v>
      </c>
      <c r="F278" s="3" t="s">
        <v>89</v>
      </c>
      <c r="G278" s="4">
        <v>1500</v>
      </c>
      <c r="H278" s="4">
        <v>2000</v>
      </c>
      <c r="I278" s="4">
        <v>1391</v>
      </c>
      <c r="J278" s="4" t="s">
        <v>10</v>
      </c>
      <c r="K278" s="4" t="s">
        <v>9</v>
      </c>
      <c r="L278" s="11"/>
      <c r="M278" s="3"/>
      <c r="N278">
        <v>4502691010</v>
      </c>
      <c r="O278" s="4">
        <v>2000</v>
      </c>
      <c r="P278" s="1" t="s">
        <v>1627</v>
      </c>
      <c r="Q278" s="22">
        <v>46213</v>
      </c>
      <c r="R278" t="s">
        <v>92</v>
      </c>
      <c r="S278" s="11"/>
    </row>
    <row r="279" spans="2:19" x14ac:dyDescent="0.25">
      <c r="B279" s="4">
        <v>20015360</v>
      </c>
      <c r="C279" s="1" t="s">
        <v>240</v>
      </c>
      <c r="D279" s="4" t="s">
        <v>86</v>
      </c>
      <c r="E279" s="3" t="s">
        <v>87</v>
      </c>
      <c r="F279" s="3" t="s">
        <v>89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88</v>
      </c>
      <c r="S279" s="11"/>
    </row>
    <row r="280" spans="2:19" x14ac:dyDescent="0.25">
      <c r="B280" s="4">
        <v>20015630</v>
      </c>
      <c r="C280" s="1" t="s">
        <v>241</v>
      </c>
      <c r="D280" s="4" t="s">
        <v>86</v>
      </c>
      <c r="E280" s="3" t="s">
        <v>87</v>
      </c>
      <c r="F280" s="3" t="s">
        <v>89</v>
      </c>
      <c r="G280" s="4">
        <v>10</v>
      </c>
      <c r="H280" s="4">
        <v>10</v>
      </c>
      <c r="I280" s="4">
        <v>0</v>
      </c>
      <c r="J280" s="4" t="s">
        <v>8</v>
      </c>
      <c r="K280" s="4" t="s">
        <v>13</v>
      </c>
      <c r="L280" s="11">
        <v>1002682089</v>
      </c>
      <c r="M280" s="3">
        <v>20</v>
      </c>
      <c r="N280"/>
      <c r="O280" s="4"/>
      <c r="P280" s="1"/>
      <c r="Q280" s="22"/>
      <c r="R280" t="s">
        <v>88</v>
      </c>
      <c r="S280" s="11"/>
    </row>
    <row r="281" spans="2:19" x14ac:dyDescent="0.25">
      <c r="B281" s="4">
        <v>20015686</v>
      </c>
      <c r="C281" s="1" t="s">
        <v>242</v>
      </c>
      <c r="D281" s="4" t="s">
        <v>86</v>
      </c>
      <c r="E281" s="3" t="s">
        <v>87</v>
      </c>
      <c r="F281" s="3" t="s">
        <v>89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88</v>
      </c>
      <c r="S281" s="11"/>
    </row>
    <row r="282" spans="2:19" x14ac:dyDescent="0.25">
      <c r="B282" s="4">
        <v>20016137</v>
      </c>
      <c r="C282" s="1" t="s">
        <v>243</v>
      </c>
      <c r="D282" s="4" t="s">
        <v>86</v>
      </c>
      <c r="E282" s="3" t="s">
        <v>87</v>
      </c>
      <c r="F282" s="3" t="s">
        <v>89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88</v>
      </c>
      <c r="S282" s="11"/>
    </row>
    <row r="283" spans="2:19" x14ac:dyDescent="0.25">
      <c r="B283" s="4">
        <v>20016160</v>
      </c>
      <c r="C283" s="1" t="s">
        <v>244</v>
      </c>
      <c r="D283" s="4" t="s">
        <v>86</v>
      </c>
      <c r="E283" s="3" t="s">
        <v>87</v>
      </c>
      <c r="F283" s="3" t="s">
        <v>89</v>
      </c>
      <c r="G283" s="4">
        <v>5</v>
      </c>
      <c r="H283" s="4">
        <v>15</v>
      </c>
      <c r="I283" s="4">
        <v>6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88</v>
      </c>
      <c r="S283" s="11"/>
    </row>
    <row r="284" spans="2:19" x14ac:dyDescent="0.25">
      <c r="B284" s="4">
        <v>20016365</v>
      </c>
      <c r="C284" s="1" t="s">
        <v>245</v>
      </c>
      <c r="D284" s="4" t="s">
        <v>86</v>
      </c>
      <c r="E284" s="3" t="s">
        <v>87</v>
      </c>
      <c r="F284" s="3" t="s">
        <v>89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88</v>
      </c>
      <c r="S284" s="11"/>
    </row>
    <row r="285" spans="2:19" x14ac:dyDescent="0.25">
      <c r="B285" s="4">
        <v>20016711</v>
      </c>
      <c r="C285" s="1" t="s">
        <v>246</v>
      </c>
      <c r="D285" s="4" t="s">
        <v>86</v>
      </c>
      <c r="E285" s="3" t="s">
        <v>87</v>
      </c>
      <c r="F285" s="3" t="s">
        <v>89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88</v>
      </c>
      <c r="S285" s="11"/>
    </row>
    <row r="286" spans="2:19" x14ac:dyDescent="0.25">
      <c r="B286" s="4">
        <v>20016988</v>
      </c>
      <c r="C286" s="1" t="s">
        <v>247</v>
      </c>
      <c r="D286" s="4" t="s">
        <v>86</v>
      </c>
      <c r="E286" s="3" t="s">
        <v>87</v>
      </c>
      <c r="F286" s="3" t="s">
        <v>89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88</v>
      </c>
      <c r="S286" s="11"/>
    </row>
    <row r="287" spans="2:19" x14ac:dyDescent="0.25">
      <c r="B287" s="4">
        <v>20017073</v>
      </c>
      <c r="C287" s="1" t="s">
        <v>248</v>
      </c>
      <c r="D287" s="4" t="s">
        <v>86</v>
      </c>
      <c r="E287" s="3" t="s">
        <v>87</v>
      </c>
      <c r="F287" s="3" t="s">
        <v>89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88</v>
      </c>
      <c r="S287" s="11"/>
    </row>
    <row r="288" spans="2:19" x14ac:dyDescent="0.25">
      <c r="B288" s="4">
        <v>20017583</v>
      </c>
      <c r="C288" s="1" t="s">
        <v>249</v>
      </c>
      <c r="D288" s="4" t="s">
        <v>86</v>
      </c>
      <c r="E288" s="3" t="s">
        <v>87</v>
      </c>
      <c r="F288" s="3" t="s">
        <v>89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88</v>
      </c>
      <c r="S288" s="11"/>
    </row>
    <row r="289" spans="2:19" x14ac:dyDescent="0.25">
      <c r="B289" s="4">
        <v>20014821</v>
      </c>
      <c r="C289" s="1" t="s">
        <v>1329</v>
      </c>
      <c r="D289" s="4" t="s">
        <v>86</v>
      </c>
      <c r="E289" s="3"/>
      <c r="F289" s="3" t="s">
        <v>68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</row>
    <row r="290" spans="2:19" x14ac:dyDescent="0.25">
      <c r="B290" s="4">
        <v>20014822</v>
      </c>
      <c r="C290" s="1" t="s">
        <v>1330</v>
      </c>
      <c r="D290" s="4" t="s">
        <v>86</v>
      </c>
      <c r="E290" s="3"/>
      <c r="F290" s="3" t="s">
        <v>68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</row>
    <row r="291" spans="2:19" x14ac:dyDescent="0.25">
      <c r="B291" s="4">
        <v>20017680</v>
      </c>
      <c r="C291" s="1" t="s">
        <v>250</v>
      </c>
      <c r="D291" s="4" t="s">
        <v>86</v>
      </c>
      <c r="E291" s="3"/>
      <c r="F291" s="3" t="s">
        <v>89</v>
      </c>
      <c r="G291" s="4">
        <v>22</v>
      </c>
      <c r="H291" s="4">
        <v>36</v>
      </c>
      <c r="I291" s="4">
        <v>16</v>
      </c>
      <c r="J291" s="4" t="s">
        <v>8</v>
      </c>
      <c r="K291" s="4" t="s">
        <v>9</v>
      </c>
      <c r="L291" s="11">
        <v>1002673992</v>
      </c>
      <c r="M291" s="3">
        <v>36</v>
      </c>
      <c r="N291"/>
      <c r="O291" s="4"/>
      <c r="P291" s="1"/>
      <c r="Q291" s="22"/>
      <c r="R291" t="s">
        <v>113</v>
      </c>
      <c r="S291" s="11"/>
    </row>
    <row r="292" spans="2:19" x14ac:dyDescent="0.25">
      <c r="B292" s="4">
        <v>20014827</v>
      </c>
      <c r="C292" s="1" t="s">
        <v>1282</v>
      </c>
      <c r="D292" s="4" t="s">
        <v>86</v>
      </c>
      <c r="E292" s="3"/>
      <c r="F292" s="3" t="s">
        <v>68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</row>
    <row r="293" spans="2:19" x14ac:dyDescent="0.25">
      <c r="B293" s="4">
        <v>20017799</v>
      </c>
      <c r="C293" s="1" t="s">
        <v>251</v>
      </c>
      <c r="D293" s="4" t="s">
        <v>86</v>
      </c>
      <c r="E293" s="3" t="s">
        <v>222</v>
      </c>
      <c r="F293" s="3" t="s">
        <v>89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223</v>
      </c>
      <c r="S293" s="11" t="s">
        <v>1582</v>
      </c>
    </row>
    <row r="294" spans="2:19" x14ac:dyDescent="0.25">
      <c r="B294" s="4">
        <v>20014829</v>
      </c>
      <c r="C294" s="1" t="s">
        <v>362</v>
      </c>
      <c r="D294" s="4" t="s">
        <v>86</v>
      </c>
      <c r="E294" s="3"/>
      <c r="F294" s="3" t="s">
        <v>68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</row>
    <row r="295" spans="2:19" x14ac:dyDescent="0.25">
      <c r="B295" s="4">
        <v>20017867</v>
      </c>
      <c r="C295" s="1" t="s">
        <v>252</v>
      </c>
      <c r="D295" s="4" t="s">
        <v>86</v>
      </c>
      <c r="E295" s="3" t="s">
        <v>87</v>
      </c>
      <c r="F295" s="3" t="s">
        <v>89</v>
      </c>
      <c r="G295" s="4">
        <v>1</v>
      </c>
      <c r="H295" s="4">
        <v>1</v>
      </c>
      <c r="I295" s="4">
        <v>10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88</v>
      </c>
      <c r="S295" s="11"/>
    </row>
    <row r="296" spans="2:19" x14ac:dyDescent="0.25">
      <c r="B296" s="4">
        <v>20018359</v>
      </c>
      <c r="C296" s="1" t="s">
        <v>253</v>
      </c>
      <c r="D296" s="4" t="s">
        <v>86</v>
      </c>
      <c r="E296" s="3" t="s">
        <v>118</v>
      </c>
      <c r="F296" s="3" t="s">
        <v>89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148</v>
      </c>
      <c r="S296" s="11"/>
    </row>
    <row r="297" spans="2:19" x14ac:dyDescent="0.25">
      <c r="B297" s="4">
        <v>20018461</v>
      </c>
      <c r="C297" s="1" t="s">
        <v>254</v>
      </c>
      <c r="D297" s="4" t="s">
        <v>86</v>
      </c>
      <c r="E297" s="3" t="s">
        <v>222</v>
      </c>
      <c r="F297" s="3" t="s">
        <v>89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223</v>
      </c>
      <c r="S297" s="11"/>
    </row>
    <row r="298" spans="2:19" x14ac:dyDescent="0.25">
      <c r="B298" s="4">
        <v>20015136</v>
      </c>
      <c r="C298" s="1" t="s">
        <v>1473</v>
      </c>
      <c r="D298" s="4" t="s">
        <v>86</v>
      </c>
      <c r="E298" s="3"/>
      <c r="F298" s="3" t="s">
        <v>68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</row>
    <row r="299" spans="2:19" x14ac:dyDescent="0.25">
      <c r="B299" s="4">
        <v>20018503</v>
      </c>
      <c r="C299" s="1" t="s">
        <v>255</v>
      </c>
      <c r="D299" s="4" t="s">
        <v>86</v>
      </c>
      <c r="E299" s="3" t="s">
        <v>222</v>
      </c>
      <c r="F299" s="3" t="s">
        <v>89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223</v>
      </c>
      <c r="S299" s="11"/>
    </row>
    <row r="300" spans="2:19" x14ac:dyDescent="0.25">
      <c r="B300" s="4">
        <v>20018548</v>
      </c>
      <c r="C300" s="1" t="s">
        <v>256</v>
      </c>
      <c r="D300" s="4" t="s">
        <v>86</v>
      </c>
      <c r="E300" s="3" t="s">
        <v>87</v>
      </c>
      <c r="F300" s="3" t="s">
        <v>89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88</v>
      </c>
      <c r="S300" s="11"/>
    </row>
    <row r="301" spans="2:19" x14ac:dyDescent="0.25">
      <c r="B301" s="4">
        <v>20019474</v>
      </c>
      <c r="C301" s="1" t="s">
        <v>257</v>
      </c>
      <c r="D301" s="4" t="s">
        <v>86</v>
      </c>
      <c r="E301" s="3"/>
      <c r="F301" s="3" t="s">
        <v>89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</row>
    <row r="302" spans="2:19" x14ac:dyDescent="0.25">
      <c r="B302" s="4">
        <v>20019502</v>
      </c>
      <c r="C302" s="1" t="s">
        <v>1020</v>
      </c>
      <c r="D302" s="4" t="s">
        <v>86</v>
      </c>
      <c r="E302" s="3" t="s">
        <v>87</v>
      </c>
      <c r="F302" s="3" t="s">
        <v>102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88</v>
      </c>
      <c r="S302" s="11"/>
    </row>
    <row r="303" spans="2:19" x14ac:dyDescent="0.25">
      <c r="B303" s="4">
        <v>20015589</v>
      </c>
      <c r="C303" s="1" t="s">
        <v>1283</v>
      </c>
      <c r="D303" s="4" t="s">
        <v>86</v>
      </c>
      <c r="E303" s="3"/>
      <c r="F303" s="3" t="s">
        <v>68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</row>
    <row r="304" spans="2:19" x14ac:dyDescent="0.25">
      <c r="B304" s="4">
        <v>20019541</v>
      </c>
      <c r="C304" s="1" t="s">
        <v>258</v>
      </c>
      <c r="D304" s="4" t="s">
        <v>86</v>
      </c>
      <c r="E304" s="3" t="s">
        <v>97</v>
      </c>
      <c r="F304" s="3" t="s">
        <v>89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98</v>
      </c>
      <c r="S304" s="11"/>
    </row>
    <row r="305" spans="2:19" x14ac:dyDescent="0.25">
      <c r="B305" s="4">
        <v>20015638</v>
      </c>
      <c r="C305" s="1" t="s">
        <v>1411</v>
      </c>
      <c r="D305" s="4" t="s">
        <v>86</v>
      </c>
      <c r="E305" s="3"/>
      <c r="F305" s="3" t="s">
        <v>68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</row>
    <row r="306" spans="2:19" x14ac:dyDescent="0.25">
      <c r="B306" s="4">
        <v>20019543</v>
      </c>
      <c r="C306" s="1" t="s">
        <v>259</v>
      </c>
      <c r="D306" s="4" t="s">
        <v>86</v>
      </c>
      <c r="E306" s="3" t="s">
        <v>87</v>
      </c>
      <c r="F306" s="3" t="s">
        <v>89</v>
      </c>
      <c r="G306" s="4">
        <v>2</v>
      </c>
      <c r="H306" s="4">
        <v>3</v>
      </c>
      <c r="I306" s="4">
        <v>0</v>
      </c>
      <c r="J306" s="4" t="s">
        <v>8</v>
      </c>
      <c r="K306" s="4" t="s">
        <v>13</v>
      </c>
      <c r="L306" s="11"/>
      <c r="M306" s="3"/>
      <c r="N306">
        <v>4502699416</v>
      </c>
      <c r="O306" s="4">
        <v>5</v>
      </c>
      <c r="P306" s="1" t="s">
        <v>1664</v>
      </c>
      <c r="Q306" s="22">
        <v>46244</v>
      </c>
      <c r="R306" t="s">
        <v>88</v>
      </c>
      <c r="S306" s="11"/>
    </row>
    <row r="307" spans="2:19" x14ac:dyDescent="0.25">
      <c r="B307" s="4">
        <v>20015709</v>
      </c>
      <c r="C307" s="1" t="s">
        <v>1302</v>
      </c>
      <c r="D307" s="4" t="s">
        <v>86</v>
      </c>
      <c r="E307" s="3"/>
      <c r="F307" s="3" t="s">
        <v>68</v>
      </c>
      <c r="G307" s="4">
        <v>2</v>
      </c>
      <c r="H307" s="4">
        <v>4</v>
      </c>
      <c r="I307" s="4">
        <v>0</v>
      </c>
      <c r="J307" s="4" t="s">
        <v>8</v>
      </c>
      <c r="K307" s="4" t="s">
        <v>13</v>
      </c>
      <c r="L307" s="11">
        <v>1002674973</v>
      </c>
      <c r="M307" s="3">
        <v>6</v>
      </c>
      <c r="N307"/>
      <c r="O307" s="4"/>
      <c r="P307" s="1"/>
      <c r="Q307" s="22"/>
      <c r="R307"/>
      <c r="S307" s="11"/>
    </row>
    <row r="308" spans="2:19" x14ac:dyDescent="0.25">
      <c r="B308" s="4">
        <v>20019551</v>
      </c>
      <c r="C308" s="1" t="s">
        <v>260</v>
      </c>
      <c r="D308" s="4" t="s">
        <v>86</v>
      </c>
      <c r="E308" s="3" t="s">
        <v>222</v>
      </c>
      <c r="F308" s="3" t="s">
        <v>89</v>
      </c>
      <c r="G308" s="4">
        <v>6</v>
      </c>
      <c r="H308" s="4">
        <v>12</v>
      </c>
      <c r="I308" s="4">
        <v>7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223</v>
      </c>
      <c r="S308" s="11"/>
    </row>
    <row r="309" spans="2:19" x14ac:dyDescent="0.25">
      <c r="B309" s="4">
        <v>20016025</v>
      </c>
      <c r="C309" s="1" t="s">
        <v>1549</v>
      </c>
      <c r="D309" s="4" t="s">
        <v>86</v>
      </c>
      <c r="E309" s="3"/>
      <c r="F309" s="3" t="s">
        <v>68</v>
      </c>
      <c r="G309" s="4">
        <v>5</v>
      </c>
      <c r="H309" s="4">
        <v>10</v>
      </c>
      <c r="I309" s="4">
        <v>22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</row>
    <row r="310" spans="2:19" x14ac:dyDescent="0.25">
      <c r="B310" s="4">
        <v>20019659</v>
      </c>
      <c r="C310" s="1" t="s">
        <v>261</v>
      </c>
      <c r="D310" s="4" t="s">
        <v>86</v>
      </c>
      <c r="E310" s="3" t="s">
        <v>87</v>
      </c>
      <c r="F310" s="3" t="s">
        <v>89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88</v>
      </c>
      <c r="S310" s="11"/>
    </row>
    <row r="311" spans="2:19" x14ac:dyDescent="0.25">
      <c r="B311" s="4">
        <v>20019674</v>
      </c>
      <c r="C311" s="1" t="s">
        <v>262</v>
      </c>
      <c r="D311" s="4" t="s">
        <v>86</v>
      </c>
      <c r="E311" s="3"/>
      <c r="F311" s="3" t="s">
        <v>89</v>
      </c>
      <c r="G311" s="4">
        <v>2</v>
      </c>
      <c r="H311" s="4">
        <v>2</v>
      </c>
      <c r="I311" s="4">
        <v>7</v>
      </c>
      <c r="J311" s="4" t="s">
        <v>354</v>
      </c>
      <c r="K311" s="4" t="s">
        <v>14</v>
      </c>
      <c r="L311" s="11"/>
      <c r="M311" s="3"/>
      <c r="N311"/>
      <c r="O311" s="4"/>
      <c r="P311" s="1"/>
      <c r="Q311" s="22"/>
      <c r="R311" t="s">
        <v>113</v>
      </c>
      <c r="S311" s="11"/>
    </row>
    <row r="312" spans="2:19" x14ac:dyDescent="0.25">
      <c r="B312" s="4">
        <v>20019687</v>
      </c>
      <c r="C312" s="1" t="s">
        <v>263</v>
      </c>
      <c r="D312" s="4" t="s">
        <v>86</v>
      </c>
      <c r="E312" s="3" t="s">
        <v>87</v>
      </c>
      <c r="F312" s="3" t="s">
        <v>89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88</v>
      </c>
      <c r="S312" s="11"/>
    </row>
    <row r="313" spans="2:19" x14ac:dyDescent="0.25">
      <c r="B313" s="4">
        <v>20019688</v>
      </c>
      <c r="C313" s="1" t="s">
        <v>264</v>
      </c>
      <c r="D313" s="4" t="s">
        <v>86</v>
      </c>
      <c r="E313" s="3" t="s">
        <v>87</v>
      </c>
      <c r="F313" s="3" t="s">
        <v>89</v>
      </c>
      <c r="G313" s="4">
        <v>3</v>
      </c>
      <c r="H313" s="4">
        <v>4</v>
      </c>
      <c r="I313" s="4">
        <v>33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88</v>
      </c>
      <c r="S313" s="11"/>
    </row>
    <row r="314" spans="2:19" x14ac:dyDescent="0.25">
      <c r="B314" s="4">
        <v>20019729</v>
      </c>
      <c r="C314" s="1" t="s">
        <v>265</v>
      </c>
      <c r="D314" s="4" t="s">
        <v>86</v>
      </c>
      <c r="E314" s="3"/>
      <c r="F314" s="3" t="s">
        <v>89</v>
      </c>
      <c r="G314" s="4">
        <v>10</v>
      </c>
      <c r="H314" s="4">
        <v>20</v>
      </c>
      <c r="I314" s="4">
        <v>23</v>
      </c>
      <c r="J314" s="4" t="s">
        <v>8</v>
      </c>
      <c r="K314" s="4" t="s">
        <v>7</v>
      </c>
      <c r="L314" s="11"/>
      <c r="M314" s="3"/>
      <c r="N314"/>
      <c r="O314" s="4"/>
      <c r="P314" s="1"/>
      <c r="Q314" s="22"/>
      <c r="R314" t="s">
        <v>113</v>
      </c>
      <c r="S314" s="11"/>
    </row>
    <row r="315" spans="2:19" x14ac:dyDescent="0.25">
      <c r="B315" s="4">
        <v>20016983</v>
      </c>
      <c r="C315" s="1" t="s">
        <v>1527</v>
      </c>
      <c r="D315" s="4" t="s">
        <v>86</v>
      </c>
      <c r="E315" s="3"/>
      <c r="F315" s="3" t="s">
        <v>68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</row>
    <row r="316" spans="2:19" x14ac:dyDescent="0.25">
      <c r="B316" s="4">
        <v>20019753</v>
      </c>
      <c r="C316" s="1" t="s">
        <v>266</v>
      </c>
      <c r="D316" s="4" t="s">
        <v>86</v>
      </c>
      <c r="E316" s="3" t="s">
        <v>87</v>
      </c>
      <c r="F316" s="3" t="s">
        <v>89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88</v>
      </c>
      <c r="S316" s="11"/>
    </row>
    <row r="317" spans="2:19" x14ac:dyDescent="0.25">
      <c r="B317" s="4">
        <v>20019782</v>
      </c>
      <c r="C317" s="1" t="s">
        <v>267</v>
      </c>
      <c r="D317" s="4" t="s">
        <v>86</v>
      </c>
      <c r="E317" s="3" t="s">
        <v>91</v>
      </c>
      <c r="F317" s="3" t="s">
        <v>89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92</v>
      </c>
      <c r="S317" s="11"/>
    </row>
    <row r="318" spans="2:19" x14ac:dyDescent="0.25">
      <c r="B318" s="4">
        <v>20019783</v>
      </c>
      <c r="C318" s="1" t="s">
        <v>268</v>
      </c>
      <c r="D318" s="4" t="s">
        <v>86</v>
      </c>
      <c r="E318" s="3" t="s">
        <v>91</v>
      </c>
      <c r="F318" s="3" t="s">
        <v>89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92</v>
      </c>
      <c r="S318" s="11"/>
    </row>
    <row r="319" spans="2:19" x14ac:dyDescent="0.25">
      <c r="B319" s="4">
        <v>20017830</v>
      </c>
      <c r="C319" s="1" t="s">
        <v>1412</v>
      </c>
      <c r="D319" s="4" t="s">
        <v>86</v>
      </c>
      <c r="E319" s="3"/>
      <c r="F319" s="3" t="s">
        <v>68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</row>
    <row r="320" spans="2:19" x14ac:dyDescent="0.25">
      <c r="B320" s="4">
        <v>20019784</v>
      </c>
      <c r="C320" s="1" t="s">
        <v>269</v>
      </c>
      <c r="D320" s="4" t="s">
        <v>86</v>
      </c>
      <c r="E320" s="3" t="s">
        <v>91</v>
      </c>
      <c r="F320" s="3" t="s">
        <v>89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/>
      <c r="M320" s="3"/>
      <c r="N320">
        <v>4502698229</v>
      </c>
      <c r="O320" s="4">
        <v>10</v>
      </c>
      <c r="P320" s="1" t="s">
        <v>1566</v>
      </c>
      <c r="Q320" s="22">
        <v>46237</v>
      </c>
      <c r="R320" t="s">
        <v>92</v>
      </c>
      <c r="S320" s="11"/>
    </row>
    <row r="321" spans="2:19" x14ac:dyDescent="0.25">
      <c r="B321" s="4">
        <v>20018239</v>
      </c>
      <c r="C321" s="1" t="s">
        <v>1532</v>
      </c>
      <c r="D321" s="4" t="s">
        <v>86</v>
      </c>
      <c r="E321" s="3"/>
      <c r="F321" s="3" t="s">
        <v>68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</row>
    <row r="322" spans="2:19" x14ac:dyDescent="0.25">
      <c r="B322" s="4">
        <v>20019785</v>
      </c>
      <c r="C322" s="1" t="s">
        <v>270</v>
      </c>
      <c r="D322" s="4" t="s">
        <v>86</v>
      </c>
      <c r="E322" s="3" t="s">
        <v>91</v>
      </c>
      <c r="F322" s="3" t="s">
        <v>89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69"/>
      <c r="M322" s="3"/>
      <c r="N322"/>
      <c r="O322" s="4"/>
      <c r="P322" s="1"/>
      <c r="Q322" s="22"/>
      <c r="R322" t="s">
        <v>92</v>
      </c>
      <c r="S322" s="11"/>
    </row>
    <row r="323" spans="2:19" x14ac:dyDescent="0.25">
      <c r="B323" s="4">
        <v>20018240</v>
      </c>
      <c r="C323" s="1" t="s">
        <v>1533</v>
      </c>
      <c r="D323" s="4" t="s">
        <v>86</v>
      </c>
      <c r="E323" s="3"/>
      <c r="F323" s="3" t="s">
        <v>68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</row>
    <row r="324" spans="2:19" x14ac:dyDescent="0.25">
      <c r="B324" s="4">
        <v>20019788</v>
      </c>
      <c r="C324" s="1" t="s">
        <v>1374</v>
      </c>
      <c r="D324" s="4" t="s">
        <v>86</v>
      </c>
      <c r="E324" s="3" t="s">
        <v>118</v>
      </c>
      <c r="F324" s="3" t="s">
        <v>89</v>
      </c>
      <c r="G324" s="4">
        <v>1</v>
      </c>
      <c r="H324" s="4">
        <v>1</v>
      </c>
      <c r="I324" s="4">
        <v>1</v>
      </c>
      <c r="J324" s="4" t="s">
        <v>8</v>
      </c>
      <c r="K324" s="4" t="s">
        <v>7</v>
      </c>
      <c r="L324" s="11"/>
      <c r="M324" s="3"/>
      <c r="N324"/>
      <c r="O324" s="4"/>
      <c r="P324" s="1"/>
      <c r="Q324" s="22"/>
      <c r="R324" t="s">
        <v>156</v>
      </c>
      <c r="S324" s="11"/>
    </row>
    <row r="325" spans="2:19" x14ac:dyDescent="0.25">
      <c r="B325" s="4">
        <v>20019883</v>
      </c>
      <c r="C325" s="1" t="s">
        <v>271</v>
      </c>
      <c r="D325" s="4" t="s">
        <v>86</v>
      </c>
      <c r="E325" s="3" t="s">
        <v>91</v>
      </c>
      <c r="F325" s="3" t="s">
        <v>89</v>
      </c>
      <c r="G325" s="4">
        <v>20</v>
      </c>
      <c r="H325" s="4">
        <v>30</v>
      </c>
      <c r="I325" s="4">
        <v>45</v>
      </c>
      <c r="J325" s="4" t="s">
        <v>8</v>
      </c>
      <c r="K325" s="4" t="s">
        <v>7</v>
      </c>
      <c r="L325" s="11"/>
      <c r="M325" s="3"/>
      <c r="N325"/>
      <c r="O325" s="4"/>
      <c r="P325" s="1"/>
      <c r="Q325" s="22"/>
      <c r="R325" t="s">
        <v>92</v>
      </c>
      <c r="S325" s="11"/>
    </row>
    <row r="326" spans="2:19" x14ac:dyDescent="0.25">
      <c r="B326" s="4">
        <v>20019884</v>
      </c>
      <c r="C326" s="1" t="s">
        <v>272</v>
      </c>
      <c r="D326" s="4" t="s">
        <v>86</v>
      </c>
      <c r="E326" s="3" t="s">
        <v>91</v>
      </c>
      <c r="F326" s="3" t="s">
        <v>89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92</v>
      </c>
      <c r="S326" s="11"/>
    </row>
    <row r="327" spans="2:19" x14ac:dyDescent="0.25">
      <c r="B327" s="4">
        <v>20018777</v>
      </c>
      <c r="C327" s="1" t="s">
        <v>1384</v>
      </c>
      <c r="D327" s="4" t="s">
        <v>86</v>
      </c>
      <c r="E327" s="3"/>
      <c r="F327" s="3" t="s">
        <v>68</v>
      </c>
      <c r="G327" s="4">
        <v>20</v>
      </c>
      <c r="H327" s="4">
        <v>40</v>
      </c>
      <c r="I327" s="4">
        <v>16</v>
      </c>
      <c r="J327" s="4" t="s">
        <v>8</v>
      </c>
      <c r="K327" s="4" t="s">
        <v>9</v>
      </c>
      <c r="L327" s="11" t="s">
        <v>1668</v>
      </c>
      <c r="M327" s="3">
        <v>40</v>
      </c>
      <c r="N327"/>
      <c r="O327" s="4"/>
      <c r="P327" s="1"/>
      <c r="Q327" s="22"/>
      <c r="R327"/>
      <c r="S327" s="11"/>
    </row>
    <row r="328" spans="2:19" x14ac:dyDescent="0.25">
      <c r="B328" s="4">
        <v>20019889</v>
      </c>
      <c r="C328" s="1" t="s">
        <v>273</v>
      </c>
      <c r="D328" s="4" t="s">
        <v>86</v>
      </c>
      <c r="E328" s="3" t="s">
        <v>129</v>
      </c>
      <c r="F328" s="3" t="s">
        <v>89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130</v>
      </c>
      <c r="S328" s="11"/>
    </row>
    <row r="329" spans="2:19" x14ac:dyDescent="0.25">
      <c r="B329" s="4">
        <v>20018778</v>
      </c>
      <c r="C329" s="1" t="s">
        <v>1534</v>
      </c>
      <c r="D329" s="4" t="s">
        <v>86</v>
      </c>
      <c r="E329" s="3"/>
      <c r="F329" s="3" t="s">
        <v>68</v>
      </c>
      <c r="G329" s="4">
        <v>100</v>
      </c>
      <c r="H329" s="4">
        <v>100</v>
      </c>
      <c r="I329" s="4">
        <v>136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</row>
    <row r="330" spans="2:19" x14ac:dyDescent="0.25">
      <c r="B330" s="4">
        <v>20018779</v>
      </c>
      <c r="C330" s="1" t="s">
        <v>1535</v>
      </c>
      <c r="D330" s="4" t="s">
        <v>86</v>
      </c>
      <c r="E330" s="3"/>
      <c r="F330" s="3" t="s">
        <v>68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</row>
    <row r="331" spans="2:19" x14ac:dyDescent="0.25">
      <c r="B331" s="4">
        <v>20019892</v>
      </c>
      <c r="C331" s="1" t="s">
        <v>274</v>
      </c>
      <c r="D331" s="4" t="s">
        <v>86</v>
      </c>
      <c r="E331" s="3" t="s">
        <v>129</v>
      </c>
      <c r="F331" s="3" t="s">
        <v>89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130</v>
      </c>
      <c r="S331" s="11"/>
    </row>
    <row r="332" spans="2:19" x14ac:dyDescent="0.25">
      <c r="B332" s="4">
        <v>20019411</v>
      </c>
      <c r="C332" s="1" t="s">
        <v>1331</v>
      </c>
      <c r="D332" s="4" t="s">
        <v>86</v>
      </c>
      <c r="E332" s="3"/>
      <c r="F332" s="3" t="s">
        <v>68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</row>
    <row r="333" spans="2:19" x14ac:dyDescent="0.25">
      <c r="B333" s="4">
        <v>20019915</v>
      </c>
      <c r="C333" s="1" t="s">
        <v>275</v>
      </c>
      <c r="D333" s="4" t="s">
        <v>86</v>
      </c>
      <c r="E333" s="3" t="s">
        <v>87</v>
      </c>
      <c r="F333" s="3" t="s">
        <v>89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88</v>
      </c>
      <c r="S333" s="11"/>
    </row>
    <row r="334" spans="2:19" x14ac:dyDescent="0.25">
      <c r="B334" s="4">
        <v>20019916</v>
      </c>
      <c r="C334" s="1" t="s">
        <v>276</v>
      </c>
      <c r="D334" s="4" t="s">
        <v>86</v>
      </c>
      <c r="E334" s="3"/>
      <c r="F334" s="3" t="s">
        <v>89</v>
      </c>
      <c r="G334" s="4">
        <v>15000</v>
      </c>
      <c r="H334" s="4">
        <v>10000</v>
      </c>
      <c r="I334" s="4">
        <v>12200</v>
      </c>
      <c r="J334" s="4" t="s">
        <v>25</v>
      </c>
      <c r="K334" s="4" t="s">
        <v>9</v>
      </c>
      <c r="L334" s="11"/>
      <c r="M334" s="3"/>
      <c r="N334">
        <v>4502682483</v>
      </c>
      <c r="O334" s="4">
        <v>25000</v>
      </c>
      <c r="P334" s="1" t="s">
        <v>1554</v>
      </c>
      <c r="Q334" s="22">
        <v>46202</v>
      </c>
      <c r="R334"/>
      <c r="S334" s="11"/>
    </row>
    <row r="335" spans="2:19" x14ac:dyDescent="0.25">
      <c r="B335" s="4">
        <v>20019917</v>
      </c>
      <c r="C335" s="1" t="s">
        <v>277</v>
      </c>
      <c r="D335" s="4" t="s">
        <v>86</v>
      </c>
      <c r="E335" s="3"/>
      <c r="F335" s="3" t="s">
        <v>89</v>
      </c>
      <c r="G335" s="4">
        <v>5</v>
      </c>
      <c r="H335" s="4">
        <v>10</v>
      </c>
      <c r="I335" s="4">
        <v>9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113</v>
      </c>
      <c r="S335" s="11"/>
    </row>
    <row r="336" spans="2:19" x14ac:dyDescent="0.25">
      <c r="B336" s="4">
        <v>20019919</v>
      </c>
      <c r="C336" s="1" t="s">
        <v>278</v>
      </c>
      <c r="D336" s="4" t="s">
        <v>86</v>
      </c>
      <c r="E336" s="3" t="s">
        <v>91</v>
      </c>
      <c r="F336" s="3" t="s">
        <v>89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92</v>
      </c>
      <c r="S336" s="11"/>
    </row>
    <row r="337" spans="2:19" x14ac:dyDescent="0.25">
      <c r="B337" s="4">
        <v>20019671</v>
      </c>
      <c r="C337" s="1" t="s">
        <v>1484</v>
      </c>
      <c r="D337" s="4" t="s">
        <v>86</v>
      </c>
      <c r="E337" s="3"/>
      <c r="F337" s="3" t="s">
        <v>68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</row>
    <row r="338" spans="2:19" x14ac:dyDescent="0.25">
      <c r="B338" s="4">
        <v>20019920</v>
      </c>
      <c r="C338" s="1" t="s">
        <v>279</v>
      </c>
      <c r="D338" s="4" t="s">
        <v>86</v>
      </c>
      <c r="E338" s="3"/>
      <c r="F338" s="3" t="s">
        <v>89</v>
      </c>
      <c r="G338" s="4">
        <v>150</v>
      </c>
      <c r="H338" s="4">
        <v>300</v>
      </c>
      <c r="I338" s="4">
        <v>157</v>
      </c>
      <c r="J338" s="4" t="s">
        <v>8</v>
      </c>
      <c r="K338" s="4" t="s">
        <v>7</v>
      </c>
      <c r="L338" s="11"/>
      <c r="M338" s="3"/>
      <c r="N338">
        <v>4502698421</v>
      </c>
      <c r="O338" s="4">
        <v>300</v>
      </c>
      <c r="P338" s="1" t="s">
        <v>1510</v>
      </c>
      <c r="Q338" s="22">
        <v>46241</v>
      </c>
      <c r="R338" t="s">
        <v>113</v>
      </c>
      <c r="S338" s="11"/>
    </row>
    <row r="339" spans="2:19" x14ac:dyDescent="0.25">
      <c r="B339" s="4">
        <v>20019970</v>
      </c>
      <c r="C339" s="1" t="s">
        <v>283</v>
      </c>
      <c r="D339" s="4" t="s">
        <v>86</v>
      </c>
      <c r="E339" s="3" t="s">
        <v>91</v>
      </c>
      <c r="F339" s="3" t="s">
        <v>89</v>
      </c>
      <c r="G339" s="4">
        <v>40</v>
      </c>
      <c r="H339" s="4">
        <v>40</v>
      </c>
      <c r="I339" s="4">
        <v>77</v>
      </c>
      <c r="J339" s="4" t="s">
        <v>8</v>
      </c>
      <c r="K339" s="4" t="s">
        <v>7</v>
      </c>
      <c r="L339" s="11"/>
      <c r="M339" s="3"/>
      <c r="N339"/>
      <c r="O339" s="4"/>
      <c r="P339" s="1"/>
      <c r="Q339" s="22"/>
      <c r="R339" t="s">
        <v>92</v>
      </c>
      <c r="S339" s="11"/>
    </row>
    <row r="340" spans="2:19" x14ac:dyDescent="0.25">
      <c r="B340" s="4">
        <v>20019971</v>
      </c>
      <c r="C340" s="1" t="s">
        <v>284</v>
      </c>
      <c r="D340" s="4" t="s">
        <v>86</v>
      </c>
      <c r="E340" s="3" t="s">
        <v>91</v>
      </c>
      <c r="F340" s="3" t="s">
        <v>89</v>
      </c>
      <c r="G340" s="4">
        <v>100</v>
      </c>
      <c r="H340" s="4">
        <v>200</v>
      </c>
      <c r="I340" s="4">
        <v>115</v>
      </c>
      <c r="J340" s="4" t="s">
        <v>8</v>
      </c>
      <c r="K340" s="4" t="s">
        <v>7</v>
      </c>
      <c r="L340" s="69"/>
      <c r="M340" s="3"/>
      <c r="N340"/>
      <c r="O340" s="4"/>
      <c r="P340" s="1"/>
      <c r="Q340" s="22"/>
      <c r="R340" t="s">
        <v>92</v>
      </c>
      <c r="S340" s="11"/>
    </row>
    <row r="341" spans="2:19" x14ac:dyDescent="0.25">
      <c r="B341" s="4">
        <v>20019974</v>
      </c>
      <c r="C341" s="1" t="s">
        <v>285</v>
      </c>
      <c r="D341" s="4" t="s">
        <v>86</v>
      </c>
      <c r="E341" s="3" t="s">
        <v>91</v>
      </c>
      <c r="F341" s="3" t="s">
        <v>89</v>
      </c>
      <c r="G341" s="4">
        <v>11</v>
      </c>
      <c r="H341" s="4">
        <v>20</v>
      </c>
      <c r="I341" s="4">
        <v>50</v>
      </c>
      <c r="J341" s="4" t="s">
        <v>8</v>
      </c>
      <c r="K341" s="4" t="s">
        <v>14</v>
      </c>
      <c r="L341" s="11"/>
      <c r="M341" s="3"/>
      <c r="N341"/>
      <c r="O341" s="4"/>
      <c r="P341" s="1"/>
      <c r="Q341" s="22"/>
      <c r="R341" t="s">
        <v>92</v>
      </c>
      <c r="S341" s="11"/>
    </row>
    <row r="342" spans="2:19" x14ac:dyDescent="0.25">
      <c r="B342" s="4">
        <v>20020007</v>
      </c>
      <c r="C342" s="1" t="s">
        <v>17</v>
      </c>
      <c r="D342" s="4" t="s">
        <v>86</v>
      </c>
      <c r="E342" s="3"/>
      <c r="F342" s="3" t="s">
        <v>89</v>
      </c>
      <c r="G342" s="4">
        <v>30</v>
      </c>
      <c r="H342" s="4">
        <v>40</v>
      </c>
      <c r="I342" s="4">
        <v>59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113</v>
      </c>
      <c r="S342" s="11"/>
    </row>
    <row r="343" spans="2:19" x14ac:dyDescent="0.25">
      <c r="B343" s="4">
        <v>20020070</v>
      </c>
      <c r="C343" s="1" t="s">
        <v>286</v>
      </c>
      <c r="D343" s="4" t="s">
        <v>86</v>
      </c>
      <c r="E343" s="3"/>
      <c r="F343" s="3" t="s">
        <v>89</v>
      </c>
      <c r="G343" s="4">
        <v>5</v>
      </c>
      <c r="H343" s="4">
        <v>5</v>
      </c>
      <c r="I343" s="4">
        <v>2</v>
      </c>
      <c r="J343" s="4" t="s">
        <v>21</v>
      </c>
      <c r="K343" s="4" t="s">
        <v>9</v>
      </c>
      <c r="L343" s="11"/>
      <c r="M343" s="3"/>
      <c r="N343">
        <v>4502692086</v>
      </c>
      <c r="O343" s="4">
        <v>5</v>
      </c>
      <c r="P343" s="1" t="s">
        <v>22</v>
      </c>
      <c r="Q343" s="22">
        <v>46216</v>
      </c>
      <c r="R343" t="s">
        <v>113</v>
      </c>
      <c r="S343" s="11"/>
    </row>
    <row r="344" spans="2:19" x14ac:dyDescent="0.25">
      <c r="B344" s="4">
        <v>20020071</v>
      </c>
      <c r="C344" s="1" t="s">
        <v>287</v>
      </c>
      <c r="D344" s="4" t="s">
        <v>86</v>
      </c>
      <c r="E344" s="3"/>
      <c r="F344" s="3" t="s">
        <v>89</v>
      </c>
      <c r="G344" s="4">
        <v>5</v>
      </c>
      <c r="H344" s="4">
        <v>5</v>
      </c>
      <c r="I344" s="4">
        <v>10</v>
      </c>
      <c r="J344" s="4" t="s">
        <v>21</v>
      </c>
      <c r="K344" s="4" t="s">
        <v>7</v>
      </c>
      <c r="L344" s="11"/>
      <c r="M344" s="3"/>
      <c r="N344"/>
      <c r="O344" s="4"/>
      <c r="P344" s="1"/>
      <c r="Q344" s="22"/>
      <c r="R344" t="s">
        <v>113</v>
      </c>
      <c r="S344" s="11"/>
    </row>
    <row r="345" spans="2:19" x14ac:dyDescent="0.25">
      <c r="B345" s="4">
        <v>20020075</v>
      </c>
      <c r="C345" s="1" t="s">
        <v>72</v>
      </c>
      <c r="D345" s="4" t="s">
        <v>86</v>
      </c>
      <c r="E345" s="3"/>
      <c r="F345" s="3" t="s">
        <v>89</v>
      </c>
      <c r="G345" s="4">
        <v>300</v>
      </c>
      <c r="H345" s="4">
        <v>400</v>
      </c>
      <c r="I345" s="4">
        <v>607</v>
      </c>
      <c r="J345" s="4" t="s">
        <v>21</v>
      </c>
      <c r="K345" s="4" t="s">
        <v>7</v>
      </c>
      <c r="L345" s="11"/>
      <c r="M345" s="3"/>
      <c r="N345"/>
      <c r="O345" s="4"/>
      <c r="P345" s="1"/>
      <c r="Q345" s="22"/>
      <c r="R345" t="s">
        <v>113</v>
      </c>
      <c r="S345" s="11"/>
    </row>
    <row r="346" spans="2:19" x14ac:dyDescent="0.25">
      <c r="B346" s="4">
        <v>20020076</v>
      </c>
      <c r="C346" s="1" t="s">
        <v>288</v>
      </c>
      <c r="D346" s="4" t="s">
        <v>86</v>
      </c>
      <c r="E346" s="3"/>
      <c r="F346" s="3" t="s">
        <v>89</v>
      </c>
      <c r="G346" s="4">
        <v>40</v>
      </c>
      <c r="H346" s="4">
        <v>100</v>
      </c>
      <c r="I346" s="4">
        <v>79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113</v>
      </c>
      <c r="S346" s="11"/>
    </row>
    <row r="347" spans="2:19" x14ac:dyDescent="0.25">
      <c r="B347" s="4">
        <v>20020077</v>
      </c>
      <c r="C347" s="1" t="s">
        <v>289</v>
      </c>
      <c r="D347" s="4" t="s">
        <v>86</v>
      </c>
      <c r="E347" s="3"/>
      <c r="F347" s="3" t="s">
        <v>89</v>
      </c>
      <c r="G347" s="4">
        <v>2</v>
      </c>
      <c r="H347" s="4">
        <v>2</v>
      </c>
      <c r="I347" s="4">
        <v>2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113</v>
      </c>
      <c r="S347" s="11"/>
    </row>
    <row r="348" spans="2:19" x14ac:dyDescent="0.25">
      <c r="B348" s="4">
        <v>20019787</v>
      </c>
      <c r="C348" s="1" t="s">
        <v>1375</v>
      </c>
      <c r="D348" s="4" t="s">
        <v>86</v>
      </c>
      <c r="E348" s="3"/>
      <c r="F348" s="3" t="s">
        <v>68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</row>
    <row r="349" spans="2:19" x14ac:dyDescent="0.25">
      <c r="B349" s="4">
        <v>20020078</v>
      </c>
      <c r="C349" s="1" t="s">
        <v>290</v>
      </c>
      <c r="D349" s="4" t="s">
        <v>86</v>
      </c>
      <c r="E349" s="3"/>
      <c r="F349" s="3" t="s">
        <v>89</v>
      </c>
      <c r="G349" s="4">
        <v>4</v>
      </c>
      <c r="H349" s="4">
        <v>6</v>
      </c>
      <c r="I349" s="4">
        <v>7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113</v>
      </c>
      <c r="S349" s="11"/>
    </row>
    <row r="350" spans="2:19" x14ac:dyDescent="0.25">
      <c r="B350" s="4">
        <v>20020079</v>
      </c>
      <c r="C350" s="1" t="s">
        <v>291</v>
      </c>
      <c r="D350" s="4" t="s">
        <v>86</v>
      </c>
      <c r="E350" s="3"/>
      <c r="F350" s="3" t="s">
        <v>89</v>
      </c>
      <c r="G350" s="4">
        <v>8</v>
      </c>
      <c r="H350" s="4">
        <v>10</v>
      </c>
      <c r="I350" s="4">
        <v>13</v>
      </c>
      <c r="J350" s="4" t="s">
        <v>21</v>
      </c>
      <c r="K350" s="4" t="s">
        <v>7</v>
      </c>
      <c r="L350" s="11"/>
      <c r="M350" s="3"/>
      <c r="N350"/>
      <c r="O350" s="4"/>
      <c r="P350" s="1"/>
      <c r="Q350" s="22"/>
      <c r="R350" t="s">
        <v>113</v>
      </c>
      <c r="S350" s="11"/>
    </row>
    <row r="351" spans="2:19" x14ac:dyDescent="0.25">
      <c r="B351" s="4">
        <v>20020080</v>
      </c>
      <c r="C351" s="1" t="s">
        <v>292</v>
      </c>
      <c r="D351" s="4" t="s">
        <v>86</v>
      </c>
      <c r="E351" s="3"/>
      <c r="F351" s="3" t="s">
        <v>89</v>
      </c>
      <c r="G351" s="4">
        <v>60</v>
      </c>
      <c r="H351" s="4">
        <v>200</v>
      </c>
      <c r="I351" s="4">
        <v>138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113</v>
      </c>
      <c r="S351" s="11"/>
    </row>
    <row r="352" spans="2:19" x14ac:dyDescent="0.25">
      <c r="B352" s="4">
        <v>20020081</v>
      </c>
      <c r="C352" s="1" t="s">
        <v>293</v>
      </c>
      <c r="D352" s="4" t="s">
        <v>86</v>
      </c>
      <c r="E352" s="3"/>
      <c r="F352" s="3" t="s">
        <v>89</v>
      </c>
      <c r="G352" s="4">
        <v>100</v>
      </c>
      <c r="H352" s="4">
        <v>200</v>
      </c>
      <c r="I352" s="4">
        <v>129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113</v>
      </c>
      <c r="S352" s="11"/>
    </row>
    <row r="353" spans="2:19" x14ac:dyDescent="0.25">
      <c r="B353" s="4">
        <v>20020107</v>
      </c>
      <c r="C353" s="1" t="s">
        <v>294</v>
      </c>
      <c r="D353" s="4" t="s">
        <v>86</v>
      </c>
      <c r="E353" s="3" t="s">
        <v>87</v>
      </c>
      <c r="F353" s="3" t="s">
        <v>89</v>
      </c>
      <c r="G353" s="4">
        <v>4</v>
      </c>
      <c r="H353" s="4">
        <v>4</v>
      </c>
      <c r="I353" s="4">
        <v>1</v>
      </c>
      <c r="J353" s="4" t="s">
        <v>8</v>
      </c>
      <c r="K353" s="4" t="s">
        <v>9</v>
      </c>
      <c r="L353" s="11"/>
      <c r="M353" s="3"/>
      <c r="N353">
        <v>4700161995</v>
      </c>
      <c r="O353" s="4">
        <v>2</v>
      </c>
      <c r="P353" s="1" t="s">
        <v>1628</v>
      </c>
      <c r="Q353" s="22">
        <v>46262</v>
      </c>
      <c r="R353" t="s">
        <v>88</v>
      </c>
      <c r="S353" s="11"/>
    </row>
    <row r="354" spans="2:19" x14ac:dyDescent="0.25">
      <c r="B354" s="4">
        <v>20020119</v>
      </c>
      <c r="C354" s="1" t="s">
        <v>295</v>
      </c>
      <c r="D354" s="4" t="s">
        <v>86</v>
      </c>
      <c r="E354" s="3" t="s">
        <v>87</v>
      </c>
      <c r="F354" s="3" t="s">
        <v>89</v>
      </c>
      <c r="G354" s="4">
        <v>41</v>
      </c>
      <c r="H354" s="4">
        <v>68</v>
      </c>
      <c r="I354" s="4">
        <v>6</v>
      </c>
      <c r="J354" s="4" t="s">
        <v>8</v>
      </c>
      <c r="K354" s="4" t="s">
        <v>9</v>
      </c>
      <c r="L354" s="11"/>
      <c r="M354" s="3"/>
      <c r="N354">
        <v>4502692382</v>
      </c>
      <c r="O354" s="4">
        <v>103</v>
      </c>
      <c r="P354" s="1" t="s">
        <v>1396</v>
      </c>
      <c r="Q354" s="22">
        <v>46223</v>
      </c>
      <c r="R354" t="s">
        <v>88</v>
      </c>
      <c r="S354" s="11"/>
    </row>
    <row r="355" spans="2:19" x14ac:dyDescent="0.25">
      <c r="B355" s="4">
        <v>20020122</v>
      </c>
      <c r="C355" s="1" t="s">
        <v>296</v>
      </c>
      <c r="D355" s="4" t="s">
        <v>86</v>
      </c>
      <c r="E355" s="3"/>
      <c r="F355" s="3" t="s">
        <v>89</v>
      </c>
      <c r="G355" s="4">
        <v>10</v>
      </c>
      <c r="H355" s="4">
        <v>15</v>
      </c>
      <c r="I355" s="4">
        <v>21</v>
      </c>
      <c r="J355" s="4" t="s">
        <v>21</v>
      </c>
      <c r="K355" s="4" t="s">
        <v>7</v>
      </c>
      <c r="L355" s="11"/>
      <c r="M355" s="3"/>
      <c r="N355"/>
      <c r="O355" s="4"/>
      <c r="P355" s="1"/>
      <c r="Q355" s="22"/>
      <c r="R355" t="s">
        <v>113</v>
      </c>
      <c r="S355" s="11"/>
    </row>
    <row r="356" spans="2:19" x14ac:dyDescent="0.25">
      <c r="B356" s="4">
        <v>20020123</v>
      </c>
      <c r="C356" s="1" t="s">
        <v>297</v>
      </c>
      <c r="D356" s="4" t="s">
        <v>86</v>
      </c>
      <c r="E356" s="3"/>
      <c r="F356" s="3" t="s">
        <v>89</v>
      </c>
      <c r="G356" s="4">
        <v>15</v>
      </c>
      <c r="H356" s="4">
        <v>25</v>
      </c>
      <c r="I356" s="4">
        <v>23</v>
      </c>
      <c r="J356" s="4" t="s">
        <v>21</v>
      </c>
      <c r="K356" s="4" t="s">
        <v>7</v>
      </c>
      <c r="L356" s="11"/>
      <c r="M356" s="3"/>
      <c r="N356"/>
      <c r="O356" s="4"/>
      <c r="P356" s="1"/>
      <c r="Q356" s="22"/>
      <c r="R356" t="s">
        <v>113</v>
      </c>
      <c r="S356" s="11"/>
    </row>
    <row r="357" spans="2:19" x14ac:dyDescent="0.25">
      <c r="B357" s="4">
        <v>20020124</v>
      </c>
      <c r="C357" s="1" t="s">
        <v>298</v>
      </c>
      <c r="D357" s="4" t="s">
        <v>86</v>
      </c>
      <c r="E357" s="3"/>
      <c r="F357" s="3" t="s">
        <v>89</v>
      </c>
      <c r="G357" s="4">
        <v>10</v>
      </c>
      <c r="H357" s="4">
        <v>17</v>
      </c>
      <c r="I357" s="4">
        <v>34</v>
      </c>
      <c r="J357" s="4" t="s">
        <v>21</v>
      </c>
      <c r="K357" s="4" t="s">
        <v>14</v>
      </c>
      <c r="L357" s="11"/>
      <c r="M357" s="3"/>
      <c r="N357"/>
      <c r="O357" s="4"/>
      <c r="P357" s="1"/>
      <c r="Q357" s="22"/>
      <c r="R357" t="s">
        <v>113</v>
      </c>
      <c r="S357" s="11"/>
    </row>
    <row r="358" spans="2:19" x14ac:dyDescent="0.25">
      <c r="B358" s="4">
        <v>20020125</v>
      </c>
      <c r="C358" s="1" t="s">
        <v>299</v>
      </c>
      <c r="D358" s="4" t="s">
        <v>86</v>
      </c>
      <c r="E358" s="3"/>
      <c r="F358" s="3" t="s">
        <v>89</v>
      </c>
      <c r="G358" s="4">
        <v>5</v>
      </c>
      <c r="H358" s="4">
        <v>8</v>
      </c>
      <c r="I358" s="4">
        <v>4</v>
      </c>
      <c r="J358" s="4" t="s">
        <v>21</v>
      </c>
      <c r="K358" s="4" t="s">
        <v>9</v>
      </c>
      <c r="L358" s="11" t="s">
        <v>1671</v>
      </c>
      <c r="M358" s="3">
        <v>8</v>
      </c>
      <c r="N358"/>
      <c r="O358" s="4"/>
      <c r="P358" s="1"/>
      <c r="Q358" s="22"/>
      <c r="R358" t="s">
        <v>113</v>
      </c>
      <c r="S358" s="11"/>
    </row>
    <row r="359" spans="2:19" x14ac:dyDescent="0.25">
      <c r="B359" s="4">
        <v>20020126</v>
      </c>
      <c r="C359" s="1" t="s">
        <v>300</v>
      </c>
      <c r="D359" s="4" t="s">
        <v>86</v>
      </c>
      <c r="E359" s="3"/>
      <c r="F359" s="3" t="s">
        <v>89</v>
      </c>
      <c r="G359" s="4">
        <v>3</v>
      </c>
      <c r="H359" s="4">
        <v>4</v>
      </c>
      <c r="I359" s="4">
        <v>5</v>
      </c>
      <c r="J359" s="4" t="s">
        <v>21</v>
      </c>
      <c r="K359" s="4" t="s">
        <v>7</v>
      </c>
      <c r="L359" s="11"/>
      <c r="M359" s="3"/>
      <c r="N359"/>
      <c r="O359" s="4"/>
      <c r="P359" s="1"/>
      <c r="Q359" s="22"/>
      <c r="R359" t="s">
        <v>113</v>
      </c>
      <c r="S359" s="11"/>
    </row>
    <row r="360" spans="2:19" x14ac:dyDescent="0.25">
      <c r="B360" s="4">
        <v>20019922</v>
      </c>
      <c r="C360" s="1" t="s">
        <v>1341</v>
      </c>
      <c r="D360" s="4" t="s">
        <v>86</v>
      </c>
      <c r="E360" s="3"/>
      <c r="F360" s="3" t="s">
        <v>68</v>
      </c>
      <c r="G360" s="4">
        <v>20</v>
      </c>
      <c r="H360" s="4">
        <v>40</v>
      </c>
      <c r="I360" s="4">
        <v>110</v>
      </c>
      <c r="J360" s="4" t="s">
        <v>25</v>
      </c>
      <c r="K360" s="4" t="s">
        <v>14</v>
      </c>
      <c r="L360" s="11"/>
      <c r="M360" s="3"/>
      <c r="N360"/>
      <c r="O360" s="4"/>
      <c r="P360" s="1"/>
      <c r="Q360" s="22"/>
      <c r="R360"/>
      <c r="S360" s="11"/>
    </row>
    <row r="361" spans="2:19" x14ac:dyDescent="0.25">
      <c r="B361" s="4">
        <v>20020152</v>
      </c>
      <c r="C361" s="1" t="s">
        <v>18</v>
      </c>
      <c r="D361" s="4" t="s">
        <v>86</v>
      </c>
      <c r="E361" s="3"/>
      <c r="F361" s="3" t="s">
        <v>89</v>
      </c>
      <c r="G361" s="4">
        <v>70</v>
      </c>
      <c r="H361" s="4">
        <v>125</v>
      </c>
      <c r="I361" s="4">
        <v>189</v>
      </c>
      <c r="J361" s="4" t="s">
        <v>10</v>
      </c>
      <c r="K361" s="4" t="s">
        <v>7</v>
      </c>
      <c r="L361" s="11"/>
      <c r="M361" s="3"/>
      <c r="N361"/>
      <c r="O361" s="4"/>
      <c r="P361" s="1"/>
      <c r="Q361" s="22"/>
      <c r="R361" t="s">
        <v>113</v>
      </c>
      <c r="S361" s="11"/>
    </row>
    <row r="362" spans="2:19" x14ac:dyDescent="0.25">
      <c r="B362" s="4">
        <v>20019923</v>
      </c>
      <c r="C362" s="1" t="s">
        <v>1259</v>
      </c>
      <c r="D362" s="4" t="s">
        <v>86</v>
      </c>
      <c r="E362" s="3"/>
      <c r="F362" s="3" t="s">
        <v>68</v>
      </c>
      <c r="G362" s="4">
        <v>20</v>
      </c>
      <c r="H362" s="4">
        <v>20</v>
      </c>
      <c r="I362" s="4">
        <v>30</v>
      </c>
      <c r="J362" s="4" t="s">
        <v>8</v>
      </c>
      <c r="K362" s="4" t="s">
        <v>7</v>
      </c>
      <c r="L362" s="11"/>
      <c r="M362" s="3"/>
      <c r="N362"/>
      <c r="O362" s="4"/>
      <c r="P362" s="1"/>
      <c r="Q362" s="22"/>
      <c r="R362"/>
      <c r="S362" s="11"/>
    </row>
    <row r="363" spans="2:19" x14ac:dyDescent="0.25">
      <c r="B363" s="4">
        <v>20020153</v>
      </c>
      <c r="C363" s="1" t="s">
        <v>39</v>
      </c>
      <c r="D363" s="4" t="s">
        <v>86</v>
      </c>
      <c r="E363" s="3"/>
      <c r="F363" s="3" t="s">
        <v>89</v>
      </c>
      <c r="G363" s="4">
        <v>25</v>
      </c>
      <c r="H363" s="4">
        <v>50</v>
      </c>
      <c r="I363" s="4">
        <v>88</v>
      </c>
      <c r="J363" s="4" t="s">
        <v>10</v>
      </c>
      <c r="K363" s="4" t="s">
        <v>14</v>
      </c>
      <c r="L363" s="11"/>
      <c r="M363" s="3"/>
      <c r="N363"/>
      <c r="O363" s="4"/>
      <c r="P363" s="1"/>
      <c r="Q363" s="22"/>
      <c r="R363" t="s">
        <v>113</v>
      </c>
      <c r="S363" s="11"/>
    </row>
    <row r="364" spans="2:19" x14ac:dyDescent="0.25">
      <c r="B364" s="4">
        <v>20020154</v>
      </c>
      <c r="C364" s="1" t="s">
        <v>19</v>
      </c>
      <c r="D364" s="4" t="s">
        <v>86</v>
      </c>
      <c r="E364" s="3"/>
      <c r="F364" s="3" t="s">
        <v>89</v>
      </c>
      <c r="G364" s="4">
        <v>50</v>
      </c>
      <c r="H364" s="4">
        <v>100</v>
      </c>
      <c r="I364" s="4">
        <v>134</v>
      </c>
      <c r="J364" s="4" t="s">
        <v>10</v>
      </c>
      <c r="K364" s="4" t="s">
        <v>7</v>
      </c>
      <c r="L364" s="11"/>
      <c r="M364" s="3"/>
      <c r="N364"/>
      <c r="O364" s="4"/>
      <c r="P364" s="1"/>
      <c r="Q364" s="22"/>
      <c r="R364" t="s">
        <v>113</v>
      </c>
      <c r="S364" s="11"/>
    </row>
    <row r="365" spans="2:19" x14ac:dyDescent="0.25">
      <c r="B365" s="4">
        <v>20020181</v>
      </c>
      <c r="C365" s="1" t="s">
        <v>301</v>
      </c>
      <c r="D365" s="4" t="s">
        <v>86</v>
      </c>
      <c r="E365" s="3" t="s">
        <v>87</v>
      </c>
      <c r="F365" s="3" t="s">
        <v>89</v>
      </c>
      <c r="G365" s="4">
        <v>1</v>
      </c>
      <c r="H365" s="4">
        <v>1</v>
      </c>
      <c r="I365" s="4">
        <v>2</v>
      </c>
      <c r="J365" s="4" t="s">
        <v>8</v>
      </c>
      <c r="K365" s="4" t="s">
        <v>7</v>
      </c>
      <c r="L365" s="11"/>
      <c r="M365" s="3"/>
      <c r="N365"/>
      <c r="O365" s="4"/>
      <c r="P365" s="1"/>
      <c r="Q365" s="22"/>
      <c r="R365" t="s">
        <v>88</v>
      </c>
      <c r="S365" s="11"/>
    </row>
    <row r="366" spans="2:19" x14ac:dyDescent="0.25">
      <c r="B366" s="4">
        <v>20020182</v>
      </c>
      <c r="C366" s="1" t="s">
        <v>302</v>
      </c>
      <c r="D366" s="4" t="s">
        <v>86</v>
      </c>
      <c r="E366" s="3" t="s">
        <v>87</v>
      </c>
      <c r="F366" s="3" t="s">
        <v>89</v>
      </c>
      <c r="G366" s="4">
        <v>2</v>
      </c>
      <c r="H366" s="4">
        <v>4</v>
      </c>
      <c r="I366" s="4">
        <v>4</v>
      </c>
      <c r="J366" s="4" t="s">
        <v>8</v>
      </c>
      <c r="K366" s="4" t="s">
        <v>7</v>
      </c>
      <c r="L366" s="11"/>
      <c r="M366" s="3"/>
      <c r="N366"/>
      <c r="O366" s="4"/>
      <c r="P366" s="1"/>
      <c r="Q366" s="22"/>
      <c r="R366" t="s">
        <v>88</v>
      </c>
      <c r="S366" s="11"/>
    </row>
    <row r="367" spans="2:19" x14ac:dyDescent="0.25">
      <c r="B367" s="4">
        <v>20020191</v>
      </c>
      <c r="C367" s="1" t="s">
        <v>40</v>
      </c>
      <c r="D367" s="4" t="s">
        <v>86</v>
      </c>
      <c r="E367" s="3"/>
      <c r="F367" s="3" t="s">
        <v>89</v>
      </c>
      <c r="G367" s="4">
        <v>100</v>
      </c>
      <c r="H367" s="4">
        <v>200</v>
      </c>
      <c r="I367" s="4">
        <v>300</v>
      </c>
      <c r="J367" s="4" t="s">
        <v>21</v>
      </c>
      <c r="K367" s="4" t="s">
        <v>7</v>
      </c>
      <c r="L367" s="11"/>
      <c r="M367" s="3"/>
      <c r="N367"/>
      <c r="O367" s="4"/>
      <c r="P367" s="1"/>
      <c r="Q367" s="22"/>
      <c r="R367" t="s">
        <v>113</v>
      </c>
      <c r="S367" s="11"/>
    </row>
    <row r="368" spans="2:19" x14ac:dyDescent="0.25">
      <c r="B368" s="4">
        <v>20020201</v>
      </c>
      <c r="C368" s="1" t="s">
        <v>41</v>
      </c>
      <c r="D368" s="4" t="s">
        <v>86</v>
      </c>
      <c r="E368" s="3"/>
      <c r="F368" s="3" t="s">
        <v>89</v>
      </c>
      <c r="G368" s="4">
        <v>501</v>
      </c>
      <c r="H368" s="4">
        <v>600</v>
      </c>
      <c r="I368" s="4">
        <v>882</v>
      </c>
      <c r="J368" s="4" t="s">
        <v>21</v>
      </c>
      <c r="K368" s="4" t="s">
        <v>7</v>
      </c>
      <c r="L368" s="11"/>
      <c r="M368" s="3"/>
      <c r="N368"/>
      <c r="O368" s="4"/>
      <c r="P368" s="1"/>
      <c r="Q368" s="22"/>
      <c r="R368" t="s">
        <v>113</v>
      </c>
      <c r="S368" s="11"/>
    </row>
    <row r="369" spans="2:19" x14ac:dyDescent="0.25">
      <c r="B369" s="4">
        <v>20020202</v>
      </c>
      <c r="C369" s="1" t="s">
        <v>42</v>
      </c>
      <c r="D369" s="4" t="s">
        <v>86</v>
      </c>
      <c r="E369" s="3"/>
      <c r="F369" s="3" t="s">
        <v>89</v>
      </c>
      <c r="G369" s="4">
        <v>550</v>
      </c>
      <c r="H369" s="4">
        <v>900</v>
      </c>
      <c r="I369" s="4">
        <v>1307</v>
      </c>
      <c r="J369" s="4" t="s">
        <v>21</v>
      </c>
      <c r="K369" s="4" t="s">
        <v>7</v>
      </c>
      <c r="L369" s="11"/>
      <c r="M369" s="3"/>
      <c r="N369"/>
      <c r="O369" s="4"/>
      <c r="P369" s="1"/>
      <c r="Q369" s="22"/>
      <c r="R369" t="s">
        <v>113</v>
      </c>
      <c r="S369" s="11"/>
    </row>
    <row r="370" spans="2:19" x14ac:dyDescent="0.25">
      <c r="B370" s="4">
        <v>20020203</v>
      </c>
      <c r="C370" s="1" t="s">
        <v>43</v>
      </c>
      <c r="D370" s="4" t="s">
        <v>86</v>
      </c>
      <c r="E370" s="3"/>
      <c r="F370" s="3" t="s">
        <v>89</v>
      </c>
      <c r="G370" s="4">
        <v>145</v>
      </c>
      <c r="H370" s="4">
        <v>288</v>
      </c>
      <c r="I370" s="4">
        <v>222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113</v>
      </c>
      <c r="S370" s="11"/>
    </row>
    <row r="371" spans="2:19" x14ac:dyDescent="0.25">
      <c r="B371" s="4">
        <v>20020204</v>
      </c>
      <c r="C371" s="1" t="s">
        <v>303</v>
      </c>
      <c r="D371" s="4" t="s">
        <v>86</v>
      </c>
      <c r="E371" s="3"/>
      <c r="F371" s="3" t="s">
        <v>89</v>
      </c>
      <c r="G371" s="4">
        <v>5</v>
      </c>
      <c r="H371" s="4">
        <v>8</v>
      </c>
      <c r="I371" s="4">
        <v>7</v>
      </c>
      <c r="J371" s="4" t="s">
        <v>10</v>
      </c>
      <c r="K371" s="4" t="s">
        <v>7</v>
      </c>
      <c r="L371" s="11"/>
      <c r="M371" s="3"/>
      <c r="N371"/>
      <c r="O371" s="4"/>
      <c r="P371" s="1"/>
      <c r="Q371" s="22"/>
      <c r="R371" t="s">
        <v>113</v>
      </c>
      <c r="S371" s="11"/>
    </row>
    <row r="372" spans="2:19" x14ac:dyDescent="0.25">
      <c r="B372" s="4">
        <v>20020296</v>
      </c>
      <c r="C372" s="1" t="s">
        <v>304</v>
      </c>
      <c r="D372" s="4" t="s">
        <v>86</v>
      </c>
      <c r="E372" s="3" t="s">
        <v>91</v>
      </c>
      <c r="F372" s="3" t="s">
        <v>89</v>
      </c>
      <c r="G372" s="4">
        <v>10</v>
      </c>
      <c r="H372" s="4">
        <v>30</v>
      </c>
      <c r="I372" s="4">
        <v>20</v>
      </c>
      <c r="J372" s="4" t="s">
        <v>8</v>
      </c>
      <c r="K372" s="4" t="s">
        <v>7</v>
      </c>
      <c r="L372" s="11"/>
      <c r="M372" s="3"/>
      <c r="N372"/>
      <c r="O372" s="4"/>
      <c r="P372" s="1"/>
      <c r="Q372" s="22"/>
      <c r="R372" t="s">
        <v>92</v>
      </c>
      <c r="S372" s="11"/>
    </row>
    <row r="373" spans="2:19" x14ac:dyDescent="0.25">
      <c r="B373" s="4">
        <v>20020326</v>
      </c>
      <c r="C373" s="1" t="s">
        <v>305</v>
      </c>
      <c r="D373" s="4" t="s">
        <v>86</v>
      </c>
      <c r="E373" s="3"/>
      <c r="F373" s="3" t="s">
        <v>89</v>
      </c>
      <c r="G373" s="4">
        <v>4</v>
      </c>
      <c r="H373" s="4">
        <v>6</v>
      </c>
      <c r="I373" s="4">
        <v>4</v>
      </c>
      <c r="J373" s="4" t="s">
        <v>8</v>
      </c>
      <c r="K373" s="4" t="s">
        <v>7</v>
      </c>
      <c r="L373" s="11"/>
      <c r="M373" s="3"/>
      <c r="N373"/>
      <c r="O373" s="4"/>
      <c r="P373" s="1"/>
      <c r="Q373" s="22"/>
      <c r="R373" t="s">
        <v>113</v>
      </c>
      <c r="S373" s="11"/>
    </row>
    <row r="374" spans="2:19" x14ac:dyDescent="0.25">
      <c r="B374" s="4">
        <v>20020331</v>
      </c>
      <c r="C374" s="1" t="s">
        <v>306</v>
      </c>
      <c r="D374" s="4" t="s">
        <v>86</v>
      </c>
      <c r="E374" s="3" t="s">
        <v>97</v>
      </c>
      <c r="F374" s="3" t="s">
        <v>89</v>
      </c>
      <c r="G374" s="4">
        <v>18</v>
      </c>
      <c r="H374" s="4">
        <v>29</v>
      </c>
      <c r="I374" s="4">
        <v>18</v>
      </c>
      <c r="J374" s="4" t="s">
        <v>8</v>
      </c>
      <c r="K374" s="4" t="s">
        <v>7</v>
      </c>
      <c r="L374" s="11"/>
      <c r="M374" s="3"/>
      <c r="N374"/>
      <c r="O374" s="4"/>
      <c r="P374" s="1"/>
      <c r="Q374" s="22"/>
      <c r="R374" t="s">
        <v>98</v>
      </c>
      <c r="S374" s="11"/>
    </row>
    <row r="375" spans="2:19" x14ac:dyDescent="0.25">
      <c r="B375" s="4">
        <v>20020345</v>
      </c>
      <c r="C375" s="1" t="s">
        <v>307</v>
      </c>
      <c r="D375" s="4" t="s">
        <v>86</v>
      </c>
      <c r="E375" s="3"/>
      <c r="F375" s="3" t="s">
        <v>89</v>
      </c>
      <c r="G375" s="4">
        <v>20</v>
      </c>
      <c r="H375" s="4">
        <v>20</v>
      </c>
      <c r="I375" s="4">
        <v>71</v>
      </c>
      <c r="J375" s="4" t="s">
        <v>8</v>
      </c>
      <c r="K375" s="4" t="s">
        <v>14</v>
      </c>
      <c r="L375" s="11"/>
      <c r="M375" s="3"/>
      <c r="N375"/>
      <c r="O375" s="4"/>
      <c r="P375" s="1"/>
      <c r="Q375" s="22"/>
      <c r="R375" t="s">
        <v>113</v>
      </c>
      <c r="S375" s="11"/>
    </row>
    <row r="376" spans="2:19" x14ac:dyDescent="0.25">
      <c r="B376" s="4">
        <v>20020346</v>
      </c>
      <c r="C376" s="1" t="s">
        <v>20</v>
      </c>
      <c r="D376" s="4" t="s">
        <v>86</v>
      </c>
      <c r="E376" s="3" t="s">
        <v>115</v>
      </c>
      <c r="F376" s="3" t="s">
        <v>89</v>
      </c>
      <c r="G376" s="4">
        <v>5</v>
      </c>
      <c r="H376" s="4">
        <v>10</v>
      </c>
      <c r="I376" s="4">
        <v>8</v>
      </c>
      <c r="J376" s="4" t="s">
        <v>21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</row>
    <row r="377" spans="2:19" x14ac:dyDescent="0.25">
      <c r="B377" s="4">
        <v>20020351</v>
      </c>
      <c r="C377" s="1" t="s">
        <v>1530</v>
      </c>
      <c r="D377" s="4" t="s">
        <v>86</v>
      </c>
      <c r="E377" s="3" t="s">
        <v>222</v>
      </c>
      <c r="F377" s="3" t="s">
        <v>89</v>
      </c>
      <c r="G377" s="4">
        <v>10</v>
      </c>
      <c r="H377" s="4">
        <v>10</v>
      </c>
      <c r="I377" s="4">
        <v>13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223</v>
      </c>
      <c r="S377" s="11"/>
    </row>
    <row r="378" spans="2:19" x14ac:dyDescent="0.25">
      <c r="B378" s="4">
        <v>20020355</v>
      </c>
      <c r="C378" s="1" t="s">
        <v>308</v>
      </c>
      <c r="D378" s="4" t="s">
        <v>86</v>
      </c>
      <c r="E378" s="3"/>
      <c r="F378" s="3" t="s">
        <v>89</v>
      </c>
      <c r="G378" s="4">
        <v>8</v>
      </c>
      <c r="H378" s="4">
        <v>15</v>
      </c>
      <c r="I378" s="4">
        <v>21</v>
      </c>
      <c r="J378" s="4" t="s">
        <v>8</v>
      </c>
      <c r="K378" s="4" t="s">
        <v>7</v>
      </c>
      <c r="L378" s="11"/>
      <c r="M378" s="3"/>
      <c r="N378"/>
      <c r="O378" s="4"/>
      <c r="P378" s="1"/>
      <c r="Q378" s="22"/>
      <c r="R378" t="s">
        <v>113</v>
      </c>
      <c r="S378" s="11"/>
    </row>
    <row r="379" spans="2:19" x14ac:dyDescent="0.25">
      <c r="B379" s="4">
        <v>20020417</v>
      </c>
      <c r="C379" s="1" t="s">
        <v>309</v>
      </c>
      <c r="D379" s="4" t="s">
        <v>86</v>
      </c>
      <c r="E379" s="3"/>
      <c r="F379" s="3" t="s">
        <v>89</v>
      </c>
      <c r="G379" s="4">
        <v>60</v>
      </c>
      <c r="H379" s="4">
        <v>100</v>
      </c>
      <c r="I379" s="4">
        <v>88</v>
      </c>
      <c r="J379" s="4" t="s">
        <v>8</v>
      </c>
      <c r="K379" s="4" t="s">
        <v>7</v>
      </c>
      <c r="L379" s="11"/>
      <c r="M379" s="3"/>
      <c r="N379">
        <v>4502697601</v>
      </c>
      <c r="O379" s="4">
        <v>100</v>
      </c>
      <c r="P379" s="1" t="s">
        <v>22</v>
      </c>
      <c r="Q379" s="22">
        <v>46230</v>
      </c>
      <c r="R379" t="s">
        <v>113</v>
      </c>
      <c r="S379" s="11"/>
    </row>
    <row r="380" spans="2:19" x14ac:dyDescent="0.25">
      <c r="B380" s="4">
        <v>20020503</v>
      </c>
      <c r="C380" s="1" t="s">
        <v>1385</v>
      </c>
      <c r="D380" s="4" t="s">
        <v>86</v>
      </c>
      <c r="E380" s="3" t="s">
        <v>91</v>
      </c>
      <c r="F380" s="3" t="s">
        <v>89</v>
      </c>
      <c r="G380" s="4">
        <v>5</v>
      </c>
      <c r="H380" s="4">
        <v>20</v>
      </c>
      <c r="I380" s="4">
        <v>20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92</v>
      </c>
      <c r="S380" s="11"/>
    </row>
    <row r="381" spans="2:19" x14ac:dyDescent="0.25">
      <c r="B381" s="4">
        <v>20020532</v>
      </c>
      <c r="C381" s="1" t="s">
        <v>44</v>
      </c>
      <c r="D381" s="4" t="s">
        <v>86</v>
      </c>
      <c r="E381" s="3"/>
      <c r="F381" s="3" t="s">
        <v>89</v>
      </c>
      <c r="G381" s="4">
        <v>30</v>
      </c>
      <c r="H381" s="4">
        <v>50</v>
      </c>
      <c r="I381" s="4">
        <v>601</v>
      </c>
      <c r="J381" s="4" t="s">
        <v>8</v>
      </c>
      <c r="K381" s="4" t="s">
        <v>14</v>
      </c>
      <c r="L381" s="11"/>
      <c r="M381" s="3"/>
      <c r="N381"/>
      <c r="O381" s="4"/>
      <c r="P381" s="1"/>
      <c r="Q381" s="22"/>
      <c r="R381" t="s">
        <v>113</v>
      </c>
      <c r="S381" s="11"/>
    </row>
    <row r="382" spans="2:19" x14ac:dyDescent="0.25">
      <c r="B382" s="4">
        <v>20020567</v>
      </c>
      <c r="C382" s="1" t="s">
        <v>310</v>
      </c>
      <c r="D382" s="4" t="s">
        <v>86</v>
      </c>
      <c r="E382" s="3"/>
      <c r="F382" s="3" t="s">
        <v>89</v>
      </c>
      <c r="G382" s="4">
        <v>1</v>
      </c>
      <c r="H382" s="4">
        <v>1</v>
      </c>
      <c r="I382" s="4">
        <v>193</v>
      </c>
      <c r="J382" s="4" t="s">
        <v>8</v>
      </c>
      <c r="K382" s="4" t="s">
        <v>14</v>
      </c>
      <c r="L382" s="11"/>
      <c r="M382" s="3"/>
      <c r="N382"/>
      <c r="O382" s="4"/>
      <c r="P382" s="1"/>
      <c r="Q382" s="22"/>
      <c r="R382" t="s">
        <v>113</v>
      </c>
      <c r="S382" s="11"/>
    </row>
    <row r="383" spans="2:19" x14ac:dyDescent="0.25">
      <c r="B383" s="4">
        <v>20020170</v>
      </c>
      <c r="C383" s="1" t="s">
        <v>1223</v>
      </c>
      <c r="D383" s="4" t="s">
        <v>86</v>
      </c>
      <c r="E383" s="3"/>
      <c r="F383" s="3" t="s">
        <v>68</v>
      </c>
      <c r="G383" s="4">
        <v>30</v>
      </c>
      <c r="H383" s="4">
        <v>50</v>
      </c>
      <c r="I383" s="4">
        <v>63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/>
      <c r="S383" s="11"/>
    </row>
    <row r="384" spans="2:19" x14ac:dyDescent="0.25">
      <c r="B384" s="4">
        <v>20020663</v>
      </c>
      <c r="C384" s="1" t="s">
        <v>311</v>
      </c>
      <c r="D384" s="4" t="s">
        <v>86</v>
      </c>
      <c r="E384" s="3"/>
      <c r="F384" s="3" t="s">
        <v>89</v>
      </c>
      <c r="G384" s="4">
        <v>15</v>
      </c>
      <c r="H384" s="4">
        <v>10</v>
      </c>
      <c r="I384" s="4">
        <v>25</v>
      </c>
      <c r="J384" s="4" t="s">
        <v>8</v>
      </c>
      <c r="K384" s="4" t="s">
        <v>7</v>
      </c>
      <c r="L384" s="11"/>
      <c r="M384" s="3"/>
      <c r="N384"/>
      <c r="O384" s="4"/>
      <c r="P384" s="1"/>
      <c r="Q384" s="22"/>
      <c r="R384" t="s">
        <v>113</v>
      </c>
      <c r="S384" s="11"/>
    </row>
    <row r="385" spans="2:19" x14ac:dyDescent="0.25">
      <c r="B385" s="4">
        <v>20020664</v>
      </c>
      <c r="C385" s="1" t="s">
        <v>312</v>
      </c>
      <c r="D385" s="4" t="s">
        <v>86</v>
      </c>
      <c r="E385" s="3"/>
      <c r="F385" s="3" t="s">
        <v>89</v>
      </c>
      <c r="G385" s="4">
        <v>5</v>
      </c>
      <c r="H385" s="4">
        <v>8</v>
      </c>
      <c r="I385" s="4">
        <v>10</v>
      </c>
      <c r="J385" s="4" t="s">
        <v>8</v>
      </c>
      <c r="K385" s="4" t="s">
        <v>7</v>
      </c>
      <c r="L385" s="11"/>
      <c r="M385" s="3"/>
      <c r="N385"/>
      <c r="O385" s="4"/>
      <c r="P385" s="1"/>
      <c r="Q385" s="22"/>
      <c r="R385" t="s">
        <v>113</v>
      </c>
      <c r="S385" s="11"/>
    </row>
    <row r="386" spans="2:19" x14ac:dyDescent="0.25">
      <c r="B386" s="4">
        <v>20020665</v>
      </c>
      <c r="C386" s="1" t="s">
        <v>313</v>
      </c>
      <c r="D386" s="4" t="s">
        <v>86</v>
      </c>
      <c r="E386" s="3"/>
      <c r="F386" s="3" t="s">
        <v>89</v>
      </c>
      <c r="G386" s="4">
        <v>3</v>
      </c>
      <c r="H386" s="4">
        <v>4</v>
      </c>
      <c r="I386" s="4">
        <v>1</v>
      </c>
      <c r="J386" s="4" t="s">
        <v>8</v>
      </c>
      <c r="K386" s="4" t="s">
        <v>9</v>
      </c>
      <c r="L386" s="11">
        <v>1002671085</v>
      </c>
      <c r="M386" s="3">
        <v>4</v>
      </c>
      <c r="N386"/>
      <c r="O386" s="4"/>
      <c r="P386" s="1"/>
      <c r="Q386" s="22"/>
      <c r="R386" t="s">
        <v>113</v>
      </c>
      <c r="S386" s="11"/>
    </row>
    <row r="387" spans="2:19" x14ac:dyDescent="0.25">
      <c r="B387" s="4">
        <v>20020666</v>
      </c>
      <c r="C387" s="1" t="s">
        <v>45</v>
      </c>
      <c r="D387" s="4" t="s">
        <v>86</v>
      </c>
      <c r="E387" s="3"/>
      <c r="F387" s="3" t="s">
        <v>89</v>
      </c>
      <c r="G387" s="4">
        <v>20</v>
      </c>
      <c r="H387" s="4">
        <v>36</v>
      </c>
      <c r="I387" s="4">
        <v>36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113</v>
      </c>
      <c r="S387" s="11"/>
    </row>
    <row r="388" spans="2:19" x14ac:dyDescent="0.25">
      <c r="B388" s="4">
        <v>20020667</v>
      </c>
      <c r="C388" s="1" t="s">
        <v>314</v>
      </c>
      <c r="D388" s="4" t="s">
        <v>86</v>
      </c>
      <c r="E388" s="3"/>
      <c r="F388" s="3" t="s">
        <v>89</v>
      </c>
      <c r="G388" s="4">
        <v>4</v>
      </c>
      <c r="H388" s="4">
        <v>6</v>
      </c>
      <c r="I388" s="4">
        <v>9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113</v>
      </c>
      <c r="S388" s="11"/>
    </row>
    <row r="389" spans="2:19" x14ac:dyDescent="0.25">
      <c r="B389" s="4">
        <v>20020673</v>
      </c>
      <c r="C389" s="1" t="s">
        <v>315</v>
      </c>
      <c r="D389" s="4" t="s">
        <v>86</v>
      </c>
      <c r="E389" s="3" t="s">
        <v>87</v>
      </c>
      <c r="F389" s="3" t="s">
        <v>89</v>
      </c>
      <c r="G389" s="4">
        <v>5</v>
      </c>
      <c r="H389" s="4">
        <v>10</v>
      </c>
      <c r="I389" s="4">
        <v>5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88</v>
      </c>
      <c r="S389" s="11"/>
    </row>
    <row r="390" spans="2:19" x14ac:dyDescent="0.25">
      <c r="B390" s="4">
        <v>20020688</v>
      </c>
      <c r="C390" s="1" t="s">
        <v>316</v>
      </c>
      <c r="D390" s="4" t="s">
        <v>86</v>
      </c>
      <c r="E390" s="3" t="s">
        <v>129</v>
      </c>
      <c r="F390" s="3" t="s">
        <v>89</v>
      </c>
      <c r="G390" s="4">
        <v>9</v>
      </c>
      <c r="H390" s="4">
        <v>14</v>
      </c>
      <c r="I390" s="4">
        <v>20</v>
      </c>
      <c r="J390" s="4" t="s">
        <v>25</v>
      </c>
      <c r="K390" s="4" t="s">
        <v>7</v>
      </c>
      <c r="L390" s="11"/>
      <c r="M390" s="3"/>
      <c r="N390"/>
      <c r="O390" s="4"/>
      <c r="P390" s="1"/>
      <c r="Q390" s="22"/>
      <c r="R390" t="s">
        <v>130</v>
      </c>
      <c r="S390" s="11"/>
    </row>
    <row r="391" spans="2:19" x14ac:dyDescent="0.25">
      <c r="B391" s="4">
        <v>20020696</v>
      </c>
      <c r="C391" s="1" t="s">
        <v>317</v>
      </c>
      <c r="D391" s="4" t="s">
        <v>86</v>
      </c>
      <c r="E391" s="3"/>
      <c r="F391" s="3" t="s">
        <v>89</v>
      </c>
      <c r="G391" s="4">
        <v>1</v>
      </c>
      <c r="H391" s="4">
        <v>1</v>
      </c>
      <c r="I391" s="4">
        <v>1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/>
      <c r="S391" s="11"/>
    </row>
    <row r="392" spans="2:19" x14ac:dyDescent="0.25">
      <c r="B392" s="4">
        <v>20020718</v>
      </c>
      <c r="C392" s="1" t="s">
        <v>318</v>
      </c>
      <c r="D392" s="4" t="s">
        <v>86</v>
      </c>
      <c r="E392" s="3" t="s">
        <v>87</v>
      </c>
      <c r="F392" s="3" t="s">
        <v>89</v>
      </c>
      <c r="G392" s="4">
        <v>2</v>
      </c>
      <c r="H392" s="4">
        <v>3</v>
      </c>
      <c r="I392" s="4">
        <v>0</v>
      </c>
      <c r="J392" s="4" t="s">
        <v>8</v>
      </c>
      <c r="K392" s="4" t="s">
        <v>13</v>
      </c>
      <c r="L392" s="11"/>
      <c r="M392" s="3"/>
      <c r="N392">
        <v>4502673363</v>
      </c>
      <c r="O392" s="4">
        <v>5</v>
      </c>
      <c r="P392" s="1" t="s">
        <v>1604</v>
      </c>
      <c r="Q392" s="22">
        <v>46160</v>
      </c>
      <c r="R392" t="s">
        <v>88</v>
      </c>
      <c r="S392" s="11"/>
    </row>
    <row r="393" spans="2:19" x14ac:dyDescent="0.25">
      <c r="B393" s="4">
        <v>20020719</v>
      </c>
      <c r="C393" s="1" t="s">
        <v>319</v>
      </c>
      <c r="D393" s="4" t="s">
        <v>86</v>
      </c>
      <c r="E393" s="3" t="s">
        <v>87</v>
      </c>
      <c r="F393" s="3" t="s">
        <v>89</v>
      </c>
      <c r="G393" s="4">
        <v>1</v>
      </c>
      <c r="H393" s="4">
        <v>1</v>
      </c>
      <c r="I393" s="4">
        <v>12</v>
      </c>
      <c r="J393" s="4" t="s">
        <v>8</v>
      </c>
      <c r="K393" s="4" t="s">
        <v>14</v>
      </c>
      <c r="L393" s="11"/>
      <c r="M393" s="3"/>
      <c r="N393"/>
      <c r="O393" s="4"/>
      <c r="P393" s="1"/>
      <c r="Q393" s="22"/>
      <c r="R393" t="s">
        <v>88</v>
      </c>
      <c r="S393" s="11"/>
    </row>
    <row r="394" spans="2:19" x14ac:dyDescent="0.25">
      <c r="B394" s="4">
        <v>20020737</v>
      </c>
      <c r="C394" s="1" t="s">
        <v>320</v>
      </c>
      <c r="D394" s="4" t="s">
        <v>86</v>
      </c>
      <c r="E394" s="3"/>
      <c r="F394" s="3" t="s">
        <v>89</v>
      </c>
      <c r="G394" s="4">
        <v>20</v>
      </c>
      <c r="H394" s="4">
        <v>40</v>
      </c>
      <c r="I394" s="4">
        <v>40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</row>
    <row r="395" spans="2:19" x14ac:dyDescent="0.25">
      <c r="B395" s="4">
        <v>20020849</v>
      </c>
      <c r="C395" s="1" t="s">
        <v>321</v>
      </c>
      <c r="D395" s="4" t="s">
        <v>86</v>
      </c>
      <c r="E395" s="3"/>
      <c r="F395" s="3" t="s">
        <v>89</v>
      </c>
      <c r="G395" s="4">
        <v>110</v>
      </c>
      <c r="H395" s="4">
        <v>220</v>
      </c>
      <c r="I395" s="4">
        <v>50</v>
      </c>
      <c r="J395" s="4" t="s">
        <v>8</v>
      </c>
      <c r="K395" s="4" t="s">
        <v>9</v>
      </c>
      <c r="L395" s="11"/>
      <c r="M395" s="3"/>
      <c r="N395">
        <v>4502698229</v>
      </c>
      <c r="O395" s="4">
        <v>220</v>
      </c>
      <c r="P395" s="1" t="s">
        <v>1566</v>
      </c>
      <c r="Q395" s="22">
        <v>46237</v>
      </c>
      <c r="R395"/>
      <c r="S395" s="11"/>
    </row>
    <row r="396" spans="2:19" x14ac:dyDescent="0.25">
      <c r="B396" s="4">
        <v>20020513</v>
      </c>
      <c r="C396" s="1" t="s">
        <v>1528</v>
      </c>
      <c r="D396" s="4" t="s">
        <v>86</v>
      </c>
      <c r="E396" s="3"/>
      <c r="F396" s="3" t="s">
        <v>68</v>
      </c>
      <c r="G396" s="4">
        <v>4</v>
      </c>
      <c r="H396" s="4">
        <v>2</v>
      </c>
      <c r="I396" s="4">
        <v>1</v>
      </c>
      <c r="J396" s="4" t="s">
        <v>8</v>
      </c>
      <c r="K396" s="4" t="s">
        <v>9</v>
      </c>
      <c r="L396" s="11">
        <v>1002673990</v>
      </c>
      <c r="M396" s="3">
        <v>3</v>
      </c>
      <c r="N396"/>
      <c r="O396" s="4"/>
      <c r="P396" s="1"/>
      <c r="Q396" s="22"/>
      <c r="R396"/>
      <c r="S396" s="11"/>
    </row>
    <row r="397" spans="2:19" x14ac:dyDescent="0.25">
      <c r="B397" s="4">
        <v>20020860</v>
      </c>
      <c r="C397" s="1" t="s">
        <v>322</v>
      </c>
      <c r="D397" s="4" t="s">
        <v>86</v>
      </c>
      <c r="E397" s="3"/>
      <c r="F397" s="3" t="s">
        <v>89</v>
      </c>
      <c r="G397" s="4">
        <v>16</v>
      </c>
      <c r="H397" s="4">
        <v>16</v>
      </c>
      <c r="I397" s="4">
        <v>9</v>
      </c>
      <c r="J397" s="4" t="s">
        <v>23</v>
      </c>
      <c r="K397" s="4" t="s">
        <v>9</v>
      </c>
      <c r="L397" s="11">
        <v>1002631450</v>
      </c>
      <c r="M397" s="3">
        <v>16</v>
      </c>
      <c r="N397"/>
      <c r="O397" s="4"/>
      <c r="P397" s="1"/>
      <c r="Q397" s="22"/>
      <c r="R397"/>
      <c r="S397" s="11" t="s">
        <v>1631</v>
      </c>
    </row>
    <row r="398" spans="2:19" x14ac:dyDescent="0.25">
      <c r="B398" s="4">
        <v>20020867</v>
      </c>
      <c r="C398" s="1" t="s">
        <v>1220</v>
      </c>
      <c r="D398" s="4" t="s">
        <v>86</v>
      </c>
      <c r="E398" s="3"/>
      <c r="F398" s="3" t="s">
        <v>89</v>
      </c>
      <c r="G398" s="4">
        <v>150</v>
      </c>
      <c r="H398" s="4">
        <v>300</v>
      </c>
      <c r="I398" s="4">
        <v>180</v>
      </c>
      <c r="J398" s="4" t="s">
        <v>23</v>
      </c>
      <c r="K398" s="4" t="s">
        <v>7</v>
      </c>
      <c r="L398" s="11"/>
      <c r="M398" s="3"/>
      <c r="N398"/>
      <c r="O398" s="4"/>
      <c r="P398" s="1"/>
      <c r="Q398" s="22"/>
      <c r="R398"/>
      <c r="S398" s="11"/>
    </row>
    <row r="399" spans="2:19" x14ac:dyDescent="0.25">
      <c r="B399" s="4">
        <v>20020964</v>
      </c>
      <c r="C399" s="1" t="s">
        <v>323</v>
      </c>
      <c r="D399" s="4" t="s">
        <v>86</v>
      </c>
      <c r="E399" s="3" t="s">
        <v>87</v>
      </c>
      <c r="F399" s="3" t="s">
        <v>102</v>
      </c>
      <c r="G399" s="4">
        <v>10</v>
      </c>
      <c r="H399" s="4">
        <v>16</v>
      </c>
      <c r="I399" s="4">
        <v>7</v>
      </c>
      <c r="J399" s="4" t="s">
        <v>8</v>
      </c>
      <c r="K399" s="4" t="s">
        <v>9</v>
      </c>
      <c r="L399" s="11">
        <v>1002663550</v>
      </c>
      <c r="M399" s="3">
        <v>16</v>
      </c>
      <c r="N399"/>
      <c r="O399" s="4"/>
      <c r="P399" s="1"/>
      <c r="Q399" s="22"/>
      <c r="R399" t="s">
        <v>88</v>
      </c>
      <c r="S399" s="11"/>
    </row>
    <row r="400" spans="2:19" x14ac:dyDescent="0.25">
      <c r="B400" s="4">
        <v>20020618</v>
      </c>
      <c r="C400" s="1" t="s">
        <v>1386</v>
      </c>
      <c r="D400" s="4" t="s">
        <v>86</v>
      </c>
      <c r="E400" s="3"/>
      <c r="F400" s="3" t="s">
        <v>68</v>
      </c>
      <c r="G400" s="4">
        <v>40</v>
      </c>
      <c r="H400" s="4">
        <v>80</v>
      </c>
      <c r="I400" s="4">
        <v>38</v>
      </c>
      <c r="J400" s="4" t="s">
        <v>8</v>
      </c>
      <c r="K400" s="4" t="s">
        <v>9</v>
      </c>
      <c r="L400" s="11">
        <v>1002673990</v>
      </c>
      <c r="M400" s="3">
        <v>80</v>
      </c>
      <c r="N400"/>
      <c r="O400" s="4"/>
      <c r="P400" s="1"/>
      <c r="Q400" s="22"/>
      <c r="R400"/>
      <c r="S400" s="11"/>
    </row>
    <row r="401" spans="2:19" x14ac:dyDescent="0.25">
      <c r="B401" s="4">
        <v>20020967</v>
      </c>
      <c r="C401" s="1" t="s">
        <v>324</v>
      </c>
      <c r="D401" s="4" t="s">
        <v>86</v>
      </c>
      <c r="E401" s="3"/>
      <c r="F401" s="3" t="s">
        <v>89</v>
      </c>
      <c r="G401" s="4">
        <v>50</v>
      </c>
      <c r="H401" s="4">
        <v>100</v>
      </c>
      <c r="I401" s="4">
        <v>87</v>
      </c>
      <c r="J401" s="4" t="s">
        <v>8</v>
      </c>
      <c r="K401" s="4" t="s">
        <v>7</v>
      </c>
      <c r="L401" s="11"/>
      <c r="M401" s="3"/>
      <c r="N401"/>
      <c r="O401" s="4"/>
      <c r="P401" s="1"/>
      <c r="Q401" s="22"/>
      <c r="R401"/>
      <c r="S401" s="11"/>
    </row>
    <row r="402" spans="2:19" x14ac:dyDescent="0.25">
      <c r="B402" s="4">
        <v>20020992</v>
      </c>
      <c r="C402" s="1" t="s">
        <v>325</v>
      </c>
      <c r="D402" s="4" t="s">
        <v>86</v>
      </c>
      <c r="E402" s="3"/>
      <c r="F402" s="3" t="s">
        <v>89</v>
      </c>
      <c r="G402" s="4">
        <v>1</v>
      </c>
      <c r="H402" s="4">
        <v>1</v>
      </c>
      <c r="I402" s="4">
        <v>1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/>
      <c r="S402" s="11"/>
    </row>
    <row r="403" spans="2:19" x14ac:dyDescent="0.25">
      <c r="B403" s="4">
        <v>20021006</v>
      </c>
      <c r="C403" s="1" t="s">
        <v>326</v>
      </c>
      <c r="D403" s="4" t="s">
        <v>86</v>
      </c>
      <c r="E403" s="3"/>
      <c r="F403" s="3" t="s">
        <v>89</v>
      </c>
      <c r="G403" s="4">
        <v>6</v>
      </c>
      <c r="H403" s="4">
        <v>10</v>
      </c>
      <c r="I403" s="4">
        <v>5</v>
      </c>
      <c r="J403" s="4" t="s">
        <v>8</v>
      </c>
      <c r="K403" s="4" t="s">
        <v>9</v>
      </c>
      <c r="L403" s="11" t="s">
        <v>1668</v>
      </c>
      <c r="M403" s="3">
        <v>10</v>
      </c>
      <c r="N403"/>
      <c r="O403" s="4"/>
      <c r="P403" s="1"/>
      <c r="Q403" s="22"/>
      <c r="R403"/>
      <c r="S403" s="11"/>
    </row>
    <row r="404" spans="2:19" x14ac:dyDescent="0.25">
      <c r="B404" s="4">
        <v>20021132</v>
      </c>
      <c r="C404" s="1" t="s">
        <v>327</v>
      </c>
      <c r="D404" s="4" t="s">
        <v>86</v>
      </c>
      <c r="E404" s="3"/>
      <c r="F404" s="3" t="s">
        <v>89</v>
      </c>
      <c r="G404" s="4">
        <v>50</v>
      </c>
      <c r="H404" s="4">
        <v>30</v>
      </c>
      <c r="I404" s="4">
        <v>69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</row>
    <row r="405" spans="2:19" x14ac:dyDescent="0.25">
      <c r="B405" s="4">
        <v>20021134</v>
      </c>
      <c r="C405" s="1" t="s">
        <v>1387</v>
      </c>
      <c r="D405" s="4" t="s">
        <v>86</v>
      </c>
      <c r="E405" s="3"/>
      <c r="F405" s="3" t="s">
        <v>89</v>
      </c>
      <c r="G405" s="4">
        <v>50</v>
      </c>
      <c r="H405" s="4">
        <v>30</v>
      </c>
      <c r="I405" s="4">
        <v>72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</row>
    <row r="406" spans="2:19" x14ac:dyDescent="0.25">
      <c r="B406" s="4">
        <v>20021152</v>
      </c>
      <c r="C406" s="1" t="s">
        <v>328</v>
      </c>
      <c r="D406" s="4" t="s">
        <v>86</v>
      </c>
      <c r="E406" s="3"/>
      <c r="F406" s="3" t="s">
        <v>89</v>
      </c>
      <c r="G406" s="4">
        <v>4</v>
      </c>
      <c r="H406" s="4">
        <v>6</v>
      </c>
      <c r="I406" s="4">
        <v>4</v>
      </c>
      <c r="J406" s="4" t="s">
        <v>24</v>
      </c>
      <c r="K406" s="4" t="s">
        <v>7</v>
      </c>
      <c r="L406" s="11"/>
      <c r="M406" s="3"/>
      <c r="N406"/>
      <c r="O406" s="4"/>
      <c r="P406" s="1"/>
      <c r="Q406" s="22"/>
      <c r="R406"/>
      <c r="S406" s="11"/>
    </row>
    <row r="407" spans="2:19" x14ac:dyDescent="0.25">
      <c r="B407" s="4">
        <v>20020686</v>
      </c>
      <c r="C407" s="1" t="s">
        <v>1303</v>
      </c>
      <c r="D407" s="4" t="s">
        <v>86</v>
      </c>
      <c r="E407" s="3"/>
      <c r="F407" s="3" t="s">
        <v>68</v>
      </c>
      <c r="G407" s="4">
        <v>2</v>
      </c>
      <c r="H407" s="4">
        <v>2</v>
      </c>
      <c r="I407" s="4">
        <v>2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</row>
    <row r="408" spans="2:19" x14ac:dyDescent="0.25">
      <c r="B408" s="4">
        <v>20021180</v>
      </c>
      <c r="C408" s="1" t="s">
        <v>329</v>
      </c>
      <c r="D408" s="4" t="s">
        <v>86</v>
      </c>
      <c r="E408" s="3"/>
      <c r="F408" s="3" t="s">
        <v>89</v>
      </c>
      <c r="G408" s="4">
        <v>5</v>
      </c>
      <c r="H408" s="4">
        <v>10</v>
      </c>
      <c r="I408" s="4">
        <v>12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</row>
    <row r="409" spans="2:19" x14ac:dyDescent="0.25">
      <c r="B409" s="4">
        <v>20021428</v>
      </c>
      <c r="C409" s="1" t="s">
        <v>330</v>
      </c>
      <c r="D409" s="4" t="s">
        <v>86</v>
      </c>
      <c r="E409" s="3"/>
      <c r="F409" s="3" t="s">
        <v>89</v>
      </c>
      <c r="G409" s="4">
        <v>4</v>
      </c>
      <c r="H409" s="4">
        <v>6</v>
      </c>
      <c r="I409" s="4">
        <v>10</v>
      </c>
      <c r="J409" s="4" t="s">
        <v>8</v>
      </c>
      <c r="K409" s="4" t="s">
        <v>7</v>
      </c>
      <c r="L409" s="11"/>
      <c r="M409" s="3"/>
      <c r="N409"/>
      <c r="O409" s="4"/>
      <c r="P409" s="1"/>
      <c r="Q409" s="22"/>
      <c r="R409"/>
      <c r="S409" s="11"/>
    </row>
    <row r="410" spans="2:19" x14ac:dyDescent="0.25">
      <c r="B410" s="4">
        <v>20021465</v>
      </c>
      <c r="C410" s="1" t="s">
        <v>331</v>
      </c>
      <c r="D410" s="4" t="s">
        <v>86</v>
      </c>
      <c r="E410" s="3" t="s">
        <v>87</v>
      </c>
      <c r="F410" s="3" t="s">
        <v>89</v>
      </c>
      <c r="G410" s="4">
        <v>1</v>
      </c>
      <c r="H410" s="4">
        <v>1</v>
      </c>
      <c r="I410" s="4">
        <v>8</v>
      </c>
      <c r="J410" s="4" t="s">
        <v>8</v>
      </c>
      <c r="K410" s="4" t="s">
        <v>14</v>
      </c>
      <c r="L410" s="11"/>
      <c r="M410" s="3"/>
      <c r="N410"/>
      <c r="O410" s="4"/>
      <c r="P410" s="1"/>
      <c r="Q410" s="22"/>
      <c r="R410" t="s">
        <v>88</v>
      </c>
      <c r="S410" s="11"/>
    </row>
    <row r="411" spans="2:19" x14ac:dyDescent="0.25">
      <c r="B411" s="4">
        <v>20020781</v>
      </c>
      <c r="C411" s="1" t="s">
        <v>1284</v>
      </c>
      <c r="D411" s="4" t="s">
        <v>86</v>
      </c>
      <c r="E411" s="3"/>
      <c r="F411" s="3" t="s">
        <v>68</v>
      </c>
      <c r="G411" s="4">
        <v>20</v>
      </c>
      <c r="H411" s="4">
        <v>40</v>
      </c>
      <c r="I411" s="4">
        <v>140</v>
      </c>
      <c r="J411" s="4" t="s">
        <v>8</v>
      </c>
      <c r="K411" s="4" t="s">
        <v>14</v>
      </c>
      <c r="L411" s="11"/>
      <c r="M411" s="3"/>
      <c r="N411"/>
      <c r="O411" s="4"/>
      <c r="P411" s="1"/>
      <c r="Q411" s="22"/>
      <c r="R411"/>
      <c r="S411" s="11"/>
    </row>
    <row r="412" spans="2:19" x14ac:dyDescent="0.25">
      <c r="B412" s="4">
        <v>20021581</v>
      </c>
      <c r="C412" s="1" t="s">
        <v>332</v>
      </c>
      <c r="D412" s="4" t="s">
        <v>86</v>
      </c>
      <c r="E412" s="3" t="s">
        <v>118</v>
      </c>
      <c r="F412" s="3" t="s">
        <v>89</v>
      </c>
      <c r="G412" s="4">
        <v>1</v>
      </c>
      <c r="H412" s="4">
        <v>1</v>
      </c>
      <c r="I412" s="4">
        <v>10</v>
      </c>
      <c r="J412" s="4" t="s">
        <v>8</v>
      </c>
      <c r="K412" s="4" t="s">
        <v>14</v>
      </c>
      <c r="L412" s="11"/>
      <c r="M412" s="3"/>
      <c r="N412"/>
      <c r="O412" s="4"/>
      <c r="P412" s="1"/>
      <c r="Q412" s="22"/>
      <c r="R412" t="s">
        <v>148</v>
      </c>
      <c r="S412" s="11"/>
    </row>
    <row r="413" spans="2:19" x14ac:dyDescent="0.25">
      <c r="B413" s="4">
        <v>20021582</v>
      </c>
      <c r="C413" s="1" t="s">
        <v>333</v>
      </c>
      <c r="D413" s="4" t="s">
        <v>86</v>
      </c>
      <c r="E413" s="3" t="s">
        <v>118</v>
      </c>
      <c r="F413" s="3" t="s">
        <v>89</v>
      </c>
      <c r="G413" s="4">
        <v>1</v>
      </c>
      <c r="H413" s="4">
        <v>1</v>
      </c>
      <c r="I413" s="4">
        <v>6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148</v>
      </c>
      <c r="S413" s="11"/>
    </row>
    <row r="414" spans="2:19" x14ac:dyDescent="0.25">
      <c r="B414" s="4">
        <v>20021584</v>
      </c>
      <c r="C414" s="1" t="s">
        <v>334</v>
      </c>
      <c r="D414" s="4" t="s">
        <v>86</v>
      </c>
      <c r="E414" s="3" t="s">
        <v>118</v>
      </c>
      <c r="F414" s="3" t="s">
        <v>89</v>
      </c>
      <c r="G414" s="4">
        <v>3</v>
      </c>
      <c r="H414" s="4">
        <v>4</v>
      </c>
      <c r="I414" s="4">
        <v>3</v>
      </c>
      <c r="J414" s="4" t="s">
        <v>8</v>
      </c>
      <c r="K414" s="4" t="s">
        <v>7</v>
      </c>
      <c r="L414" s="11"/>
      <c r="M414" s="3"/>
      <c r="N414"/>
      <c r="O414" s="4"/>
      <c r="P414" s="1"/>
      <c r="Q414" s="22"/>
      <c r="R414" t="s">
        <v>148</v>
      </c>
      <c r="S414" s="11"/>
    </row>
    <row r="415" spans="2:19" x14ac:dyDescent="0.25">
      <c r="B415" s="4">
        <v>20021585</v>
      </c>
      <c r="C415" s="1" t="s">
        <v>335</v>
      </c>
      <c r="D415" s="4" t="s">
        <v>86</v>
      </c>
      <c r="E415" s="3" t="s">
        <v>118</v>
      </c>
      <c r="F415" s="3" t="s">
        <v>89</v>
      </c>
      <c r="G415" s="4">
        <v>1</v>
      </c>
      <c r="H415" s="4">
        <v>1</v>
      </c>
      <c r="I415" s="4">
        <v>1</v>
      </c>
      <c r="J415" s="4" t="s">
        <v>8</v>
      </c>
      <c r="K415" s="4" t="s">
        <v>7</v>
      </c>
      <c r="L415" s="11"/>
      <c r="M415" s="3"/>
      <c r="N415"/>
      <c r="O415" s="4"/>
      <c r="P415" s="1"/>
      <c r="Q415" s="22"/>
      <c r="R415" t="s">
        <v>148</v>
      </c>
      <c r="S415" s="11"/>
    </row>
    <row r="416" spans="2:19" x14ac:dyDescent="0.25">
      <c r="B416" s="4">
        <v>20021598</v>
      </c>
      <c r="C416" s="1" t="s">
        <v>336</v>
      </c>
      <c r="D416" s="4" t="s">
        <v>86</v>
      </c>
      <c r="E416" s="3" t="s">
        <v>118</v>
      </c>
      <c r="F416" s="3" t="s">
        <v>89</v>
      </c>
      <c r="G416" s="4">
        <v>10</v>
      </c>
      <c r="H416" s="4">
        <v>15</v>
      </c>
      <c r="I416" s="4">
        <v>14</v>
      </c>
      <c r="J416" s="4" t="s">
        <v>8</v>
      </c>
      <c r="K416" s="4" t="s">
        <v>7</v>
      </c>
      <c r="L416" s="11"/>
      <c r="M416" s="3"/>
      <c r="N416"/>
      <c r="O416" s="4"/>
      <c r="P416" s="1"/>
      <c r="Q416" s="22"/>
      <c r="R416" t="s">
        <v>156</v>
      </c>
      <c r="S416" s="11"/>
    </row>
    <row r="417" spans="2:19" x14ac:dyDescent="0.25">
      <c r="B417" s="4">
        <v>20021599</v>
      </c>
      <c r="C417" s="1" t="s">
        <v>337</v>
      </c>
      <c r="D417" s="4" t="s">
        <v>86</v>
      </c>
      <c r="E417" s="3" t="s">
        <v>118</v>
      </c>
      <c r="F417" s="3" t="s">
        <v>89</v>
      </c>
      <c r="G417" s="4">
        <v>8</v>
      </c>
      <c r="H417" s="4">
        <v>10</v>
      </c>
      <c r="I417" s="4">
        <v>12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156</v>
      </c>
      <c r="S417" s="11"/>
    </row>
    <row r="418" spans="2:19" x14ac:dyDescent="0.25">
      <c r="B418" s="4">
        <v>20021810</v>
      </c>
      <c r="C418" s="1" t="s">
        <v>338</v>
      </c>
      <c r="D418" s="4" t="s">
        <v>86</v>
      </c>
      <c r="E418" s="3" t="s">
        <v>222</v>
      </c>
      <c r="F418" s="3" t="s">
        <v>89</v>
      </c>
      <c r="G418" s="4">
        <v>3</v>
      </c>
      <c r="H418" s="4">
        <v>3</v>
      </c>
      <c r="I418" s="4">
        <v>5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223</v>
      </c>
      <c r="S418" s="11" t="s">
        <v>1580</v>
      </c>
    </row>
    <row r="419" spans="2:19" x14ac:dyDescent="0.25">
      <c r="B419" s="4">
        <v>20021153</v>
      </c>
      <c r="C419" s="1" t="s">
        <v>1221</v>
      </c>
      <c r="D419" s="4" t="s">
        <v>86</v>
      </c>
      <c r="E419" s="3"/>
      <c r="F419" s="3" t="s">
        <v>68</v>
      </c>
      <c r="G419" s="4">
        <v>26</v>
      </c>
      <c r="H419" s="4">
        <v>30</v>
      </c>
      <c r="I419" s="4">
        <v>30</v>
      </c>
      <c r="J419" s="4" t="s">
        <v>24</v>
      </c>
      <c r="K419" s="4" t="s">
        <v>7</v>
      </c>
      <c r="L419" s="11"/>
      <c r="M419" s="3"/>
      <c r="N419"/>
      <c r="O419" s="4"/>
      <c r="P419" s="1"/>
      <c r="Q419" s="22"/>
      <c r="R419"/>
      <c r="S419" s="11"/>
    </row>
    <row r="420" spans="2:19" x14ac:dyDescent="0.25">
      <c r="B420" s="4">
        <v>20021816</v>
      </c>
      <c r="C420" s="1" t="s">
        <v>1428</v>
      </c>
      <c r="D420" s="4" t="s">
        <v>86</v>
      </c>
      <c r="E420" s="3"/>
      <c r="F420" s="3" t="s">
        <v>89</v>
      </c>
      <c r="G420" s="4">
        <v>50</v>
      </c>
      <c r="H420" s="4">
        <v>80</v>
      </c>
      <c r="I420" s="4">
        <v>63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113</v>
      </c>
      <c r="S420" s="11"/>
    </row>
    <row r="421" spans="2:19" x14ac:dyDescent="0.25">
      <c r="B421" s="4">
        <v>20021894</v>
      </c>
      <c r="C421" s="1" t="s">
        <v>339</v>
      </c>
      <c r="D421" s="4" t="s">
        <v>86</v>
      </c>
      <c r="E421" s="3"/>
      <c r="F421" s="3" t="s">
        <v>89</v>
      </c>
      <c r="G421" s="4">
        <v>9</v>
      </c>
      <c r="H421" s="4">
        <v>14</v>
      </c>
      <c r="I421" s="4">
        <v>52</v>
      </c>
      <c r="J421" s="4" t="s">
        <v>8</v>
      </c>
      <c r="K421" s="4" t="s">
        <v>14</v>
      </c>
      <c r="L421" s="11"/>
      <c r="M421" s="3"/>
      <c r="N421"/>
      <c r="O421" s="4"/>
      <c r="P421" s="1"/>
      <c r="Q421" s="22"/>
      <c r="R421" t="s">
        <v>113</v>
      </c>
      <c r="S421" s="11"/>
    </row>
    <row r="422" spans="2:19" x14ac:dyDescent="0.25">
      <c r="B422" s="4">
        <v>20021919</v>
      </c>
      <c r="C422" s="1" t="s">
        <v>340</v>
      </c>
      <c r="D422" s="4" t="s">
        <v>86</v>
      </c>
      <c r="E422" s="3" t="s">
        <v>87</v>
      </c>
      <c r="F422" s="3" t="s">
        <v>89</v>
      </c>
      <c r="G422" s="4">
        <v>2</v>
      </c>
      <c r="H422" s="4">
        <v>3</v>
      </c>
      <c r="I422" s="4">
        <v>6</v>
      </c>
      <c r="J422" s="4" t="s">
        <v>24</v>
      </c>
      <c r="K422" s="4" t="s">
        <v>14</v>
      </c>
      <c r="L422" s="11"/>
      <c r="M422" s="3"/>
      <c r="N422"/>
      <c r="O422" s="4"/>
      <c r="P422" s="1"/>
      <c r="Q422" s="22"/>
      <c r="R422" t="s">
        <v>190</v>
      </c>
      <c r="S422" s="11"/>
    </row>
    <row r="423" spans="2:19" x14ac:dyDescent="0.25">
      <c r="B423" s="4">
        <v>20021920</v>
      </c>
      <c r="C423" s="1" t="s">
        <v>341</v>
      </c>
      <c r="D423" s="4" t="s">
        <v>86</v>
      </c>
      <c r="E423" s="3"/>
      <c r="F423" s="3" t="s">
        <v>89</v>
      </c>
      <c r="G423" s="4">
        <v>5</v>
      </c>
      <c r="H423" s="4">
        <v>10</v>
      </c>
      <c r="I423" s="4">
        <v>10</v>
      </c>
      <c r="J423" s="4" t="s">
        <v>8</v>
      </c>
      <c r="K423" s="4" t="s">
        <v>7</v>
      </c>
      <c r="L423" s="11"/>
      <c r="M423" s="3"/>
      <c r="N423"/>
      <c r="O423" s="4"/>
      <c r="P423" s="1"/>
      <c r="Q423" s="22"/>
      <c r="R423" t="s">
        <v>113</v>
      </c>
      <c r="S423" s="11"/>
    </row>
    <row r="424" spans="2:19" x14ac:dyDescent="0.25">
      <c r="B424" s="4">
        <v>20022012</v>
      </c>
      <c r="C424" s="1" t="s">
        <v>342</v>
      </c>
      <c r="D424" s="4" t="s">
        <v>86</v>
      </c>
      <c r="E424" s="3" t="s">
        <v>115</v>
      </c>
      <c r="F424" s="3" t="s">
        <v>89</v>
      </c>
      <c r="G424" s="4">
        <v>3</v>
      </c>
      <c r="H424" s="4">
        <v>2</v>
      </c>
      <c r="I424" s="4">
        <v>3</v>
      </c>
      <c r="J424" s="4" t="s">
        <v>8</v>
      </c>
      <c r="K424" s="4" t="s">
        <v>7</v>
      </c>
      <c r="L424" s="11"/>
      <c r="M424" s="3"/>
      <c r="N424"/>
      <c r="O424" s="4"/>
      <c r="P424" s="1"/>
      <c r="Q424" s="22"/>
      <c r="R424" t="s">
        <v>116</v>
      </c>
      <c r="S424" s="11"/>
    </row>
    <row r="425" spans="2:19" x14ac:dyDescent="0.25">
      <c r="B425" s="4">
        <v>20022078</v>
      </c>
      <c r="C425" s="1" t="s">
        <v>343</v>
      </c>
      <c r="D425" s="4" t="s">
        <v>86</v>
      </c>
      <c r="E425" s="3"/>
      <c r="F425" s="3" t="s">
        <v>89</v>
      </c>
      <c r="G425" s="4">
        <v>4</v>
      </c>
      <c r="H425" s="4">
        <v>8</v>
      </c>
      <c r="I425" s="4">
        <v>10</v>
      </c>
      <c r="J425" s="4" t="s">
        <v>8</v>
      </c>
      <c r="K425" s="4" t="s">
        <v>7</v>
      </c>
      <c r="L425" s="11"/>
      <c r="M425" s="3"/>
      <c r="N425"/>
      <c r="O425" s="4"/>
      <c r="P425" s="1"/>
      <c r="Q425" s="22"/>
      <c r="R425" t="s">
        <v>113</v>
      </c>
      <c r="S425" s="11"/>
    </row>
    <row r="426" spans="2:19" x14ac:dyDescent="0.25">
      <c r="B426" s="4">
        <v>20022079</v>
      </c>
      <c r="C426" s="1" t="s">
        <v>344</v>
      </c>
      <c r="D426" s="4" t="s">
        <v>86</v>
      </c>
      <c r="E426" s="3" t="s">
        <v>115</v>
      </c>
      <c r="F426" s="3" t="s">
        <v>89</v>
      </c>
      <c r="G426" s="4">
        <v>3</v>
      </c>
      <c r="H426" s="4">
        <v>8</v>
      </c>
      <c r="I426" s="4">
        <v>6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116</v>
      </c>
      <c r="S426" s="11"/>
    </row>
    <row r="427" spans="2:19" x14ac:dyDescent="0.25">
      <c r="B427" s="4">
        <v>20022104</v>
      </c>
      <c r="C427" s="1" t="s">
        <v>345</v>
      </c>
      <c r="D427" s="4" t="s">
        <v>86</v>
      </c>
      <c r="E427" s="3" t="s">
        <v>115</v>
      </c>
      <c r="F427" s="3" t="s">
        <v>89</v>
      </c>
      <c r="G427" s="4">
        <v>5</v>
      </c>
      <c r="H427" s="4">
        <v>10</v>
      </c>
      <c r="I427" s="4">
        <v>10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116</v>
      </c>
      <c r="S427" s="11"/>
    </row>
    <row r="428" spans="2:19" x14ac:dyDescent="0.25">
      <c r="B428" s="4">
        <v>20022141</v>
      </c>
      <c r="C428" s="1" t="s">
        <v>346</v>
      </c>
      <c r="D428" s="4" t="s">
        <v>86</v>
      </c>
      <c r="E428" s="3" t="s">
        <v>87</v>
      </c>
      <c r="F428" s="3" t="s">
        <v>89</v>
      </c>
      <c r="G428" s="4">
        <v>1</v>
      </c>
      <c r="H428" s="4">
        <v>1</v>
      </c>
      <c r="I428" s="4">
        <v>1</v>
      </c>
      <c r="J428" s="4" t="s">
        <v>8</v>
      </c>
      <c r="K428" s="4" t="s">
        <v>7</v>
      </c>
      <c r="L428" s="11"/>
      <c r="M428" s="3"/>
      <c r="N428"/>
      <c r="O428" s="4"/>
      <c r="P428" s="1"/>
      <c r="Q428" s="22"/>
      <c r="R428" t="s">
        <v>88</v>
      </c>
      <c r="S428" s="11"/>
    </row>
    <row r="429" spans="2:19" x14ac:dyDescent="0.25">
      <c r="B429" s="4">
        <v>20021665</v>
      </c>
      <c r="C429" s="1" t="s">
        <v>1491</v>
      </c>
      <c r="D429" s="4" t="s">
        <v>86</v>
      </c>
      <c r="E429" s="3"/>
      <c r="F429" s="3" t="s">
        <v>68</v>
      </c>
      <c r="G429" s="4">
        <v>2</v>
      </c>
      <c r="H429" s="4">
        <v>2</v>
      </c>
      <c r="I429" s="4">
        <v>5</v>
      </c>
      <c r="J429" s="4" t="s">
        <v>8</v>
      </c>
      <c r="K429" s="4" t="s">
        <v>14</v>
      </c>
      <c r="L429" s="11"/>
      <c r="M429" s="3"/>
      <c r="N429"/>
      <c r="O429" s="4"/>
      <c r="P429" s="1"/>
      <c r="Q429" s="22"/>
      <c r="R429"/>
      <c r="S429" s="11"/>
    </row>
    <row r="430" spans="2:19" x14ac:dyDescent="0.25">
      <c r="B430" s="4">
        <v>20022150</v>
      </c>
      <c r="C430" s="1" t="s">
        <v>347</v>
      </c>
      <c r="D430" s="4" t="s">
        <v>86</v>
      </c>
      <c r="E430" s="3" t="s">
        <v>118</v>
      </c>
      <c r="F430" s="3" t="s">
        <v>89</v>
      </c>
      <c r="G430" s="4">
        <v>4</v>
      </c>
      <c r="H430" s="4">
        <v>6</v>
      </c>
      <c r="I430" s="4">
        <v>6</v>
      </c>
      <c r="J430" s="4" t="s">
        <v>8</v>
      </c>
      <c r="K430" s="4" t="s">
        <v>7</v>
      </c>
      <c r="L430" s="11"/>
      <c r="M430" s="3"/>
      <c r="N430"/>
      <c r="O430" s="4"/>
      <c r="P430" s="1"/>
      <c r="Q430" s="22"/>
      <c r="R430" t="s">
        <v>148</v>
      </c>
      <c r="S430" s="11"/>
    </row>
    <row r="431" spans="2:19" x14ac:dyDescent="0.25">
      <c r="B431" s="4">
        <v>20022229</v>
      </c>
      <c r="C431" s="1" t="s">
        <v>348</v>
      </c>
      <c r="D431" s="4" t="s">
        <v>86</v>
      </c>
      <c r="E431" s="3" t="s">
        <v>118</v>
      </c>
      <c r="F431" s="3" t="s">
        <v>89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148</v>
      </c>
      <c r="S431" s="11"/>
    </row>
    <row r="432" spans="2:19" x14ac:dyDescent="0.25">
      <c r="B432" s="4">
        <v>20022336</v>
      </c>
      <c r="C432" s="1" t="s">
        <v>349</v>
      </c>
      <c r="D432" s="4" t="s">
        <v>86</v>
      </c>
      <c r="E432" s="3"/>
      <c r="F432" s="3" t="s">
        <v>89</v>
      </c>
      <c r="G432" s="4">
        <v>10</v>
      </c>
      <c r="H432" s="4">
        <v>5</v>
      </c>
      <c r="I432" s="4">
        <v>12</v>
      </c>
      <c r="J432" s="4" t="s">
        <v>8</v>
      </c>
      <c r="K432" s="4" t="s">
        <v>7</v>
      </c>
      <c r="L432" s="11"/>
      <c r="M432" s="3"/>
      <c r="N432"/>
      <c r="O432" s="4"/>
      <c r="P432" s="1"/>
      <c r="Q432" s="22"/>
      <c r="R432" t="s">
        <v>116</v>
      </c>
      <c r="S432" s="11"/>
    </row>
    <row r="433" spans="2:19" x14ac:dyDescent="0.25">
      <c r="B433" s="4">
        <v>20022432</v>
      </c>
      <c r="C433" s="1" t="s">
        <v>350</v>
      </c>
      <c r="D433" s="4" t="s">
        <v>86</v>
      </c>
      <c r="E433" s="3" t="s">
        <v>115</v>
      </c>
      <c r="F433" s="3" t="s">
        <v>89</v>
      </c>
      <c r="G433" s="4">
        <v>1</v>
      </c>
      <c r="H433" s="4">
        <v>1</v>
      </c>
      <c r="I433" s="4">
        <v>17</v>
      </c>
      <c r="J433" s="4" t="s">
        <v>8</v>
      </c>
      <c r="K433" s="4" t="s">
        <v>14</v>
      </c>
      <c r="L433" s="11"/>
      <c r="M433" s="3"/>
      <c r="N433"/>
      <c r="O433" s="4"/>
      <c r="P433" s="1"/>
      <c r="Q433" s="22"/>
      <c r="R433" t="s">
        <v>116</v>
      </c>
      <c r="S433" s="11"/>
    </row>
    <row r="434" spans="2:19" x14ac:dyDescent="0.25">
      <c r="B434" s="4">
        <v>20021907</v>
      </c>
      <c r="C434" s="1" t="s">
        <v>1366</v>
      </c>
      <c r="D434" s="4" t="s">
        <v>86</v>
      </c>
      <c r="E434" s="3"/>
      <c r="F434" s="3" t="s">
        <v>68</v>
      </c>
      <c r="G434" s="4">
        <v>2</v>
      </c>
      <c r="H434" s="4">
        <v>2</v>
      </c>
      <c r="I434" s="4">
        <v>2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/>
      <c r="S434" s="11"/>
    </row>
    <row r="435" spans="2:19" x14ac:dyDescent="0.25">
      <c r="B435" s="4">
        <v>20022436</v>
      </c>
      <c r="C435" s="1" t="s">
        <v>351</v>
      </c>
      <c r="D435" s="4" t="s">
        <v>86</v>
      </c>
      <c r="E435" s="3" t="s">
        <v>118</v>
      </c>
      <c r="F435" s="3" t="s">
        <v>89</v>
      </c>
      <c r="G435" s="4">
        <v>1</v>
      </c>
      <c r="H435" s="4">
        <v>1</v>
      </c>
      <c r="I435" s="4">
        <v>70</v>
      </c>
      <c r="J435" s="4" t="s">
        <v>8</v>
      </c>
      <c r="K435" s="4" t="s">
        <v>14</v>
      </c>
      <c r="L435" s="11"/>
      <c r="M435" s="3"/>
      <c r="N435"/>
      <c r="O435" s="4"/>
      <c r="P435" s="1"/>
      <c r="Q435" s="22"/>
      <c r="R435" t="s">
        <v>156</v>
      </c>
      <c r="S435" s="11"/>
    </row>
    <row r="436" spans="2:19" x14ac:dyDescent="0.25">
      <c r="B436" s="4">
        <v>20021909</v>
      </c>
      <c r="C436" s="1" t="s">
        <v>1347</v>
      </c>
      <c r="D436" s="4" t="s">
        <v>86</v>
      </c>
      <c r="E436" s="3"/>
      <c r="F436" s="3" t="s">
        <v>68</v>
      </c>
      <c r="G436" s="4">
        <v>2</v>
      </c>
      <c r="H436" s="4">
        <v>4</v>
      </c>
      <c r="I436" s="4">
        <v>4</v>
      </c>
      <c r="J436" s="4" t="s">
        <v>8</v>
      </c>
      <c r="K436" s="4" t="s">
        <v>7</v>
      </c>
      <c r="L436" s="11"/>
      <c r="M436" s="3"/>
      <c r="N436"/>
      <c r="O436" s="4"/>
      <c r="P436" s="1"/>
      <c r="Q436" s="22"/>
      <c r="R436"/>
      <c r="S436" s="11"/>
    </row>
    <row r="437" spans="2:19" x14ac:dyDescent="0.25">
      <c r="B437" s="4">
        <v>20022673</v>
      </c>
      <c r="C437" s="1" t="s">
        <v>352</v>
      </c>
      <c r="D437" s="4" t="s">
        <v>86</v>
      </c>
      <c r="E437" s="3" t="s">
        <v>97</v>
      </c>
      <c r="F437" s="3" t="s">
        <v>89</v>
      </c>
      <c r="G437" s="4">
        <v>3</v>
      </c>
      <c r="H437" s="4">
        <v>4</v>
      </c>
      <c r="I437" s="4">
        <v>10</v>
      </c>
      <c r="J437" s="4" t="s">
        <v>8</v>
      </c>
      <c r="K437" s="4" t="s">
        <v>14</v>
      </c>
      <c r="L437" s="11"/>
      <c r="M437" s="3"/>
      <c r="N437"/>
      <c r="O437" s="4"/>
      <c r="P437" s="1"/>
      <c r="Q437" s="22"/>
      <c r="R437" t="s">
        <v>98</v>
      </c>
      <c r="S437" s="11"/>
    </row>
    <row r="438" spans="2:19" x14ac:dyDescent="0.25">
      <c r="B438" s="4">
        <v>20022011</v>
      </c>
      <c r="C438" s="1" t="s">
        <v>1388</v>
      </c>
      <c r="D438" s="4" t="s">
        <v>86</v>
      </c>
      <c r="E438" s="74"/>
      <c r="F438" s="3" t="s">
        <v>68</v>
      </c>
      <c r="G438" s="4">
        <v>5</v>
      </c>
      <c r="H438" s="4">
        <v>5</v>
      </c>
      <c r="I438" s="4">
        <v>8</v>
      </c>
      <c r="J438" s="4" t="s">
        <v>8</v>
      </c>
      <c r="K438" s="4" t="s">
        <v>7</v>
      </c>
      <c r="L438" s="11"/>
      <c r="M438" s="3"/>
      <c r="N438"/>
      <c r="O438" s="4"/>
      <c r="P438" s="1"/>
      <c r="Q438" s="22"/>
      <c r="R438"/>
      <c r="S438" s="11"/>
    </row>
    <row r="439" spans="2:19" x14ac:dyDescent="0.25">
      <c r="B439" s="4">
        <v>20022057</v>
      </c>
      <c r="C439" s="1" t="s">
        <v>1057</v>
      </c>
      <c r="D439" s="4" t="s">
        <v>86</v>
      </c>
      <c r="E439" s="3"/>
      <c r="F439" s="3" t="s">
        <v>68</v>
      </c>
      <c r="G439" s="4">
        <v>20</v>
      </c>
      <c r="H439" s="4">
        <v>20</v>
      </c>
      <c r="I439" s="4">
        <v>103</v>
      </c>
      <c r="J439" s="4" t="s">
        <v>8</v>
      </c>
      <c r="K439" s="4" t="s">
        <v>14</v>
      </c>
      <c r="L439" s="11"/>
      <c r="M439" s="3"/>
      <c r="N439"/>
      <c r="O439" s="4"/>
      <c r="P439" s="1"/>
      <c r="Q439" s="22"/>
      <c r="R439"/>
      <c r="S439" s="11"/>
    </row>
    <row r="440" spans="2:19" x14ac:dyDescent="0.25">
      <c r="B440" s="4">
        <v>20022101</v>
      </c>
      <c r="C440" s="1" t="s">
        <v>1248</v>
      </c>
      <c r="D440" s="4" t="s">
        <v>86</v>
      </c>
      <c r="E440" s="3"/>
      <c r="F440" s="3" t="s">
        <v>68</v>
      </c>
      <c r="G440" s="4">
        <v>5</v>
      </c>
      <c r="H440" s="4">
        <v>10</v>
      </c>
      <c r="I440" s="4">
        <v>0</v>
      </c>
      <c r="J440" s="4" t="s">
        <v>8</v>
      </c>
      <c r="K440" s="4" t="s">
        <v>13</v>
      </c>
      <c r="L440" s="11">
        <v>1002648051</v>
      </c>
      <c r="M440" s="3">
        <v>5</v>
      </c>
      <c r="N440"/>
      <c r="O440" s="4"/>
      <c r="P440" s="1"/>
      <c r="Q440" s="22"/>
      <c r="R440"/>
      <c r="S440" s="11"/>
    </row>
    <row r="441" spans="2:19" x14ac:dyDescent="0.25">
      <c r="B441" s="4">
        <v>20022425</v>
      </c>
      <c r="C441" s="1" t="s">
        <v>871</v>
      </c>
      <c r="D441" s="4" t="s">
        <v>86</v>
      </c>
      <c r="E441" s="3"/>
      <c r="F441" s="3" t="s">
        <v>102</v>
      </c>
      <c r="G441" s="4">
        <v>20</v>
      </c>
      <c r="H441" s="4">
        <v>24</v>
      </c>
      <c r="I441" s="4">
        <v>42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</row>
    <row r="442" spans="2:19" x14ac:dyDescent="0.25">
      <c r="B442" s="4">
        <v>20022605</v>
      </c>
      <c r="C442" s="1" t="s">
        <v>1304</v>
      </c>
      <c r="D442" s="4" t="s">
        <v>86</v>
      </c>
      <c r="E442" s="3"/>
      <c r="F442" s="3" t="s">
        <v>68</v>
      </c>
      <c r="G442" s="4">
        <v>2</v>
      </c>
      <c r="H442" s="4">
        <v>2</v>
      </c>
      <c r="I442" s="4">
        <v>2</v>
      </c>
      <c r="J442" s="4" t="s">
        <v>8</v>
      </c>
      <c r="K442" s="4" t="s">
        <v>7</v>
      </c>
      <c r="L442" s="11"/>
      <c r="M442" s="3"/>
      <c r="N442">
        <v>4502695247</v>
      </c>
      <c r="O442" s="4">
        <v>1</v>
      </c>
      <c r="P442" s="1" t="s">
        <v>1617</v>
      </c>
      <c r="Q442" s="22">
        <v>46220</v>
      </c>
      <c r="R442"/>
      <c r="S442" s="11"/>
    </row>
    <row r="443" spans="2:19" x14ac:dyDescent="0.25">
      <c r="B443" s="4">
        <v>20022683</v>
      </c>
      <c r="C443" s="1" t="s">
        <v>1389</v>
      </c>
      <c r="D443" s="4" t="s">
        <v>86</v>
      </c>
      <c r="E443" s="3"/>
      <c r="F443" s="3" t="s">
        <v>68</v>
      </c>
      <c r="G443" s="4">
        <v>10</v>
      </c>
      <c r="H443" s="4">
        <v>20</v>
      </c>
      <c r="I443" s="4">
        <v>22</v>
      </c>
      <c r="J443" s="4" t="s">
        <v>8</v>
      </c>
      <c r="K443" s="4" t="s">
        <v>7</v>
      </c>
      <c r="L443" s="11"/>
      <c r="M443" s="3"/>
      <c r="N443"/>
      <c r="O443" s="4"/>
      <c r="P443" s="1"/>
      <c r="Q443" s="22"/>
      <c r="R443"/>
      <c r="S443" s="11"/>
    </row>
    <row r="444" spans="2:19" x14ac:dyDescent="0.25">
      <c r="B444" s="4">
        <v>20022697</v>
      </c>
      <c r="C444" s="1" t="s">
        <v>1249</v>
      </c>
      <c r="D444" s="4" t="s">
        <v>86</v>
      </c>
      <c r="E444" s="3"/>
      <c r="F444" s="3" t="s">
        <v>68</v>
      </c>
      <c r="G444" s="4">
        <v>2</v>
      </c>
      <c r="H444" s="4">
        <v>2</v>
      </c>
      <c r="I444" s="4">
        <v>3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</row>
    <row r="445" spans="2:19" x14ac:dyDescent="0.25">
      <c r="B445" s="4">
        <v>20022698</v>
      </c>
      <c r="C445" s="1" t="s">
        <v>363</v>
      </c>
      <c r="D445" s="4" t="s">
        <v>86</v>
      </c>
      <c r="E445" s="3"/>
      <c r="F445" s="3" t="s">
        <v>68</v>
      </c>
      <c r="G445" s="4">
        <v>20</v>
      </c>
      <c r="H445" s="4">
        <v>20</v>
      </c>
      <c r="I445" s="4">
        <v>29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</row>
    <row r="446" spans="2:19" x14ac:dyDescent="0.25">
      <c r="B446" s="4">
        <v>20022707</v>
      </c>
      <c r="C446" s="1" t="s">
        <v>364</v>
      </c>
      <c r="D446" s="4" t="s">
        <v>86</v>
      </c>
      <c r="E446" s="3"/>
      <c r="F446" s="3" t="s">
        <v>68</v>
      </c>
      <c r="G446" s="4">
        <v>5</v>
      </c>
      <c r="H446" s="4">
        <v>10</v>
      </c>
      <c r="I446" s="4">
        <v>24</v>
      </c>
      <c r="J446" s="4" t="s">
        <v>8</v>
      </c>
      <c r="K446" s="4" t="s">
        <v>14</v>
      </c>
      <c r="L446" s="11"/>
      <c r="M446" s="3"/>
      <c r="N446"/>
      <c r="O446" s="4"/>
      <c r="P446" s="1"/>
      <c r="Q446" s="22"/>
      <c r="R446"/>
      <c r="S446" s="11"/>
    </row>
    <row r="447" spans="2:19" x14ac:dyDescent="0.25">
      <c r="B447" s="4">
        <v>20022711</v>
      </c>
      <c r="C447" s="1" t="s">
        <v>1250</v>
      </c>
      <c r="D447" s="4" t="s">
        <v>86</v>
      </c>
      <c r="E447" s="3"/>
      <c r="F447" s="3" t="s">
        <v>68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</row>
    <row r="448" spans="2:19" x14ac:dyDescent="0.25">
      <c r="B448" s="4">
        <v>20022877</v>
      </c>
      <c r="C448" s="1" t="s">
        <v>365</v>
      </c>
      <c r="D448" s="4" t="s">
        <v>86</v>
      </c>
      <c r="E448" s="3"/>
      <c r="F448" s="3" t="s">
        <v>68</v>
      </c>
      <c r="G448" s="4">
        <v>1</v>
      </c>
      <c r="H448" s="4">
        <v>1</v>
      </c>
      <c r="I448" s="4">
        <v>5</v>
      </c>
      <c r="J448" s="4" t="s">
        <v>8</v>
      </c>
      <c r="K448" s="4" t="s">
        <v>14</v>
      </c>
      <c r="L448" s="11"/>
      <c r="M448" s="3"/>
      <c r="N448"/>
      <c r="O448" s="4"/>
      <c r="P448" s="1"/>
      <c r="Q448" s="22"/>
      <c r="R448"/>
      <c r="S448" s="11"/>
    </row>
    <row r="449" spans="2:19" x14ac:dyDescent="0.25">
      <c r="B449" s="4">
        <v>20022878</v>
      </c>
      <c r="C449" s="1" t="s">
        <v>366</v>
      </c>
      <c r="D449" s="4" t="s">
        <v>86</v>
      </c>
      <c r="E449" s="3"/>
      <c r="F449" s="3" t="s">
        <v>68</v>
      </c>
      <c r="G449" s="4">
        <v>1</v>
      </c>
      <c r="H449" s="4">
        <v>1</v>
      </c>
      <c r="I449" s="4">
        <v>9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</row>
    <row r="450" spans="2:19" x14ac:dyDescent="0.25">
      <c r="B450" s="4">
        <v>20022888</v>
      </c>
      <c r="C450" s="1" t="s">
        <v>367</v>
      </c>
      <c r="D450" s="4" t="s">
        <v>86</v>
      </c>
      <c r="E450" s="3"/>
      <c r="F450" s="3" t="s">
        <v>68</v>
      </c>
      <c r="G450" s="4">
        <v>880</v>
      </c>
      <c r="H450" s="4">
        <v>1500</v>
      </c>
      <c r="I450" s="4">
        <v>1100</v>
      </c>
      <c r="J450" s="4" t="s">
        <v>25</v>
      </c>
      <c r="K450" s="4" t="s">
        <v>7</v>
      </c>
      <c r="L450" s="11"/>
      <c r="M450" s="3"/>
      <c r="N450"/>
      <c r="O450" s="4"/>
      <c r="P450" s="1"/>
      <c r="Q450" s="22"/>
      <c r="R450"/>
      <c r="S450" s="11"/>
    </row>
    <row r="451" spans="2:19" x14ac:dyDescent="0.25">
      <c r="B451" s="4">
        <v>20022922</v>
      </c>
      <c r="C451" s="1" t="s">
        <v>368</v>
      </c>
      <c r="D451" s="4" t="s">
        <v>86</v>
      </c>
      <c r="E451" s="3"/>
      <c r="F451" s="3" t="s">
        <v>68</v>
      </c>
      <c r="G451" s="4">
        <v>3</v>
      </c>
      <c r="H451" s="4">
        <v>7</v>
      </c>
      <c r="I451" s="4">
        <v>4</v>
      </c>
      <c r="J451" s="4" t="s">
        <v>8</v>
      </c>
      <c r="K451" s="4" t="s">
        <v>7</v>
      </c>
      <c r="L451" s="11"/>
      <c r="M451" s="3"/>
      <c r="N451"/>
      <c r="O451" s="4"/>
      <c r="P451" s="1"/>
      <c r="Q451" s="22"/>
      <c r="R451"/>
      <c r="S451" s="11"/>
    </row>
    <row r="452" spans="2:19" x14ac:dyDescent="0.25">
      <c r="B452" s="4">
        <v>20022924</v>
      </c>
      <c r="C452" s="1" t="s">
        <v>369</v>
      </c>
      <c r="D452" s="4" t="s">
        <v>86</v>
      </c>
      <c r="E452" s="3"/>
      <c r="F452" s="3" t="s">
        <v>68</v>
      </c>
      <c r="G452" s="4">
        <v>3</v>
      </c>
      <c r="H452" s="4">
        <v>6</v>
      </c>
      <c r="I452" s="4">
        <v>16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</row>
    <row r="453" spans="2:19" x14ac:dyDescent="0.25">
      <c r="B453" s="4">
        <v>20022992</v>
      </c>
      <c r="C453" s="1" t="s">
        <v>370</v>
      </c>
      <c r="D453" s="4" t="s">
        <v>86</v>
      </c>
      <c r="E453" s="3"/>
      <c r="F453" s="3" t="s">
        <v>68</v>
      </c>
      <c r="G453" s="4">
        <v>4000</v>
      </c>
      <c r="H453" s="4">
        <v>6000</v>
      </c>
      <c r="I453" s="4">
        <v>4000</v>
      </c>
      <c r="J453" s="4" t="s">
        <v>8</v>
      </c>
      <c r="K453" s="4" t="s">
        <v>7</v>
      </c>
      <c r="L453" s="11"/>
      <c r="M453" s="3"/>
      <c r="N453"/>
      <c r="O453" s="4"/>
      <c r="P453" s="1"/>
      <c r="Q453" s="22"/>
      <c r="R453"/>
      <c r="S453" s="11"/>
    </row>
    <row r="454" spans="2:19" x14ac:dyDescent="0.25">
      <c r="B454" s="4">
        <v>20023010</v>
      </c>
      <c r="C454" s="1" t="s">
        <v>371</v>
      </c>
      <c r="D454" s="4" t="s">
        <v>86</v>
      </c>
      <c r="E454" s="3"/>
      <c r="F454" s="3" t="s">
        <v>68</v>
      </c>
      <c r="G454" s="4">
        <v>3</v>
      </c>
      <c r="H454" s="4">
        <v>2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</row>
    <row r="455" spans="2:19" x14ac:dyDescent="0.25">
      <c r="B455" s="4">
        <v>20023022</v>
      </c>
      <c r="C455" s="1" t="s">
        <v>372</v>
      </c>
      <c r="D455" s="4" t="s">
        <v>86</v>
      </c>
      <c r="E455" s="3"/>
      <c r="F455" s="3" t="s">
        <v>68</v>
      </c>
      <c r="G455" s="4">
        <v>5</v>
      </c>
      <c r="H455" s="4">
        <v>10</v>
      </c>
      <c r="I455" s="4">
        <v>9</v>
      </c>
      <c r="J455" s="4" t="s">
        <v>8</v>
      </c>
      <c r="K455" s="4" t="s">
        <v>7</v>
      </c>
      <c r="L455" s="11"/>
      <c r="M455" s="3"/>
      <c r="N455"/>
      <c r="O455" s="4"/>
      <c r="P455" s="1"/>
      <c r="Q455" s="22"/>
      <c r="R455"/>
      <c r="S455" s="11"/>
    </row>
    <row r="456" spans="2:19" x14ac:dyDescent="0.25">
      <c r="B456" s="4">
        <v>20023087</v>
      </c>
      <c r="C456" s="1" t="s">
        <v>373</v>
      </c>
      <c r="D456" s="4" t="s">
        <v>86</v>
      </c>
      <c r="E456" s="3"/>
      <c r="F456" s="3" t="s">
        <v>68</v>
      </c>
      <c r="G456" s="4">
        <v>4</v>
      </c>
      <c r="H456" s="4">
        <v>6</v>
      </c>
      <c r="I456" s="4">
        <v>5</v>
      </c>
      <c r="J456" s="4" t="s">
        <v>8</v>
      </c>
      <c r="K456" s="4" t="s">
        <v>7</v>
      </c>
      <c r="L456" s="11"/>
      <c r="M456" s="3"/>
      <c r="N456"/>
      <c r="O456" s="4"/>
      <c r="P456" s="1"/>
      <c r="Q456" s="22"/>
      <c r="R456"/>
      <c r="S456" s="11"/>
    </row>
    <row r="457" spans="2:19" x14ac:dyDescent="0.25">
      <c r="B457" s="4">
        <v>20023178</v>
      </c>
      <c r="C457" s="1" t="s">
        <v>374</v>
      </c>
      <c r="D457" s="4" t="s">
        <v>86</v>
      </c>
      <c r="E457" s="3"/>
      <c r="F457" s="3" t="s">
        <v>68</v>
      </c>
      <c r="G457" s="4">
        <v>2</v>
      </c>
      <c r="H457" s="4">
        <v>3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</row>
    <row r="458" spans="2:19" x14ac:dyDescent="0.25">
      <c r="B458" s="4">
        <v>20023179</v>
      </c>
      <c r="C458" s="1" t="s">
        <v>375</v>
      </c>
      <c r="D458" s="4" t="s">
        <v>86</v>
      </c>
      <c r="E458" s="3"/>
      <c r="F458" s="3" t="s">
        <v>68</v>
      </c>
      <c r="G458" s="4">
        <v>20</v>
      </c>
      <c r="H458" s="4">
        <v>20</v>
      </c>
      <c r="I458" s="4">
        <v>64</v>
      </c>
      <c r="J458" s="4" t="s">
        <v>8</v>
      </c>
      <c r="K458" s="4" t="s">
        <v>14</v>
      </c>
      <c r="L458" s="11"/>
      <c r="M458" s="3"/>
      <c r="N458"/>
      <c r="O458" s="4"/>
      <c r="P458" s="1"/>
      <c r="Q458" s="22"/>
      <c r="R458"/>
      <c r="S458" s="11"/>
    </row>
    <row r="459" spans="2:19" x14ac:dyDescent="0.25">
      <c r="B459" s="4">
        <v>20023241</v>
      </c>
      <c r="C459" s="1" t="s">
        <v>376</v>
      </c>
      <c r="D459" s="4" t="s">
        <v>86</v>
      </c>
      <c r="E459" s="3"/>
      <c r="F459" s="3" t="s">
        <v>68</v>
      </c>
      <c r="G459" s="4">
        <v>2</v>
      </c>
      <c r="H459" s="4">
        <v>1</v>
      </c>
      <c r="I459" s="4">
        <v>6</v>
      </c>
      <c r="J459" s="4" t="s">
        <v>8</v>
      </c>
      <c r="K459" s="4" t="s">
        <v>14</v>
      </c>
      <c r="L459" s="11"/>
      <c r="M459" s="3"/>
      <c r="N459"/>
      <c r="O459" s="4"/>
      <c r="P459" s="1"/>
      <c r="Q459" s="22"/>
      <c r="R459"/>
      <c r="S459" s="11"/>
    </row>
    <row r="460" spans="2:19" x14ac:dyDescent="0.25">
      <c r="B460" s="4">
        <v>20023269</v>
      </c>
      <c r="C460" s="1" t="s">
        <v>377</v>
      </c>
      <c r="D460" s="4" t="s">
        <v>86</v>
      </c>
      <c r="E460" s="3"/>
      <c r="F460" s="3" t="s">
        <v>68</v>
      </c>
      <c r="G460" s="4">
        <v>15</v>
      </c>
      <c r="H460" s="4">
        <v>20</v>
      </c>
      <c r="I460" s="4">
        <v>13</v>
      </c>
      <c r="J460" s="4" t="s">
        <v>8</v>
      </c>
      <c r="K460" s="4" t="s">
        <v>9</v>
      </c>
      <c r="L460" s="11">
        <v>1002648063</v>
      </c>
      <c r="M460" s="3">
        <v>20</v>
      </c>
      <c r="N460"/>
      <c r="O460" s="4"/>
      <c r="P460" s="1"/>
      <c r="Q460" s="22"/>
      <c r="R460"/>
      <c r="S460" s="11"/>
    </row>
    <row r="461" spans="2:19" x14ac:dyDescent="0.25">
      <c r="B461" s="4">
        <v>20023350</v>
      </c>
      <c r="C461" s="1" t="s">
        <v>378</v>
      </c>
      <c r="D461" s="4" t="s">
        <v>86</v>
      </c>
      <c r="E461" s="3"/>
      <c r="F461" s="3" t="s">
        <v>68</v>
      </c>
      <c r="G461" s="4">
        <v>4</v>
      </c>
      <c r="H461" s="4">
        <v>4</v>
      </c>
      <c r="I461" s="4">
        <v>0</v>
      </c>
      <c r="J461" s="4" t="s">
        <v>8</v>
      </c>
      <c r="K461" s="4" t="s">
        <v>13</v>
      </c>
      <c r="L461" s="11"/>
      <c r="M461" s="3"/>
      <c r="N461">
        <v>4502693672</v>
      </c>
      <c r="O461" s="4">
        <v>6</v>
      </c>
      <c r="P461" s="1" t="s">
        <v>1638</v>
      </c>
      <c r="Q461" s="22">
        <v>46218</v>
      </c>
      <c r="R461"/>
      <c r="S461" s="11"/>
    </row>
    <row r="462" spans="2:19" x14ac:dyDescent="0.25">
      <c r="B462" s="4">
        <v>20023401</v>
      </c>
      <c r="C462" s="1" t="s">
        <v>379</v>
      </c>
      <c r="D462" s="4" t="s">
        <v>86</v>
      </c>
      <c r="E462" s="3"/>
      <c r="F462" s="3" t="s">
        <v>68</v>
      </c>
      <c r="G462" s="4">
        <v>10</v>
      </c>
      <c r="H462" s="4">
        <v>10</v>
      </c>
      <c r="I462" s="4">
        <v>12</v>
      </c>
      <c r="J462" s="4" t="s">
        <v>8</v>
      </c>
      <c r="K462" s="4" t="s">
        <v>7</v>
      </c>
      <c r="L462" s="11"/>
      <c r="M462" s="3"/>
      <c r="N462"/>
      <c r="O462" s="4"/>
      <c r="P462" s="1"/>
      <c r="Q462" s="22"/>
      <c r="R462"/>
      <c r="S462" s="11"/>
    </row>
    <row r="463" spans="2:19" x14ac:dyDescent="0.25">
      <c r="B463" s="4">
        <v>20023429</v>
      </c>
      <c r="C463" s="1" t="s">
        <v>380</v>
      </c>
      <c r="D463" s="4" t="s">
        <v>86</v>
      </c>
      <c r="E463" s="3"/>
      <c r="F463" s="3" t="s">
        <v>68</v>
      </c>
      <c r="G463" s="4">
        <v>3</v>
      </c>
      <c r="H463" s="4">
        <v>2</v>
      </c>
      <c r="I463" s="4">
        <v>2</v>
      </c>
      <c r="J463" s="4" t="s">
        <v>8</v>
      </c>
      <c r="K463" s="4" t="s">
        <v>9</v>
      </c>
      <c r="L463" s="11" t="s">
        <v>1624</v>
      </c>
      <c r="M463" s="3"/>
      <c r="N463"/>
      <c r="O463" s="4"/>
      <c r="P463" s="1"/>
      <c r="Q463" s="22"/>
      <c r="R463"/>
      <c r="S463" s="11" t="s">
        <v>1580</v>
      </c>
    </row>
    <row r="464" spans="2:19" x14ac:dyDescent="0.25">
      <c r="B464" s="4">
        <v>20023458</v>
      </c>
      <c r="C464" s="1" t="s">
        <v>1348</v>
      </c>
      <c r="D464" s="4" t="s">
        <v>86</v>
      </c>
      <c r="E464" s="3"/>
      <c r="F464" s="3" t="s">
        <v>68</v>
      </c>
      <c r="G464" s="4">
        <v>10</v>
      </c>
      <c r="H464" s="4">
        <v>10</v>
      </c>
      <c r="I464" s="4">
        <v>16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</row>
    <row r="465" spans="2:19" x14ac:dyDescent="0.25">
      <c r="B465" s="4">
        <v>20023576</v>
      </c>
      <c r="C465" s="1" t="s">
        <v>381</v>
      </c>
      <c r="D465" s="4" t="s">
        <v>86</v>
      </c>
      <c r="E465" s="3"/>
      <c r="F465" s="3" t="s">
        <v>68</v>
      </c>
      <c r="G465" s="4">
        <v>1000</v>
      </c>
      <c r="H465" s="4">
        <v>2000</v>
      </c>
      <c r="I465" s="4">
        <v>2000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</row>
    <row r="466" spans="2:19" x14ac:dyDescent="0.25">
      <c r="B466" s="4">
        <v>20023655</v>
      </c>
      <c r="C466" s="1" t="s">
        <v>1285</v>
      </c>
      <c r="D466" s="4" t="s">
        <v>86</v>
      </c>
      <c r="E466" s="3"/>
      <c r="F466" s="3" t="s">
        <v>68</v>
      </c>
      <c r="G466" s="4">
        <v>6</v>
      </c>
      <c r="H466" s="4">
        <v>4</v>
      </c>
      <c r="I466" s="4">
        <v>2</v>
      </c>
      <c r="J466" s="4" t="s">
        <v>8</v>
      </c>
      <c r="K466" s="4" t="s">
        <v>9</v>
      </c>
      <c r="L466" s="11"/>
      <c r="M466" s="3"/>
      <c r="N466">
        <v>4502696121</v>
      </c>
      <c r="O466" s="4">
        <v>8</v>
      </c>
      <c r="P466" s="1" t="s">
        <v>1655</v>
      </c>
      <c r="Q466" s="22">
        <v>46231</v>
      </c>
      <c r="R466"/>
      <c r="S466" s="11" t="s">
        <v>1633</v>
      </c>
    </row>
    <row r="467" spans="2:19" x14ac:dyDescent="0.25">
      <c r="B467" s="4">
        <v>20023659</v>
      </c>
      <c r="C467" s="1" t="s">
        <v>382</v>
      </c>
      <c r="D467" s="4" t="s">
        <v>86</v>
      </c>
      <c r="E467" s="3"/>
      <c r="F467" s="3" t="s">
        <v>68</v>
      </c>
      <c r="G467" s="4">
        <v>1</v>
      </c>
      <c r="H467" s="4">
        <v>1</v>
      </c>
      <c r="I467" s="4">
        <v>6</v>
      </c>
      <c r="J467" s="4" t="s">
        <v>8</v>
      </c>
      <c r="K467" s="4" t="s">
        <v>14</v>
      </c>
      <c r="L467" s="11"/>
      <c r="M467" s="3"/>
      <c r="N467"/>
      <c r="O467" s="4"/>
      <c r="P467" s="1"/>
      <c r="Q467" s="22"/>
      <c r="R467"/>
      <c r="S467" s="11"/>
    </row>
    <row r="468" spans="2:19" x14ac:dyDescent="0.25">
      <c r="B468" s="4">
        <v>20023707</v>
      </c>
      <c r="C468" s="1" t="s">
        <v>383</v>
      </c>
      <c r="D468" s="4" t="s">
        <v>86</v>
      </c>
      <c r="E468" s="3"/>
      <c r="F468" s="3" t="s">
        <v>68</v>
      </c>
      <c r="G468" s="4">
        <v>4</v>
      </c>
      <c r="H468" s="4">
        <v>6</v>
      </c>
      <c r="I468" s="4">
        <v>6</v>
      </c>
      <c r="J468" s="4" t="s">
        <v>8</v>
      </c>
      <c r="K468" s="4" t="s">
        <v>7</v>
      </c>
      <c r="L468" s="11"/>
      <c r="M468" s="3"/>
      <c r="N468"/>
      <c r="O468" s="4"/>
      <c r="P468" s="1"/>
      <c r="Q468" s="22"/>
      <c r="R468"/>
      <c r="S468" s="11"/>
    </row>
    <row r="469" spans="2:19" x14ac:dyDescent="0.25">
      <c r="B469" s="4">
        <v>20023885</v>
      </c>
      <c r="C469" s="1" t="s">
        <v>1444</v>
      </c>
      <c r="D469" s="4" t="s">
        <v>86</v>
      </c>
      <c r="E469" s="3"/>
      <c r="F469" s="3" t="s">
        <v>68</v>
      </c>
      <c r="G469" s="4">
        <v>40</v>
      </c>
      <c r="H469" s="4">
        <v>66</v>
      </c>
      <c r="I469" s="4">
        <v>34</v>
      </c>
      <c r="J469" s="4" t="s">
        <v>8</v>
      </c>
      <c r="K469" s="4" t="s">
        <v>9</v>
      </c>
      <c r="L469" s="11">
        <v>1002667096</v>
      </c>
      <c r="M469" s="3">
        <v>66</v>
      </c>
      <c r="N469"/>
      <c r="O469" s="4"/>
      <c r="P469" s="1"/>
      <c r="Q469" s="22"/>
      <c r="R469"/>
      <c r="S469" s="11"/>
    </row>
    <row r="470" spans="2:19" x14ac:dyDescent="0.25">
      <c r="B470" s="4">
        <v>20023886</v>
      </c>
      <c r="C470" s="1" t="s">
        <v>1531</v>
      </c>
      <c r="D470" s="4" t="s">
        <v>86</v>
      </c>
      <c r="E470" s="3"/>
      <c r="F470" s="3" t="s">
        <v>68</v>
      </c>
      <c r="G470" s="4">
        <v>15</v>
      </c>
      <c r="H470" s="4">
        <v>30</v>
      </c>
      <c r="I470" s="4">
        <v>15</v>
      </c>
      <c r="J470" s="4" t="s">
        <v>8</v>
      </c>
      <c r="K470" s="4" t="s">
        <v>7</v>
      </c>
      <c r="L470" s="11"/>
      <c r="M470" s="3"/>
      <c r="N470"/>
      <c r="O470" s="4"/>
      <c r="P470" s="1"/>
      <c r="Q470" s="22"/>
      <c r="R470"/>
      <c r="S470" s="11"/>
    </row>
    <row r="471" spans="2:19" x14ac:dyDescent="0.25">
      <c r="B471" s="4">
        <v>20024029</v>
      </c>
      <c r="C471" s="1" t="s">
        <v>384</v>
      </c>
      <c r="D471" s="4" t="s">
        <v>86</v>
      </c>
      <c r="E471" s="3"/>
      <c r="F471" s="3" t="s">
        <v>102</v>
      </c>
      <c r="G471" s="4">
        <v>51</v>
      </c>
      <c r="H471" s="4">
        <v>50</v>
      </c>
      <c r="I471" s="4">
        <v>77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</row>
    <row r="472" spans="2:19" x14ac:dyDescent="0.25">
      <c r="B472" s="4">
        <v>20024067</v>
      </c>
      <c r="C472" s="1" t="s">
        <v>385</v>
      </c>
      <c r="D472" s="4" t="s">
        <v>86</v>
      </c>
      <c r="E472" s="3"/>
      <c r="F472" s="3" t="s">
        <v>68</v>
      </c>
      <c r="G472" s="4">
        <v>40</v>
      </c>
      <c r="H472" s="4">
        <v>60</v>
      </c>
      <c r="I472" s="4">
        <v>0</v>
      </c>
      <c r="J472" s="4" t="s">
        <v>8</v>
      </c>
      <c r="K472" s="4" t="s">
        <v>13</v>
      </c>
      <c r="L472" s="11">
        <v>1002674974</v>
      </c>
      <c r="M472" s="3">
        <v>80</v>
      </c>
      <c r="N472"/>
      <c r="O472" s="4"/>
      <c r="P472" s="1"/>
      <c r="Q472" s="22"/>
      <c r="R472"/>
      <c r="S472" s="11"/>
    </row>
    <row r="473" spans="2:19" x14ac:dyDescent="0.25">
      <c r="B473" s="4">
        <v>20024068</v>
      </c>
      <c r="C473" s="1" t="s">
        <v>386</v>
      </c>
      <c r="D473" s="4" t="s">
        <v>86</v>
      </c>
      <c r="E473" s="3"/>
      <c r="F473" s="3" t="s">
        <v>68</v>
      </c>
      <c r="G473" s="4">
        <v>13</v>
      </c>
      <c r="H473" s="4">
        <v>21</v>
      </c>
      <c r="I473" s="4">
        <v>30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</row>
    <row r="474" spans="2:19" x14ac:dyDescent="0.25">
      <c r="B474" s="4">
        <v>20024086</v>
      </c>
      <c r="C474" s="1" t="s">
        <v>387</v>
      </c>
      <c r="D474" s="4" t="s">
        <v>86</v>
      </c>
      <c r="E474" s="3"/>
      <c r="F474" s="3" t="s">
        <v>68</v>
      </c>
      <c r="G474" s="4">
        <v>1</v>
      </c>
      <c r="H474" s="4">
        <v>1</v>
      </c>
      <c r="I474" s="4">
        <v>20</v>
      </c>
      <c r="J474" s="4" t="s">
        <v>8</v>
      </c>
      <c r="K474" s="4" t="s">
        <v>14</v>
      </c>
      <c r="L474" s="11"/>
      <c r="M474" s="3"/>
      <c r="N474"/>
      <c r="O474" s="4"/>
      <c r="P474" s="1"/>
      <c r="Q474" s="22"/>
      <c r="R474"/>
      <c r="S474" s="11"/>
    </row>
    <row r="475" spans="2:19" x14ac:dyDescent="0.25">
      <c r="B475" s="4">
        <v>20024123</v>
      </c>
      <c r="C475" s="1" t="s">
        <v>1367</v>
      </c>
      <c r="D475" s="4" t="s">
        <v>86</v>
      </c>
      <c r="E475" s="3"/>
      <c r="F475" s="3" t="s">
        <v>68</v>
      </c>
      <c r="G475" s="4">
        <v>2</v>
      </c>
      <c r="H475" s="4">
        <v>2</v>
      </c>
      <c r="I475" s="4">
        <v>4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</row>
    <row r="476" spans="2:19" x14ac:dyDescent="0.25">
      <c r="B476" s="4">
        <v>20024319</v>
      </c>
      <c r="C476" s="1" t="s">
        <v>388</v>
      </c>
      <c r="D476" s="4" t="s">
        <v>86</v>
      </c>
      <c r="E476" s="3"/>
      <c r="F476" s="3" t="s">
        <v>68</v>
      </c>
      <c r="G476" s="4">
        <v>100</v>
      </c>
      <c r="H476" s="4">
        <v>100</v>
      </c>
      <c r="I476" s="4">
        <v>139</v>
      </c>
      <c r="J476" s="4" t="s">
        <v>21</v>
      </c>
      <c r="K476" s="4" t="s">
        <v>7</v>
      </c>
      <c r="L476" s="11"/>
      <c r="M476" s="3"/>
      <c r="N476"/>
      <c r="O476" s="4"/>
      <c r="P476" s="1"/>
      <c r="Q476" s="22"/>
      <c r="R476"/>
      <c r="S476" s="11"/>
    </row>
    <row r="477" spans="2:19" x14ac:dyDescent="0.25">
      <c r="B477" s="4">
        <v>20024336</v>
      </c>
      <c r="C477" s="1" t="s">
        <v>389</v>
      </c>
      <c r="D477" s="4" t="s">
        <v>86</v>
      </c>
      <c r="E477" s="3"/>
      <c r="F477" s="3" t="s">
        <v>68</v>
      </c>
      <c r="G477" s="4">
        <v>6</v>
      </c>
      <c r="H477" s="4">
        <v>20</v>
      </c>
      <c r="I477" s="4">
        <v>6</v>
      </c>
      <c r="J477" s="4" t="s">
        <v>8</v>
      </c>
      <c r="K477" s="4" t="s">
        <v>7</v>
      </c>
      <c r="L477" s="11"/>
      <c r="M477" s="3"/>
      <c r="N477"/>
      <c r="O477" s="4"/>
      <c r="P477" s="1"/>
      <c r="Q477" s="22"/>
      <c r="R477"/>
      <c r="S477" s="11"/>
    </row>
    <row r="478" spans="2:19" x14ac:dyDescent="0.25">
      <c r="B478" s="4">
        <v>20024363</v>
      </c>
      <c r="C478" s="1" t="s">
        <v>390</v>
      </c>
      <c r="D478" s="4" t="s">
        <v>86</v>
      </c>
      <c r="E478" s="3"/>
      <c r="F478" s="3" t="s">
        <v>68</v>
      </c>
      <c r="G478" s="4">
        <v>6</v>
      </c>
      <c r="H478" s="4">
        <v>5</v>
      </c>
      <c r="I478" s="4">
        <v>7</v>
      </c>
      <c r="J478" s="4" t="s">
        <v>8</v>
      </c>
      <c r="K478" s="4" t="s">
        <v>7</v>
      </c>
      <c r="L478" s="11"/>
      <c r="M478" s="3"/>
      <c r="N478"/>
      <c r="O478" s="4"/>
      <c r="P478" s="1"/>
      <c r="Q478" s="22"/>
      <c r="R478"/>
      <c r="S478" s="11"/>
    </row>
    <row r="479" spans="2:19" x14ac:dyDescent="0.25">
      <c r="B479" s="4">
        <v>20024371</v>
      </c>
      <c r="C479" s="1" t="s">
        <v>391</v>
      </c>
      <c r="D479" s="4" t="s">
        <v>86</v>
      </c>
      <c r="E479" s="3"/>
      <c r="F479" s="3" t="s">
        <v>68</v>
      </c>
      <c r="G479" s="4">
        <v>1</v>
      </c>
      <c r="H479" s="4">
        <v>1</v>
      </c>
      <c r="I479" s="4">
        <v>10</v>
      </c>
      <c r="J479" s="4" t="s">
        <v>8</v>
      </c>
      <c r="K479" s="4" t="s">
        <v>14</v>
      </c>
      <c r="L479" s="11"/>
      <c r="M479" s="3"/>
      <c r="N479"/>
      <c r="O479" s="4"/>
      <c r="P479" s="1"/>
      <c r="Q479" s="22"/>
      <c r="R479"/>
      <c r="S479" s="11"/>
    </row>
    <row r="480" spans="2:19" x14ac:dyDescent="0.25">
      <c r="B480" s="4">
        <v>20024453</v>
      </c>
      <c r="C480" s="1" t="s">
        <v>392</v>
      </c>
      <c r="D480" s="4" t="s">
        <v>86</v>
      </c>
      <c r="E480" s="3"/>
      <c r="F480" s="3" t="s">
        <v>68</v>
      </c>
      <c r="G480" s="4">
        <v>2</v>
      </c>
      <c r="H480" s="4">
        <v>3</v>
      </c>
      <c r="I480" s="4">
        <v>6</v>
      </c>
      <c r="J480" s="4" t="s">
        <v>8</v>
      </c>
      <c r="K480" s="4" t="s">
        <v>14</v>
      </c>
      <c r="L480" s="11"/>
      <c r="M480" s="3"/>
      <c r="N480"/>
      <c r="O480" s="4"/>
      <c r="P480" s="1"/>
      <c r="Q480" s="22"/>
      <c r="R480"/>
      <c r="S480" s="11"/>
    </row>
    <row r="481" spans="2:19" x14ac:dyDescent="0.25">
      <c r="B481" s="4">
        <v>20024458</v>
      </c>
      <c r="C481" s="1" t="s">
        <v>393</v>
      </c>
      <c r="D481" s="4" t="s">
        <v>86</v>
      </c>
      <c r="E481" s="3"/>
      <c r="F481" s="3" t="s">
        <v>68</v>
      </c>
      <c r="G481" s="4">
        <v>12</v>
      </c>
      <c r="H481" s="4">
        <v>12</v>
      </c>
      <c r="I481" s="4">
        <v>24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</row>
    <row r="482" spans="2:19" x14ac:dyDescent="0.25">
      <c r="B482" s="4">
        <v>20024469</v>
      </c>
      <c r="C482" s="1" t="s">
        <v>394</v>
      </c>
      <c r="D482" s="4" t="s">
        <v>86</v>
      </c>
      <c r="E482" s="3"/>
      <c r="F482" s="3" t="s">
        <v>68</v>
      </c>
      <c r="G482" s="4">
        <v>1</v>
      </c>
      <c r="H482" s="4">
        <v>1</v>
      </c>
      <c r="I482" s="4">
        <v>8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</row>
    <row r="483" spans="2:19" x14ac:dyDescent="0.25">
      <c r="B483" s="4">
        <v>20024538</v>
      </c>
      <c r="C483" s="1" t="s">
        <v>395</v>
      </c>
      <c r="D483" s="4" t="s">
        <v>86</v>
      </c>
      <c r="E483" s="3"/>
      <c r="F483" s="3" t="s">
        <v>68</v>
      </c>
      <c r="G483" s="4">
        <v>3</v>
      </c>
      <c r="H483" s="4">
        <v>4</v>
      </c>
      <c r="I483" s="4">
        <v>93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</row>
    <row r="484" spans="2:19" x14ac:dyDescent="0.25">
      <c r="B484" s="4">
        <v>20024539</v>
      </c>
      <c r="C484" s="1" t="s">
        <v>396</v>
      </c>
      <c r="D484" s="4" t="s">
        <v>86</v>
      </c>
      <c r="E484" s="3"/>
      <c r="F484" s="3" t="s">
        <v>68</v>
      </c>
      <c r="G484" s="4">
        <v>22</v>
      </c>
      <c r="H484" s="4">
        <v>44</v>
      </c>
      <c r="I484" s="4">
        <v>30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</row>
    <row r="485" spans="2:19" x14ac:dyDescent="0.25">
      <c r="B485" s="4">
        <v>20024542</v>
      </c>
      <c r="C485" s="1" t="s">
        <v>397</v>
      </c>
      <c r="D485" s="4" t="s">
        <v>86</v>
      </c>
      <c r="E485" s="3"/>
      <c r="F485" s="3" t="s">
        <v>68</v>
      </c>
      <c r="G485" s="4">
        <v>4</v>
      </c>
      <c r="H485" s="4">
        <v>20</v>
      </c>
      <c r="I485" s="4">
        <v>12</v>
      </c>
      <c r="J485" s="4" t="s">
        <v>8</v>
      </c>
      <c r="K485" s="4" t="s">
        <v>7</v>
      </c>
      <c r="L485" s="11"/>
      <c r="M485" s="3"/>
      <c r="N485"/>
      <c r="O485" s="4"/>
      <c r="P485" s="1"/>
      <c r="Q485" s="22"/>
      <c r="R485"/>
      <c r="S485" s="11"/>
    </row>
    <row r="486" spans="2:19" x14ac:dyDescent="0.25">
      <c r="B486" s="4">
        <v>20024544</v>
      </c>
      <c r="C486" s="1" t="s">
        <v>398</v>
      </c>
      <c r="D486" s="4" t="s">
        <v>86</v>
      </c>
      <c r="E486" s="3"/>
      <c r="F486" s="3" t="s">
        <v>68</v>
      </c>
      <c r="G486" s="4">
        <v>3</v>
      </c>
      <c r="H486" s="4">
        <v>4</v>
      </c>
      <c r="I486" s="4">
        <v>46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</row>
    <row r="487" spans="2:19" x14ac:dyDescent="0.25">
      <c r="B487" s="4">
        <v>20024595</v>
      </c>
      <c r="C487" s="1" t="s">
        <v>399</v>
      </c>
      <c r="D487" s="4" t="s">
        <v>86</v>
      </c>
      <c r="E487" s="3"/>
      <c r="F487" s="3" t="s">
        <v>68</v>
      </c>
      <c r="G487" s="4">
        <v>307</v>
      </c>
      <c r="H487" s="4">
        <v>511</v>
      </c>
      <c r="I487" s="4">
        <v>2300</v>
      </c>
      <c r="J487" s="4" t="s">
        <v>8</v>
      </c>
      <c r="K487" s="4" t="s">
        <v>14</v>
      </c>
      <c r="L487" s="11"/>
      <c r="M487" s="3"/>
      <c r="N487"/>
      <c r="O487" s="4"/>
      <c r="P487" s="1"/>
      <c r="Q487" s="22"/>
      <c r="R487"/>
      <c r="S487" s="11"/>
    </row>
    <row r="488" spans="2:19" x14ac:dyDescent="0.25">
      <c r="B488" s="4">
        <v>20024596</v>
      </c>
      <c r="C488" s="1" t="s">
        <v>400</v>
      </c>
      <c r="D488" s="4" t="s">
        <v>86</v>
      </c>
      <c r="E488" s="3"/>
      <c r="F488" s="3" t="s">
        <v>68</v>
      </c>
      <c r="G488" s="4">
        <v>8</v>
      </c>
      <c r="H488" s="4">
        <v>10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</row>
    <row r="489" spans="2:19" x14ac:dyDescent="0.25">
      <c r="B489" s="4">
        <v>20024618</v>
      </c>
      <c r="C489" s="1" t="s">
        <v>56</v>
      </c>
      <c r="D489" s="4" t="s">
        <v>86</v>
      </c>
      <c r="E489" s="3"/>
      <c r="F489" s="3" t="s">
        <v>68</v>
      </c>
      <c r="G489" s="4">
        <v>6</v>
      </c>
      <c r="H489" s="4">
        <v>6</v>
      </c>
      <c r="I489" s="4">
        <v>9</v>
      </c>
      <c r="J489" s="4" t="s">
        <v>8</v>
      </c>
      <c r="K489" s="4" t="s">
        <v>7</v>
      </c>
      <c r="L489" s="11"/>
      <c r="M489" s="3"/>
      <c r="N489"/>
      <c r="O489" s="4"/>
      <c r="P489" s="1"/>
      <c r="Q489" s="22"/>
      <c r="R489"/>
      <c r="S489" s="11"/>
    </row>
    <row r="490" spans="2:19" x14ac:dyDescent="0.25">
      <c r="B490" s="4">
        <v>20024619</v>
      </c>
      <c r="C490" s="1" t="s">
        <v>57</v>
      </c>
      <c r="D490" s="4" t="s">
        <v>86</v>
      </c>
      <c r="E490" s="3"/>
      <c r="F490" s="3" t="s">
        <v>68</v>
      </c>
      <c r="G490" s="4">
        <v>6</v>
      </c>
      <c r="H490" s="4">
        <v>6</v>
      </c>
      <c r="I490" s="4">
        <v>8</v>
      </c>
      <c r="J490" s="4" t="s">
        <v>8</v>
      </c>
      <c r="K490" s="4" t="s">
        <v>7</v>
      </c>
      <c r="L490" s="11"/>
      <c r="M490" s="3"/>
      <c r="N490"/>
      <c r="O490" s="4"/>
      <c r="P490" s="1"/>
      <c r="Q490" s="22"/>
      <c r="R490"/>
      <c r="S490" s="11"/>
    </row>
    <row r="491" spans="2:19" x14ac:dyDescent="0.25">
      <c r="B491" s="4">
        <v>20024742</v>
      </c>
      <c r="C491" s="1" t="s">
        <v>401</v>
      </c>
      <c r="D491" s="4" t="s">
        <v>86</v>
      </c>
      <c r="E491" s="3"/>
      <c r="F491" s="3" t="s">
        <v>68</v>
      </c>
      <c r="G491" s="4">
        <v>1000</v>
      </c>
      <c r="H491" s="4">
        <v>1000</v>
      </c>
      <c r="I491" s="4">
        <v>1233</v>
      </c>
      <c r="J491" s="4" t="s">
        <v>8</v>
      </c>
      <c r="K491" s="4" t="s">
        <v>7</v>
      </c>
      <c r="L491" s="11"/>
      <c r="M491" s="3"/>
      <c r="N491"/>
      <c r="O491" s="4"/>
      <c r="P491" s="1"/>
      <c r="Q491" s="22"/>
      <c r="R491"/>
      <c r="S491" s="11"/>
    </row>
    <row r="492" spans="2:19" x14ac:dyDescent="0.25">
      <c r="B492" s="4">
        <v>20024748</v>
      </c>
      <c r="C492" s="1" t="s">
        <v>402</v>
      </c>
      <c r="D492" s="4" t="s">
        <v>86</v>
      </c>
      <c r="E492" s="3"/>
      <c r="F492" s="3" t="s">
        <v>68</v>
      </c>
      <c r="G492" s="4">
        <v>1</v>
      </c>
      <c r="H492" s="4">
        <v>1</v>
      </c>
      <c r="I492" s="4">
        <v>1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</row>
    <row r="493" spans="2:19" x14ac:dyDescent="0.25">
      <c r="B493" s="4">
        <v>20024813</v>
      </c>
      <c r="C493" s="1" t="s">
        <v>403</v>
      </c>
      <c r="D493" s="4" t="s">
        <v>86</v>
      </c>
      <c r="E493" s="3"/>
      <c r="F493" s="3" t="s">
        <v>68</v>
      </c>
      <c r="G493" s="4">
        <v>2</v>
      </c>
      <c r="H493" s="4">
        <v>3</v>
      </c>
      <c r="I493" s="4">
        <v>4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</row>
    <row r="494" spans="2:19" x14ac:dyDescent="0.25">
      <c r="B494" s="4">
        <v>20024829</v>
      </c>
      <c r="C494" s="1" t="s">
        <v>404</v>
      </c>
      <c r="D494" s="4" t="s">
        <v>86</v>
      </c>
      <c r="E494" s="3"/>
      <c r="F494" s="3" t="s">
        <v>68</v>
      </c>
      <c r="G494" s="4">
        <v>50</v>
      </c>
      <c r="H494" s="4">
        <v>50</v>
      </c>
      <c r="I494" s="4">
        <v>50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</row>
    <row r="495" spans="2:19" x14ac:dyDescent="0.25">
      <c r="B495" s="4">
        <v>20024831</v>
      </c>
      <c r="C495" s="1" t="s">
        <v>405</v>
      </c>
      <c r="D495" s="4" t="s">
        <v>86</v>
      </c>
      <c r="E495" s="3"/>
      <c r="F495" s="3" t="s">
        <v>68</v>
      </c>
      <c r="G495" s="4">
        <v>18</v>
      </c>
      <c r="H495" s="4">
        <v>29</v>
      </c>
      <c r="I495" s="4">
        <v>35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</row>
    <row r="496" spans="2:19" x14ac:dyDescent="0.25">
      <c r="B496" s="4">
        <v>20024832</v>
      </c>
      <c r="C496" s="1" t="s">
        <v>406</v>
      </c>
      <c r="D496" s="4" t="s">
        <v>86</v>
      </c>
      <c r="E496" s="3"/>
      <c r="F496" s="3" t="s">
        <v>68</v>
      </c>
      <c r="G496" s="4">
        <v>7</v>
      </c>
      <c r="H496" s="4">
        <v>11</v>
      </c>
      <c r="I496" s="4">
        <v>1000</v>
      </c>
      <c r="J496" s="4" t="s">
        <v>8</v>
      </c>
      <c r="K496" s="4" t="s">
        <v>14</v>
      </c>
      <c r="L496" s="11"/>
      <c r="M496" s="3"/>
      <c r="N496"/>
      <c r="O496" s="4"/>
      <c r="P496" s="1"/>
      <c r="Q496" s="22"/>
      <c r="R496"/>
      <c r="S496" s="11"/>
    </row>
    <row r="497" spans="2:19" x14ac:dyDescent="0.25">
      <c r="B497" s="4">
        <v>20024838</v>
      </c>
      <c r="C497" s="1" t="s">
        <v>407</v>
      </c>
      <c r="D497" s="4" t="s">
        <v>86</v>
      </c>
      <c r="E497" s="3"/>
      <c r="F497" s="3" t="s">
        <v>68</v>
      </c>
      <c r="G497" s="4">
        <v>3</v>
      </c>
      <c r="H497" s="4">
        <v>2</v>
      </c>
      <c r="I497" s="4">
        <v>5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</row>
    <row r="498" spans="2:19" x14ac:dyDescent="0.25">
      <c r="B498" s="4">
        <v>20024847</v>
      </c>
      <c r="C498" s="1" t="s">
        <v>408</v>
      </c>
      <c r="D498" s="4" t="s">
        <v>86</v>
      </c>
      <c r="E498" s="3"/>
      <c r="F498" s="3" t="s">
        <v>68</v>
      </c>
      <c r="G498" s="4">
        <v>2</v>
      </c>
      <c r="H498" s="4">
        <v>2</v>
      </c>
      <c r="I498" s="4">
        <v>2</v>
      </c>
      <c r="J498" s="4" t="s">
        <v>21</v>
      </c>
      <c r="K498" s="4" t="s">
        <v>7</v>
      </c>
      <c r="L498" s="11"/>
      <c r="M498" s="3"/>
      <c r="N498"/>
      <c r="O498" s="4"/>
      <c r="P498" s="1"/>
      <c r="Q498" s="22"/>
      <c r="R498"/>
      <c r="S498" s="11"/>
    </row>
    <row r="499" spans="2:19" x14ac:dyDescent="0.25">
      <c r="B499" s="4">
        <v>20024848</v>
      </c>
      <c r="C499" s="1" t="s">
        <v>409</v>
      </c>
      <c r="D499" s="4" t="s">
        <v>86</v>
      </c>
      <c r="E499" s="3"/>
      <c r="F499" s="3" t="s">
        <v>68</v>
      </c>
      <c r="G499" s="4">
        <v>4</v>
      </c>
      <c r="H499" s="4">
        <v>7</v>
      </c>
      <c r="I499" s="4">
        <v>6</v>
      </c>
      <c r="J499" s="4" t="s">
        <v>21</v>
      </c>
      <c r="K499" s="4" t="s">
        <v>7</v>
      </c>
      <c r="L499" s="11"/>
      <c r="M499" s="3"/>
      <c r="N499"/>
      <c r="O499" s="4"/>
      <c r="P499" s="1"/>
      <c r="Q499" s="22"/>
      <c r="R499"/>
      <c r="S499" s="11"/>
    </row>
    <row r="500" spans="2:19" x14ac:dyDescent="0.25">
      <c r="B500" s="4">
        <v>20024849</v>
      </c>
      <c r="C500" s="1" t="s">
        <v>410</v>
      </c>
      <c r="D500" s="4" t="s">
        <v>86</v>
      </c>
      <c r="E500" s="3"/>
      <c r="F500" s="3" t="s">
        <v>68</v>
      </c>
      <c r="G500" s="4">
        <v>7</v>
      </c>
      <c r="H500" s="4">
        <v>12</v>
      </c>
      <c r="I500" s="4">
        <v>13</v>
      </c>
      <c r="J500" s="4" t="s">
        <v>21</v>
      </c>
      <c r="K500" s="4" t="s">
        <v>7</v>
      </c>
      <c r="L500" s="11"/>
      <c r="M500" s="3"/>
      <c r="N500"/>
      <c r="O500" s="4"/>
      <c r="P500" s="1"/>
      <c r="Q500" s="22"/>
      <c r="R500"/>
      <c r="S500" s="11"/>
    </row>
    <row r="501" spans="2:19" x14ac:dyDescent="0.25">
      <c r="B501" s="4">
        <v>20024850</v>
      </c>
      <c r="C501" s="1" t="s">
        <v>411</v>
      </c>
      <c r="D501" s="4" t="s">
        <v>86</v>
      </c>
      <c r="E501" s="3"/>
      <c r="F501" s="3" t="s">
        <v>68</v>
      </c>
      <c r="G501" s="4">
        <v>6</v>
      </c>
      <c r="H501" s="4">
        <v>10</v>
      </c>
      <c r="I501" s="4">
        <v>7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</row>
    <row r="502" spans="2:19" x14ac:dyDescent="0.25">
      <c r="B502" s="4">
        <v>20024851</v>
      </c>
      <c r="C502" s="1" t="s">
        <v>412</v>
      </c>
      <c r="D502" s="4" t="s">
        <v>86</v>
      </c>
      <c r="E502" s="3"/>
      <c r="F502" s="3" t="s">
        <v>68</v>
      </c>
      <c r="G502" s="4">
        <v>2</v>
      </c>
      <c r="H502" s="4">
        <v>4</v>
      </c>
      <c r="I502" s="4">
        <v>1</v>
      </c>
      <c r="J502" s="4" t="s">
        <v>21</v>
      </c>
      <c r="K502" s="4" t="s">
        <v>9</v>
      </c>
      <c r="L502" s="11" t="s">
        <v>1671</v>
      </c>
      <c r="M502" s="3">
        <v>4</v>
      </c>
      <c r="N502"/>
      <c r="O502" s="4"/>
      <c r="P502" s="1"/>
      <c r="Q502" s="22"/>
      <c r="R502"/>
      <c r="S502" s="11"/>
    </row>
    <row r="503" spans="2:19" x14ac:dyDescent="0.25">
      <c r="B503" s="4">
        <v>20024852</v>
      </c>
      <c r="C503" s="1" t="s">
        <v>413</v>
      </c>
      <c r="D503" s="4" t="s">
        <v>86</v>
      </c>
      <c r="E503" s="3"/>
      <c r="F503" s="3" t="s">
        <v>68</v>
      </c>
      <c r="G503" s="4">
        <v>3</v>
      </c>
      <c r="H503" s="4">
        <v>5</v>
      </c>
      <c r="I503" s="4">
        <v>8</v>
      </c>
      <c r="J503" s="4" t="s">
        <v>21</v>
      </c>
      <c r="K503" s="4" t="s">
        <v>7</v>
      </c>
      <c r="L503" s="11"/>
      <c r="M503" s="3"/>
      <c r="N503"/>
      <c r="O503" s="4"/>
      <c r="P503" s="1"/>
      <c r="Q503" s="22"/>
      <c r="R503"/>
      <c r="S503" s="11"/>
    </row>
    <row r="504" spans="2:19" x14ac:dyDescent="0.25">
      <c r="B504" s="4">
        <v>20024955</v>
      </c>
      <c r="C504" s="1" t="s">
        <v>414</v>
      </c>
      <c r="D504" s="4" t="s">
        <v>86</v>
      </c>
      <c r="E504" s="3"/>
      <c r="F504" s="3" t="s">
        <v>68</v>
      </c>
      <c r="G504" s="4">
        <v>1</v>
      </c>
      <c r="H504" s="4">
        <v>1</v>
      </c>
      <c r="I504" s="4">
        <v>3</v>
      </c>
      <c r="J504" s="4" t="s">
        <v>8</v>
      </c>
      <c r="K504" s="4" t="s">
        <v>14</v>
      </c>
      <c r="L504" s="11"/>
      <c r="M504" s="3"/>
      <c r="N504"/>
      <c r="O504" s="4"/>
      <c r="P504" s="1"/>
      <c r="Q504" s="22"/>
      <c r="R504"/>
      <c r="S504" s="11"/>
    </row>
    <row r="505" spans="2:19" x14ac:dyDescent="0.25">
      <c r="B505" s="4">
        <v>20024957</v>
      </c>
      <c r="C505" s="1" t="s">
        <v>415</v>
      </c>
      <c r="D505" s="4" t="s">
        <v>86</v>
      </c>
      <c r="E505" s="3"/>
      <c r="F505" s="3" t="s">
        <v>68</v>
      </c>
      <c r="G505" s="4">
        <v>7</v>
      </c>
      <c r="H505" s="4">
        <v>6</v>
      </c>
      <c r="I505" s="4">
        <v>7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</row>
    <row r="506" spans="2:19" x14ac:dyDescent="0.25">
      <c r="B506" s="4">
        <v>20025047</v>
      </c>
      <c r="C506" s="1" t="s">
        <v>1497</v>
      </c>
      <c r="D506" s="4" t="s">
        <v>86</v>
      </c>
      <c r="E506" s="3"/>
      <c r="F506" s="3" t="s">
        <v>68</v>
      </c>
      <c r="G506" s="4">
        <v>4</v>
      </c>
      <c r="H506" s="4">
        <v>6</v>
      </c>
      <c r="I506" s="4">
        <v>6</v>
      </c>
      <c r="J506" s="4" t="s">
        <v>8</v>
      </c>
      <c r="K506" s="4" t="s">
        <v>7</v>
      </c>
      <c r="L506" s="11"/>
      <c r="M506" s="3"/>
      <c r="N506"/>
      <c r="O506" s="4"/>
      <c r="P506" s="1"/>
      <c r="Q506" s="22"/>
      <c r="R506"/>
      <c r="S506" s="11"/>
    </row>
    <row r="507" spans="2:19" x14ac:dyDescent="0.25">
      <c r="B507" s="4">
        <v>20025112</v>
      </c>
      <c r="C507" s="1" t="s">
        <v>419</v>
      </c>
      <c r="D507" s="4" t="s">
        <v>86</v>
      </c>
      <c r="E507" s="3"/>
      <c r="F507" s="3" t="s">
        <v>68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</row>
    <row r="508" spans="2:19" x14ac:dyDescent="0.25">
      <c r="B508" s="4">
        <v>20025184</v>
      </c>
      <c r="C508" s="1" t="s">
        <v>420</v>
      </c>
      <c r="D508" s="4" t="s">
        <v>86</v>
      </c>
      <c r="E508" s="3"/>
      <c r="F508" s="3" t="s">
        <v>68</v>
      </c>
      <c r="G508" s="4">
        <v>38</v>
      </c>
      <c r="H508" s="4">
        <v>63</v>
      </c>
      <c r="I508" s="4">
        <v>100</v>
      </c>
      <c r="J508" s="4" t="s">
        <v>8</v>
      </c>
      <c r="K508" s="4" t="s">
        <v>7</v>
      </c>
      <c r="L508" s="11"/>
      <c r="M508" s="3"/>
      <c r="N508"/>
      <c r="O508" s="4"/>
      <c r="P508" s="1"/>
      <c r="Q508" s="22"/>
      <c r="R508"/>
      <c r="S508" s="11"/>
    </row>
    <row r="509" spans="2:19" x14ac:dyDescent="0.25">
      <c r="B509" s="4">
        <v>20025287</v>
      </c>
      <c r="C509" s="1" t="s">
        <v>1492</v>
      </c>
      <c r="D509" s="4" t="s">
        <v>86</v>
      </c>
      <c r="E509" s="3"/>
      <c r="F509" s="3" t="s">
        <v>68</v>
      </c>
      <c r="G509" s="4">
        <v>2</v>
      </c>
      <c r="H509" s="4">
        <v>2</v>
      </c>
      <c r="I509" s="4">
        <v>3</v>
      </c>
      <c r="J509" s="4" t="s">
        <v>8</v>
      </c>
      <c r="K509" s="4" t="s">
        <v>7</v>
      </c>
      <c r="L509" s="11"/>
      <c r="M509" s="3"/>
      <c r="N509"/>
      <c r="O509" s="4"/>
      <c r="P509" s="1"/>
      <c r="Q509" s="22"/>
      <c r="R509"/>
      <c r="S509" s="11"/>
    </row>
    <row r="510" spans="2:19" x14ac:dyDescent="0.25">
      <c r="B510" s="4">
        <v>20025289</v>
      </c>
      <c r="C510" s="1" t="s">
        <v>421</v>
      </c>
      <c r="D510" s="4" t="s">
        <v>86</v>
      </c>
      <c r="E510" s="3"/>
      <c r="F510" s="3" t="s">
        <v>68</v>
      </c>
      <c r="G510" s="4">
        <v>10</v>
      </c>
      <c r="H510" s="4">
        <v>10</v>
      </c>
      <c r="I510" s="4">
        <v>31</v>
      </c>
      <c r="J510" s="4" t="s">
        <v>8</v>
      </c>
      <c r="K510" s="4" t="s">
        <v>14</v>
      </c>
      <c r="L510" s="11"/>
      <c r="M510" s="3"/>
      <c r="N510"/>
      <c r="O510" s="4"/>
      <c r="P510" s="1"/>
      <c r="Q510" s="22"/>
      <c r="R510"/>
      <c r="S510" s="11"/>
    </row>
    <row r="511" spans="2:19" x14ac:dyDescent="0.25">
      <c r="B511" s="4">
        <v>20025290</v>
      </c>
      <c r="C511" s="1" t="s">
        <v>422</v>
      </c>
      <c r="D511" s="4" t="s">
        <v>86</v>
      </c>
      <c r="E511" s="3"/>
      <c r="F511" s="3" t="s">
        <v>68</v>
      </c>
      <c r="G511" s="4">
        <v>5</v>
      </c>
      <c r="H511" s="4">
        <v>5</v>
      </c>
      <c r="I511" s="4">
        <v>13</v>
      </c>
      <c r="J511" s="4" t="s">
        <v>8</v>
      </c>
      <c r="K511" s="4" t="s">
        <v>14</v>
      </c>
      <c r="L511" s="11"/>
      <c r="M511" s="3"/>
      <c r="N511"/>
      <c r="O511" s="4"/>
      <c r="P511" s="1"/>
      <c r="Q511" s="22"/>
      <c r="R511"/>
      <c r="S511" s="11"/>
    </row>
    <row r="512" spans="2:19" x14ac:dyDescent="0.25">
      <c r="B512" s="4">
        <v>20025291</v>
      </c>
      <c r="C512" s="1" t="s">
        <v>423</v>
      </c>
      <c r="D512" s="4" t="s">
        <v>86</v>
      </c>
      <c r="E512" s="3"/>
      <c r="F512" s="3" t="s">
        <v>68</v>
      </c>
      <c r="G512" s="4">
        <v>1</v>
      </c>
      <c r="H512" s="4">
        <v>1</v>
      </c>
      <c r="I512" s="4">
        <v>10</v>
      </c>
      <c r="J512" s="4" t="s">
        <v>8</v>
      </c>
      <c r="K512" s="4" t="s">
        <v>14</v>
      </c>
      <c r="L512" s="11"/>
      <c r="M512" s="3"/>
      <c r="N512"/>
      <c r="O512" s="4"/>
      <c r="P512" s="1"/>
      <c r="Q512" s="22"/>
      <c r="R512"/>
      <c r="S512" s="11"/>
    </row>
    <row r="513" spans="2:19" x14ac:dyDescent="0.25">
      <c r="B513" s="4">
        <v>20025461</v>
      </c>
      <c r="C513" s="1" t="s">
        <v>1399</v>
      </c>
      <c r="D513" s="4" t="s">
        <v>86</v>
      </c>
      <c r="E513" s="3"/>
      <c r="F513" s="3" t="s">
        <v>102</v>
      </c>
      <c r="G513" s="4">
        <v>2</v>
      </c>
      <c r="H513" s="4">
        <v>1</v>
      </c>
      <c r="I513" s="4">
        <v>3</v>
      </c>
      <c r="J513" s="4" t="s">
        <v>8</v>
      </c>
      <c r="K513" s="4" t="s">
        <v>7</v>
      </c>
      <c r="L513" s="11"/>
      <c r="M513" s="3"/>
      <c r="N513">
        <v>4700161827</v>
      </c>
      <c r="O513" s="4">
        <v>3</v>
      </c>
      <c r="P513" s="1" t="s">
        <v>1616</v>
      </c>
      <c r="Q513" s="22">
        <v>46225</v>
      </c>
      <c r="R513"/>
      <c r="S513" s="11"/>
    </row>
    <row r="514" spans="2:19" x14ac:dyDescent="0.25">
      <c r="B514" s="4">
        <v>20025463</v>
      </c>
      <c r="C514" s="1" t="s">
        <v>424</v>
      </c>
      <c r="D514" s="4" t="s">
        <v>86</v>
      </c>
      <c r="E514" s="3"/>
      <c r="F514" s="3" t="s">
        <v>68</v>
      </c>
      <c r="G514" s="4">
        <v>1</v>
      </c>
      <c r="H514" s="4">
        <v>1</v>
      </c>
      <c r="I514" s="4">
        <v>1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</row>
    <row r="515" spans="2:19" x14ac:dyDescent="0.25">
      <c r="B515" s="4">
        <v>20025466</v>
      </c>
      <c r="C515" s="1" t="s">
        <v>1485</v>
      </c>
      <c r="D515" s="4" t="s">
        <v>86</v>
      </c>
      <c r="E515" s="3"/>
      <c r="F515" s="3" t="s">
        <v>68</v>
      </c>
      <c r="G515" s="4">
        <v>19</v>
      </c>
      <c r="H515" s="4">
        <v>31</v>
      </c>
      <c r="I515" s="4">
        <v>33</v>
      </c>
      <c r="J515" s="4" t="s">
        <v>8</v>
      </c>
      <c r="K515" s="4" t="s">
        <v>7</v>
      </c>
      <c r="L515" s="11"/>
      <c r="M515" s="3"/>
      <c r="N515">
        <v>4502668628</v>
      </c>
      <c r="O515" s="4">
        <v>4</v>
      </c>
      <c r="P515" s="1" t="s">
        <v>1571</v>
      </c>
      <c r="Q515" s="22">
        <v>46185</v>
      </c>
      <c r="R515"/>
      <c r="S515" s="11"/>
    </row>
    <row r="516" spans="2:19" x14ac:dyDescent="0.25">
      <c r="B516" s="4">
        <v>20025553</v>
      </c>
      <c r="C516" s="1" t="s">
        <v>1481</v>
      </c>
      <c r="D516" s="4" t="s">
        <v>86</v>
      </c>
      <c r="E516" s="3"/>
      <c r="F516" s="3" t="s">
        <v>68</v>
      </c>
      <c r="G516" s="4">
        <v>20</v>
      </c>
      <c r="H516" s="4">
        <v>20</v>
      </c>
      <c r="I516" s="4">
        <v>29</v>
      </c>
      <c r="J516" s="4" t="s">
        <v>8</v>
      </c>
      <c r="K516" s="4" t="s">
        <v>7</v>
      </c>
      <c r="L516" s="11"/>
      <c r="M516" s="3"/>
      <c r="N516"/>
      <c r="O516" s="4"/>
      <c r="P516" s="1"/>
      <c r="Q516" s="22"/>
      <c r="R516"/>
      <c r="S516" s="11"/>
    </row>
    <row r="517" spans="2:19" x14ac:dyDescent="0.25">
      <c r="B517" s="4">
        <v>20025554</v>
      </c>
      <c r="C517" s="1" t="s">
        <v>425</v>
      </c>
      <c r="D517" s="4" t="s">
        <v>86</v>
      </c>
      <c r="E517" s="3"/>
      <c r="F517" s="3" t="s">
        <v>68</v>
      </c>
      <c r="G517" s="4">
        <v>3</v>
      </c>
      <c r="H517" s="4">
        <v>4</v>
      </c>
      <c r="I517" s="4">
        <v>3</v>
      </c>
      <c r="J517" s="4" t="s">
        <v>8</v>
      </c>
      <c r="K517" s="4" t="s">
        <v>7</v>
      </c>
      <c r="L517" s="11"/>
      <c r="M517" s="3"/>
      <c r="N517"/>
      <c r="O517" s="4"/>
      <c r="P517" s="1"/>
      <c r="Q517" s="22"/>
      <c r="R517"/>
      <c r="S517" s="11"/>
    </row>
    <row r="518" spans="2:19" x14ac:dyDescent="0.25">
      <c r="B518" s="4">
        <v>20025559</v>
      </c>
      <c r="C518" s="1" t="s">
        <v>426</v>
      </c>
      <c r="D518" s="4" t="s">
        <v>86</v>
      </c>
      <c r="E518" s="3"/>
      <c r="F518" s="3" t="s">
        <v>68</v>
      </c>
      <c r="G518" s="4">
        <v>20</v>
      </c>
      <c r="H518" s="4">
        <v>20</v>
      </c>
      <c r="I518" s="4">
        <v>29</v>
      </c>
      <c r="J518" s="4" t="s">
        <v>8</v>
      </c>
      <c r="K518" s="4" t="s">
        <v>7</v>
      </c>
      <c r="L518" s="11"/>
      <c r="M518" s="3"/>
      <c r="N518"/>
      <c r="O518" s="4"/>
      <c r="P518" s="1"/>
      <c r="Q518" s="22"/>
      <c r="R518"/>
      <c r="S518" s="11"/>
    </row>
    <row r="519" spans="2:19" x14ac:dyDescent="0.25">
      <c r="B519" s="4">
        <v>20025560</v>
      </c>
      <c r="C519" s="1" t="s">
        <v>1342</v>
      </c>
      <c r="D519" s="4" t="s">
        <v>86</v>
      </c>
      <c r="E519" s="3"/>
      <c r="F519" s="3" t="s">
        <v>68</v>
      </c>
      <c r="G519" s="4">
        <v>20</v>
      </c>
      <c r="H519" s="4">
        <v>20</v>
      </c>
      <c r="I519" s="4">
        <v>27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</row>
    <row r="520" spans="2:19" x14ac:dyDescent="0.25">
      <c r="B520" s="4">
        <v>20025561</v>
      </c>
      <c r="C520" s="1" t="s">
        <v>427</v>
      </c>
      <c r="D520" s="4" t="s">
        <v>86</v>
      </c>
      <c r="E520" s="3"/>
      <c r="F520" s="3" t="s">
        <v>68</v>
      </c>
      <c r="G520" s="4">
        <v>6</v>
      </c>
      <c r="H520" s="4">
        <v>8</v>
      </c>
      <c r="I520" s="4">
        <v>13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</row>
    <row r="521" spans="2:19" x14ac:dyDescent="0.25">
      <c r="B521" s="4">
        <v>20025566</v>
      </c>
      <c r="C521" s="1" t="s">
        <v>428</v>
      </c>
      <c r="D521" s="4" t="s">
        <v>86</v>
      </c>
      <c r="E521" s="3"/>
      <c r="F521" s="3" t="s">
        <v>68</v>
      </c>
      <c r="G521" s="4">
        <v>100</v>
      </c>
      <c r="H521" s="4">
        <v>200</v>
      </c>
      <c r="I521" s="4">
        <v>176</v>
      </c>
      <c r="J521" s="4" t="s">
        <v>8</v>
      </c>
      <c r="K521" s="4" t="s">
        <v>7</v>
      </c>
      <c r="L521" s="11"/>
      <c r="M521" s="3"/>
      <c r="N521"/>
      <c r="O521" s="4"/>
      <c r="P521" s="1"/>
      <c r="Q521" s="22"/>
      <c r="R521"/>
      <c r="S521" s="11"/>
    </row>
    <row r="522" spans="2:19" x14ac:dyDescent="0.25">
      <c r="B522" s="4">
        <v>20025587</v>
      </c>
      <c r="C522" s="1" t="s">
        <v>429</v>
      </c>
      <c r="D522" s="4" t="s">
        <v>86</v>
      </c>
      <c r="E522" s="3"/>
      <c r="F522" s="3" t="s">
        <v>68</v>
      </c>
      <c r="G522" s="4">
        <v>8</v>
      </c>
      <c r="H522" s="4">
        <v>6</v>
      </c>
      <c r="I522" s="4">
        <v>11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</row>
    <row r="523" spans="2:19" x14ac:dyDescent="0.25">
      <c r="B523" s="4">
        <v>20025677</v>
      </c>
      <c r="C523" s="1" t="s">
        <v>430</v>
      </c>
      <c r="D523" s="4" t="s">
        <v>86</v>
      </c>
      <c r="E523" s="3"/>
      <c r="F523" s="3" t="s">
        <v>68</v>
      </c>
      <c r="G523" s="4">
        <v>2</v>
      </c>
      <c r="H523" s="4">
        <v>3</v>
      </c>
      <c r="I523" s="4">
        <v>1</v>
      </c>
      <c r="J523" s="4" t="s">
        <v>8</v>
      </c>
      <c r="K523" s="4" t="s">
        <v>9</v>
      </c>
      <c r="L523" s="11"/>
      <c r="M523" s="3"/>
      <c r="N523">
        <v>4502684575</v>
      </c>
      <c r="O523" s="4">
        <v>4</v>
      </c>
      <c r="P523" s="1" t="s">
        <v>1565</v>
      </c>
      <c r="Q523" s="22">
        <v>46198</v>
      </c>
      <c r="R523"/>
      <c r="S523" s="11"/>
    </row>
    <row r="524" spans="2:19" x14ac:dyDescent="0.25">
      <c r="B524" s="4">
        <v>20025678</v>
      </c>
      <c r="C524" s="1" t="s">
        <v>431</v>
      </c>
      <c r="D524" s="4" t="s">
        <v>86</v>
      </c>
      <c r="E524" s="3"/>
      <c r="F524" s="3" t="s">
        <v>68</v>
      </c>
      <c r="G524" s="4">
        <v>6</v>
      </c>
      <c r="H524" s="4">
        <v>12</v>
      </c>
      <c r="I524" s="4">
        <v>12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</row>
    <row r="525" spans="2:19" x14ac:dyDescent="0.25">
      <c r="B525" s="4">
        <v>20025729</v>
      </c>
      <c r="C525" s="1" t="s">
        <v>432</v>
      </c>
      <c r="D525" s="4" t="s">
        <v>86</v>
      </c>
      <c r="E525" s="3"/>
      <c r="F525" s="3" t="s">
        <v>68</v>
      </c>
      <c r="G525" s="4">
        <v>10</v>
      </c>
      <c r="H525" s="4">
        <v>10</v>
      </c>
      <c r="I525" s="4">
        <v>1</v>
      </c>
      <c r="J525" s="4" t="s">
        <v>8</v>
      </c>
      <c r="K525" s="4" t="s">
        <v>9</v>
      </c>
      <c r="L525" s="11"/>
      <c r="M525" s="3"/>
      <c r="N525">
        <v>4502695214</v>
      </c>
      <c r="O525" s="4">
        <v>10</v>
      </c>
      <c r="P525" s="1" t="s">
        <v>1566</v>
      </c>
      <c r="Q525" s="22">
        <v>46223</v>
      </c>
      <c r="R525"/>
      <c r="S525" s="11"/>
    </row>
    <row r="526" spans="2:19" x14ac:dyDescent="0.25">
      <c r="B526" s="4">
        <v>20025731</v>
      </c>
      <c r="C526" s="1" t="s">
        <v>433</v>
      </c>
      <c r="D526" s="4" t="s">
        <v>86</v>
      </c>
      <c r="E526" s="3"/>
      <c r="F526" s="3" t="s">
        <v>68</v>
      </c>
      <c r="G526" s="4">
        <v>5</v>
      </c>
      <c r="H526" s="4">
        <v>5</v>
      </c>
      <c r="I526" s="4">
        <v>5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</row>
    <row r="527" spans="2:19" x14ac:dyDescent="0.25">
      <c r="B527" s="4">
        <v>20025732</v>
      </c>
      <c r="C527" s="1" t="s">
        <v>434</v>
      </c>
      <c r="D527" s="4" t="s">
        <v>86</v>
      </c>
      <c r="E527" s="3"/>
      <c r="F527" s="3" t="s">
        <v>68</v>
      </c>
      <c r="G527" s="4">
        <v>1</v>
      </c>
      <c r="H527" s="4">
        <v>1</v>
      </c>
      <c r="I527" s="4">
        <v>10</v>
      </c>
      <c r="J527" s="4" t="s">
        <v>8</v>
      </c>
      <c r="K527" s="4" t="s">
        <v>14</v>
      </c>
      <c r="L527" s="11"/>
      <c r="M527" s="3"/>
      <c r="N527"/>
      <c r="O527" s="4"/>
      <c r="P527" s="1"/>
      <c r="Q527" s="22"/>
      <c r="R527"/>
      <c r="S527" s="11"/>
    </row>
    <row r="528" spans="2:19" x14ac:dyDescent="0.25">
      <c r="B528" s="4">
        <v>20025733</v>
      </c>
      <c r="C528" s="1" t="s">
        <v>435</v>
      </c>
      <c r="D528" s="4" t="s">
        <v>86</v>
      </c>
      <c r="E528" s="3"/>
      <c r="F528" s="3" t="s">
        <v>68</v>
      </c>
      <c r="G528" s="4">
        <v>5</v>
      </c>
      <c r="H528" s="4">
        <v>5</v>
      </c>
      <c r="I528" s="4">
        <v>7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</row>
    <row r="529" spans="2:19" x14ac:dyDescent="0.25">
      <c r="B529" s="4">
        <v>20025734</v>
      </c>
      <c r="C529" s="1" t="s">
        <v>436</v>
      </c>
      <c r="D529" s="4" t="s">
        <v>86</v>
      </c>
      <c r="E529" s="3"/>
      <c r="F529" s="3" t="s">
        <v>68</v>
      </c>
      <c r="G529" s="4">
        <v>20</v>
      </c>
      <c r="H529" s="4">
        <v>30</v>
      </c>
      <c r="I529" s="4">
        <v>50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</row>
    <row r="530" spans="2:19" x14ac:dyDescent="0.25">
      <c r="B530" s="4">
        <v>20025736</v>
      </c>
      <c r="C530" s="1" t="s">
        <v>437</v>
      </c>
      <c r="D530" s="4" t="s">
        <v>86</v>
      </c>
      <c r="E530" s="3"/>
      <c r="F530" s="3" t="s">
        <v>68</v>
      </c>
      <c r="G530" s="4">
        <v>1</v>
      </c>
      <c r="H530" s="4">
        <v>1</v>
      </c>
      <c r="I530" s="4">
        <v>6</v>
      </c>
      <c r="J530" s="4" t="s">
        <v>8</v>
      </c>
      <c r="K530" s="4" t="s">
        <v>14</v>
      </c>
      <c r="L530" s="11"/>
      <c r="M530" s="3"/>
      <c r="N530"/>
      <c r="O530" s="4"/>
      <c r="P530" s="1"/>
      <c r="Q530" s="22"/>
      <c r="R530"/>
      <c r="S530" s="11"/>
    </row>
    <row r="531" spans="2:19" x14ac:dyDescent="0.25">
      <c r="B531" s="4">
        <v>20025747</v>
      </c>
      <c r="C531" s="1" t="s">
        <v>438</v>
      </c>
      <c r="D531" s="4" t="s">
        <v>86</v>
      </c>
      <c r="E531" s="3"/>
      <c r="F531" s="3" t="s">
        <v>68</v>
      </c>
      <c r="G531" s="4">
        <v>1</v>
      </c>
      <c r="H531" s="4">
        <v>1</v>
      </c>
      <c r="I531" s="4">
        <v>8</v>
      </c>
      <c r="J531" s="4" t="s">
        <v>8</v>
      </c>
      <c r="K531" s="4" t="s">
        <v>14</v>
      </c>
      <c r="L531" s="11"/>
      <c r="M531" s="3"/>
      <c r="N531"/>
      <c r="O531" s="4"/>
      <c r="P531" s="1"/>
      <c r="Q531" s="22"/>
      <c r="R531"/>
      <c r="S531" s="11"/>
    </row>
    <row r="532" spans="2:19" x14ac:dyDescent="0.25">
      <c r="B532" s="4">
        <v>20025795</v>
      </c>
      <c r="C532" s="1" t="s">
        <v>439</v>
      </c>
      <c r="D532" s="4" t="s">
        <v>86</v>
      </c>
      <c r="E532" s="3"/>
      <c r="F532" s="3" t="s">
        <v>68</v>
      </c>
      <c r="G532" s="4">
        <v>5</v>
      </c>
      <c r="H532" s="4">
        <v>9</v>
      </c>
      <c r="I532" s="4">
        <v>14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</row>
    <row r="533" spans="2:19" x14ac:dyDescent="0.25">
      <c r="B533" s="4">
        <v>20025796</v>
      </c>
      <c r="C533" s="1" t="s">
        <v>1060</v>
      </c>
      <c r="D533" s="4" t="s">
        <v>86</v>
      </c>
      <c r="E533" s="3"/>
      <c r="F533" s="3" t="s">
        <v>68</v>
      </c>
      <c r="G533" s="4">
        <v>5</v>
      </c>
      <c r="H533" s="4">
        <v>5</v>
      </c>
      <c r="I533" s="4">
        <v>5</v>
      </c>
      <c r="J533" s="4" t="s">
        <v>8</v>
      </c>
      <c r="K533" s="4" t="s">
        <v>7</v>
      </c>
      <c r="L533" s="11"/>
      <c r="M533" s="3"/>
      <c r="N533"/>
      <c r="O533" s="4"/>
      <c r="P533" s="1"/>
      <c r="Q533" s="22"/>
      <c r="R533"/>
      <c r="S533" s="11"/>
    </row>
    <row r="534" spans="2:19" x14ac:dyDescent="0.25">
      <c r="B534" s="4">
        <v>20025799</v>
      </c>
      <c r="C534" s="1" t="s">
        <v>440</v>
      </c>
      <c r="D534" s="4" t="s">
        <v>86</v>
      </c>
      <c r="E534" s="3"/>
      <c r="F534" s="3" t="s">
        <v>68</v>
      </c>
      <c r="G534" s="4">
        <v>20</v>
      </c>
      <c r="H534" s="4">
        <v>30</v>
      </c>
      <c r="I534" s="4">
        <v>38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</row>
    <row r="535" spans="2:19" x14ac:dyDescent="0.25">
      <c r="B535" s="4">
        <v>20025815</v>
      </c>
      <c r="C535" s="1" t="s">
        <v>441</v>
      </c>
      <c r="D535" s="4" t="s">
        <v>86</v>
      </c>
      <c r="E535" s="3"/>
      <c r="F535" s="3" t="s">
        <v>68</v>
      </c>
      <c r="G535" s="4">
        <v>10</v>
      </c>
      <c r="H535" s="4">
        <v>10</v>
      </c>
      <c r="I535" s="4">
        <v>14</v>
      </c>
      <c r="J535" s="4" t="s">
        <v>8</v>
      </c>
      <c r="K535" s="4" t="s">
        <v>7</v>
      </c>
      <c r="L535" s="11"/>
      <c r="M535" s="3"/>
      <c r="N535"/>
      <c r="O535" s="4"/>
      <c r="P535" s="1"/>
      <c r="Q535" s="22"/>
      <c r="R535"/>
      <c r="S535" s="11" t="s">
        <v>1583</v>
      </c>
    </row>
    <row r="536" spans="2:19" x14ac:dyDescent="0.25">
      <c r="B536" s="4">
        <v>20025842</v>
      </c>
      <c r="C536" s="1" t="s">
        <v>1274</v>
      </c>
      <c r="D536" s="4" t="s">
        <v>86</v>
      </c>
      <c r="E536" s="3"/>
      <c r="F536" s="3" t="s">
        <v>68</v>
      </c>
      <c r="G536" s="4">
        <v>17</v>
      </c>
      <c r="H536" s="4">
        <v>27</v>
      </c>
      <c r="I536" s="4">
        <v>47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</row>
    <row r="537" spans="2:19" x14ac:dyDescent="0.25">
      <c r="B537" s="4">
        <v>20025867</v>
      </c>
      <c r="C537" s="1" t="s">
        <v>442</v>
      </c>
      <c r="D537" s="4" t="s">
        <v>86</v>
      </c>
      <c r="E537" s="3"/>
      <c r="F537" s="3" t="s">
        <v>68</v>
      </c>
      <c r="G537" s="4">
        <v>90</v>
      </c>
      <c r="H537" s="4">
        <v>108</v>
      </c>
      <c r="I537" s="4">
        <v>36</v>
      </c>
      <c r="J537" s="4" t="s">
        <v>24</v>
      </c>
      <c r="K537" s="4" t="s">
        <v>9</v>
      </c>
      <c r="L537" s="11">
        <v>1002660930</v>
      </c>
      <c r="M537" s="3">
        <v>108</v>
      </c>
      <c r="N537"/>
      <c r="O537" s="4"/>
      <c r="P537" s="1"/>
      <c r="Q537" s="22"/>
      <c r="R537"/>
      <c r="S537" s="11"/>
    </row>
    <row r="538" spans="2:19" x14ac:dyDescent="0.25">
      <c r="B538" s="4">
        <v>20025912</v>
      </c>
      <c r="C538" s="1" t="s">
        <v>443</v>
      </c>
      <c r="D538" s="4" t="s">
        <v>86</v>
      </c>
      <c r="E538" s="3"/>
      <c r="F538" s="3" t="s">
        <v>68</v>
      </c>
      <c r="G538" s="4">
        <v>5</v>
      </c>
      <c r="H538" s="4">
        <v>8</v>
      </c>
      <c r="I538" s="4">
        <v>6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</row>
    <row r="539" spans="2:19" x14ac:dyDescent="0.25">
      <c r="B539" s="4">
        <v>20025916</v>
      </c>
      <c r="C539" s="1" t="s">
        <v>444</v>
      </c>
      <c r="D539" s="4" t="s">
        <v>86</v>
      </c>
      <c r="E539" s="3"/>
      <c r="F539" s="3" t="s">
        <v>68</v>
      </c>
      <c r="G539" s="4">
        <v>3</v>
      </c>
      <c r="H539" s="4">
        <v>3</v>
      </c>
      <c r="I539" s="4">
        <v>0</v>
      </c>
      <c r="J539" s="4" t="s">
        <v>8</v>
      </c>
      <c r="K539" s="4" t="s">
        <v>13</v>
      </c>
      <c r="L539" s="11" t="s">
        <v>1624</v>
      </c>
      <c r="M539" s="3"/>
      <c r="N539"/>
      <c r="O539" s="4"/>
      <c r="P539" s="1"/>
      <c r="Q539" s="22"/>
      <c r="R539"/>
      <c r="S539" s="11" t="s">
        <v>1584</v>
      </c>
    </row>
    <row r="540" spans="2:19" x14ac:dyDescent="0.25">
      <c r="B540" s="4">
        <v>20025973</v>
      </c>
      <c r="C540" s="1" t="s">
        <v>445</v>
      </c>
      <c r="D540" s="4" t="s">
        <v>86</v>
      </c>
      <c r="E540" s="3"/>
      <c r="F540" s="3" t="s">
        <v>68</v>
      </c>
      <c r="G540" s="4">
        <v>47</v>
      </c>
      <c r="H540" s="4">
        <v>78</v>
      </c>
      <c r="I540" s="4">
        <v>75</v>
      </c>
      <c r="J540" s="4" t="s">
        <v>8</v>
      </c>
      <c r="K540" s="4" t="s">
        <v>7</v>
      </c>
      <c r="L540" s="11"/>
      <c r="M540" s="3"/>
      <c r="N540"/>
      <c r="O540" s="4"/>
      <c r="P540" s="1"/>
      <c r="Q540" s="22"/>
      <c r="R540"/>
      <c r="S540" s="11"/>
    </row>
    <row r="541" spans="2:19" x14ac:dyDescent="0.25">
      <c r="B541" s="4">
        <v>20025975</v>
      </c>
      <c r="C541" s="1" t="s">
        <v>446</v>
      </c>
      <c r="D541" s="4" t="s">
        <v>86</v>
      </c>
      <c r="E541" s="3"/>
      <c r="F541" s="3" t="s">
        <v>68</v>
      </c>
      <c r="G541" s="4">
        <v>20</v>
      </c>
      <c r="H541" s="4">
        <v>20</v>
      </c>
      <c r="I541" s="4">
        <v>20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/>
    </row>
    <row r="542" spans="2:19" x14ac:dyDescent="0.25">
      <c r="B542" s="4">
        <v>20026017</v>
      </c>
      <c r="C542" s="1" t="s">
        <v>1251</v>
      </c>
      <c r="D542" s="4" t="s">
        <v>86</v>
      </c>
      <c r="E542" s="3"/>
      <c r="F542" s="3" t="s">
        <v>68</v>
      </c>
      <c r="G542" s="4">
        <v>2</v>
      </c>
      <c r="H542" s="4">
        <v>2</v>
      </c>
      <c r="I542" s="4">
        <v>2</v>
      </c>
      <c r="J542" s="4" t="s">
        <v>8</v>
      </c>
      <c r="K542" s="4" t="s">
        <v>7</v>
      </c>
      <c r="L542" s="11"/>
      <c r="M542" s="3"/>
      <c r="N542"/>
      <c r="O542" s="4"/>
      <c r="P542" s="1"/>
      <c r="Q542" s="22"/>
      <c r="R542"/>
      <c r="S542" s="11"/>
    </row>
    <row r="543" spans="2:19" x14ac:dyDescent="0.25">
      <c r="B543" s="4">
        <v>20026030</v>
      </c>
      <c r="C543" s="1" t="s">
        <v>1551</v>
      </c>
      <c r="D543" s="4" t="s">
        <v>86</v>
      </c>
      <c r="E543" s="3"/>
      <c r="F543" s="3" t="s">
        <v>68</v>
      </c>
      <c r="G543" s="4">
        <v>3</v>
      </c>
      <c r="H543" s="4">
        <v>2</v>
      </c>
      <c r="I543" s="4">
        <v>10</v>
      </c>
      <c r="J543" s="4" t="s">
        <v>8</v>
      </c>
      <c r="K543" s="4" t="s">
        <v>14</v>
      </c>
      <c r="L543" s="11"/>
      <c r="M543" s="3"/>
      <c r="N543"/>
      <c r="O543" s="4"/>
      <c r="P543" s="1"/>
      <c r="Q543" s="22"/>
      <c r="R543"/>
      <c r="S543" s="11"/>
    </row>
    <row r="544" spans="2:19" x14ac:dyDescent="0.25">
      <c r="B544" s="4">
        <v>20026037</v>
      </c>
      <c r="C544" s="1" t="s">
        <v>447</v>
      </c>
      <c r="D544" s="4" t="s">
        <v>86</v>
      </c>
      <c r="E544" s="3"/>
      <c r="F544" s="3" t="s">
        <v>68</v>
      </c>
      <c r="G544" s="4">
        <v>2</v>
      </c>
      <c r="H544" s="4">
        <v>3</v>
      </c>
      <c r="I544" s="4">
        <v>5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</row>
    <row r="545" spans="2:19" x14ac:dyDescent="0.25">
      <c r="B545" s="4">
        <v>20026038</v>
      </c>
      <c r="C545" s="1" t="s">
        <v>448</v>
      </c>
      <c r="D545" s="4" t="s">
        <v>86</v>
      </c>
      <c r="E545" s="3"/>
      <c r="F545" s="3" t="s">
        <v>68</v>
      </c>
      <c r="G545" s="4">
        <v>3</v>
      </c>
      <c r="H545" s="4">
        <v>4</v>
      </c>
      <c r="I545" s="4">
        <v>3</v>
      </c>
      <c r="J545" s="4" t="s">
        <v>8</v>
      </c>
      <c r="K545" s="4" t="s">
        <v>7</v>
      </c>
      <c r="L545" s="11"/>
      <c r="M545" s="3"/>
      <c r="N545"/>
      <c r="O545" s="4"/>
      <c r="P545" s="1"/>
      <c r="Q545" s="22"/>
      <c r="R545"/>
      <c r="S545" s="11"/>
    </row>
    <row r="546" spans="2:19" x14ac:dyDescent="0.25">
      <c r="B546" s="4">
        <v>20026040</v>
      </c>
      <c r="C546" s="1" t="s">
        <v>449</v>
      </c>
      <c r="D546" s="4" t="s">
        <v>86</v>
      </c>
      <c r="E546" s="3"/>
      <c r="F546" s="3" t="s">
        <v>68</v>
      </c>
      <c r="G546" s="4">
        <v>2</v>
      </c>
      <c r="H546" s="4">
        <v>2</v>
      </c>
      <c r="I546" s="4">
        <v>3</v>
      </c>
      <c r="J546" s="4" t="s">
        <v>8</v>
      </c>
      <c r="K546" s="4" t="s">
        <v>7</v>
      </c>
      <c r="L546" s="11"/>
      <c r="M546" s="3"/>
      <c r="N546"/>
      <c r="O546" s="4"/>
      <c r="P546" s="1"/>
      <c r="Q546" s="22"/>
      <c r="R546"/>
      <c r="S546" s="11"/>
    </row>
    <row r="547" spans="2:19" x14ac:dyDescent="0.25">
      <c r="B547" s="4">
        <v>20026046</v>
      </c>
      <c r="C547" s="1" t="s">
        <v>450</v>
      </c>
      <c r="D547" s="4" t="s">
        <v>86</v>
      </c>
      <c r="E547" s="3"/>
      <c r="F547" s="3" t="s">
        <v>68</v>
      </c>
      <c r="G547" s="4">
        <v>1</v>
      </c>
      <c r="H547" s="4">
        <v>1</v>
      </c>
      <c r="I547" s="4">
        <v>5</v>
      </c>
      <c r="J547" s="4" t="s">
        <v>8</v>
      </c>
      <c r="K547" s="4" t="s">
        <v>14</v>
      </c>
      <c r="L547" s="11"/>
      <c r="M547" s="3"/>
      <c r="N547"/>
      <c r="O547" s="4"/>
      <c r="P547" s="1"/>
      <c r="Q547" s="22"/>
      <c r="R547"/>
      <c r="S547" s="11"/>
    </row>
    <row r="548" spans="2:19" x14ac:dyDescent="0.25">
      <c r="B548" s="4">
        <v>20026108</v>
      </c>
      <c r="C548" s="1" t="s">
        <v>451</v>
      </c>
      <c r="D548" s="4" t="s">
        <v>86</v>
      </c>
      <c r="E548" s="3"/>
      <c r="F548" s="3" t="s">
        <v>68</v>
      </c>
      <c r="G548" s="4">
        <v>1</v>
      </c>
      <c r="H548" s="4">
        <v>1</v>
      </c>
      <c r="I548" s="4">
        <v>3</v>
      </c>
      <c r="J548" s="4" t="s">
        <v>8</v>
      </c>
      <c r="K548" s="4" t="s">
        <v>14</v>
      </c>
      <c r="L548" s="11"/>
      <c r="M548" s="3"/>
      <c r="N548"/>
      <c r="O548" s="4"/>
      <c r="P548" s="1"/>
      <c r="Q548" s="22"/>
      <c r="R548"/>
      <c r="S548" s="11"/>
    </row>
    <row r="549" spans="2:19" x14ac:dyDescent="0.25">
      <c r="B549" s="4">
        <v>20026114</v>
      </c>
      <c r="C549" s="1" t="s">
        <v>452</v>
      </c>
      <c r="D549" s="4" t="s">
        <v>86</v>
      </c>
      <c r="E549" s="3"/>
      <c r="F549" s="3" t="s">
        <v>68</v>
      </c>
      <c r="G549" s="4">
        <v>5</v>
      </c>
      <c r="H549" s="4">
        <v>8</v>
      </c>
      <c r="I549" s="4">
        <v>8</v>
      </c>
      <c r="J549" s="4" t="s">
        <v>8</v>
      </c>
      <c r="K549" s="4" t="s">
        <v>7</v>
      </c>
      <c r="L549" s="11"/>
      <c r="M549" s="3"/>
      <c r="N549"/>
      <c r="O549" s="4"/>
      <c r="P549" s="1"/>
      <c r="Q549" s="22"/>
      <c r="R549"/>
      <c r="S549" s="11"/>
    </row>
    <row r="550" spans="2:19" x14ac:dyDescent="0.25">
      <c r="B550" s="4">
        <v>20026187</v>
      </c>
      <c r="C550" s="1" t="s">
        <v>453</v>
      </c>
      <c r="D550" s="4" t="s">
        <v>86</v>
      </c>
      <c r="E550" s="3"/>
      <c r="F550" s="3" t="s">
        <v>68</v>
      </c>
      <c r="G550" s="4">
        <v>3</v>
      </c>
      <c r="H550" s="4">
        <v>4</v>
      </c>
      <c r="I550" s="4">
        <v>18</v>
      </c>
      <c r="J550" s="4" t="s">
        <v>8</v>
      </c>
      <c r="K550" s="4" t="s">
        <v>14</v>
      </c>
      <c r="L550" s="11"/>
      <c r="M550" s="3"/>
      <c r="N550"/>
      <c r="O550" s="4"/>
      <c r="P550" s="1"/>
      <c r="Q550" s="22"/>
      <c r="R550"/>
      <c r="S550" s="11"/>
    </row>
    <row r="551" spans="2:19" x14ac:dyDescent="0.25">
      <c r="B551" s="4">
        <v>20026188</v>
      </c>
      <c r="C551" s="1" t="s">
        <v>454</v>
      </c>
      <c r="D551" s="4" t="s">
        <v>86</v>
      </c>
      <c r="E551" s="3"/>
      <c r="F551" s="3" t="s">
        <v>68</v>
      </c>
      <c r="G551" s="4">
        <v>363</v>
      </c>
      <c r="H551" s="4">
        <v>663</v>
      </c>
      <c r="I551" s="4">
        <v>568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</row>
    <row r="552" spans="2:19" x14ac:dyDescent="0.25">
      <c r="B552" s="4">
        <v>20026192</v>
      </c>
      <c r="C552" s="1" t="s">
        <v>455</v>
      </c>
      <c r="D552" s="4" t="s">
        <v>86</v>
      </c>
      <c r="E552" s="3"/>
      <c r="F552" s="3" t="s">
        <v>68</v>
      </c>
      <c r="G552" s="4">
        <v>600</v>
      </c>
      <c r="H552" s="4">
        <v>1000</v>
      </c>
      <c r="I552" s="4">
        <v>2800</v>
      </c>
      <c r="J552" s="4" t="s">
        <v>8</v>
      </c>
      <c r="K552" s="4" t="s">
        <v>14</v>
      </c>
      <c r="L552" s="11"/>
      <c r="M552" s="3"/>
      <c r="N552"/>
      <c r="O552" s="4"/>
      <c r="P552" s="1"/>
      <c r="Q552" s="22"/>
      <c r="R552"/>
      <c r="S552" s="11"/>
    </row>
    <row r="553" spans="2:19" x14ac:dyDescent="0.25">
      <c r="B553" s="4">
        <v>20026193</v>
      </c>
      <c r="C553" s="1" t="s">
        <v>456</v>
      </c>
      <c r="D553" s="4" t="s">
        <v>86</v>
      </c>
      <c r="E553" s="3"/>
      <c r="F553" s="3" t="s">
        <v>68</v>
      </c>
      <c r="G553" s="4">
        <v>1200</v>
      </c>
      <c r="H553" s="4">
        <v>2000</v>
      </c>
      <c r="I553" s="4">
        <v>1700</v>
      </c>
      <c r="J553" s="4" t="s">
        <v>8</v>
      </c>
      <c r="K553" s="4" t="s">
        <v>7</v>
      </c>
      <c r="L553" s="11"/>
      <c r="M553" s="3"/>
      <c r="N553"/>
      <c r="O553" s="4"/>
      <c r="P553" s="1"/>
      <c r="Q553" s="22"/>
      <c r="R553"/>
      <c r="S553" s="11"/>
    </row>
    <row r="554" spans="2:19" x14ac:dyDescent="0.25">
      <c r="B554" s="4">
        <v>20026194</v>
      </c>
      <c r="C554" s="1" t="s">
        <v>457</v>
      </c>
      <c r="D554" s="4" t="s">
        <v>86</v>
      </c>
      <c r="E554" s="3"/>
      <c r="F554" s="3" t="s">
        <v>68</v>
      </c>
      <c r="G554" s="4">
        <v>1000</v>
      </c>
      <c r="H554" s="4">
        <v>1600</v>
      </c>
      <c r="I554" s="4">
        <v>600</v>
      </c>
      <c r="J554" s="4" t="s">
        <v>8</v>
      </c>
      <c r="K554" s="4" t="s">
        <v>9</v>
      </c>
      <c r="L554" s="11"/>
      <c r="M554" s="3"/>
      <c r="N554">
        <v>4502690193</v>
      </c>
      <c r="O554" s="4">
        <v>2000</v>
      </c>
      <c r="P554" s="1" t="s">
        <v>1629</v>
      </c>
      <c r="Q554" s="22">
        <v>46213</v>
      </c>
      <c r="R554"/>
      <c r="S554" s="11"/>
    </row>
    <row r="555" spans="2:19" x14ac:dyDescent="0.25">
      <c r="B555" s="4">
        <v>20026200</v>
      </c>
      <c r="C555" s="1" t="s">
        <v>458</v>
      </c>
      <c r="D555" s="4" t="s">
        <v>86</v>
      </c>
      <c r="E555" s="3"/>
      <c r="F555" s="3" t="s">
        <v>68</v>
      </c>
      <c r="G555" s="4">
        <v>10</v>
      </c>
      <c r="H555" s="4">
        <v>10</v>
      </c>
      <c r="I555" s="4">
        <v>30</v>
      </c>
      <c r="J555" s="4" t="s">
        <v>8</v>
      </c>
      <c r="K555" s="4" t="s">
        <v>14</v>
      </c>
      <c r="L555" s="11"/>
      <c r="M555" s="3"/>
      <c r="N555"/>
      <c r="O555" s="4"/>
      <c r="P555" s="1"/>
      <c r="Q555" s="22"/>
      <c r="R555"/>
      <c r="S555" s="11"/>
    </row>
    <row r="556" spans="2:19" x14ac:dyDescent="0.25">
      <c r="B556" s="4">
        <v>20026202</v>
      </c>
      <c r="C556" s="1" t="s">
        <v>1213</v>
      </c>
      <c r="D556" s="4" t="s">
        <v>86</v>
      </c>
      <c r="E556" s="3"/>
      <c r="F556" s="3" t="s">
        <v>102</v>
      </c>
      <c r="G556" s="4">
        <v>25000</v>
      </c>
      <c r="H556" s="4">
        <v>20000</v>
      </c>
      <c r="I556" s="4">
        <v>21000</v>
      </c>
      <c r="J556" s="4" t="s">
        <v>10</v>
      </c>
      <c r="K556" s="4" t="s">
        <v>9</v>
      </c>
      <c r="L556" s="11" t="s">
        <v>1672</v>
      </c>
      <c r="M556" s="3">
        <v>20000</v>
      </c>
      <c r="N556"/>
      <c r="O556" s="4"/>
      <c r="P556" s="1"/>
      <c r="Q556" s="22"/>
      <c r="R556"/>
      <c r="S556" s="11"/>
    </row>
    <row r="557" spans="2:19" x14ac:dyDescent="0.25">
      <c r="B557" s="4">
        <v>20026346</v>
      </c>
      <c r="C557" s="1" t="s">
        <v>459</v>
      </c>
      <c r="D557" s="4" t="s">
        <v>86</v>
      </c>
      <c r="E557" s="3"/>
      <c r="F557" s="3" t="s">
        <v>68</v>
      </c>
      <c r="G557" s="4">
        <v>6</v>
      </c>
      <c r="H557" s="4">
        <v>10</v>
      </c>
      <c r="I557" s="4">
        <v>4</v>
      </c>
      <c r="J557" s="4" t="s">
        <v>8</v>
      </c>
      <c r="K557" s="4" t="s">
        <v>9</v>
      </c>
      <c r="L557" s="11"/>
      <c r="M557" s="3"/>
      <c r="N557">
        <v>4502679143</v>
      </c>
      <c r="O557" s="4">
        <v>6</v>
      </c>
      <c r="P557" s="1" t="s">
        <v>1576</v>
      </c>
      <c r="Q557" s="22">
        <v>46213</v>
      </c>
      <c r="R557"/>
      <c r="S557" s="11"/>
    </row>
    <row r="558" spans="2:19" x14ac:dyDescent="0.25">
      <c r="B558" s="4">
        <v>20026364</v>
      </c>
      <c r="C558" s="1" t="s">
        <v>460</v>
      </c>
      <c r="D558" s="4" t="s">
        <v>86</v>
      </c>
      <c r="E558" s="3"/>
      <c r="F558" s="3" t="s">
        <v>68</v>
      </c>
      <c r="G558" s="4">
        <v>2</v>
      </c>
      <c r="H558" s="4">
        <v>2</v>
      </c>
      <c r="I558" s="4">
        <v>2</v>
      </c>
      <c r="J558" s="4" t="s">
        <v>8</v>
      </c>
      <c r="K558" s="4" t="s">
        <v>7</v>
      </c>
      <c r="L558" s="11"/>
      <c r="M558" s="3"/>
      <c r="N558">
        <v>4502681822</v>
      </c>
      <c r="O558" s="4">
        <v>2</v>
      </c>
      <c r="P558" s="1" t="s">
        <v>1576</v>
      </c>
      <c r="Q558" s="22">
        <v>46241</v>
      </c>
      <c r="R558"/>
      <c r="S558" s="11"/>
    </row>
    <row r="559" spans="2:19" x14ac:dyDescent="0.25">
      <c r="B559" s="4">
        <v>20026390</v>
      </c>
      <c r="C559" s="1" t="s">
        <v>1552</v>
      </c>
      <c r="D559" s="4" t="s">
        <v>86</v>
      </c>
      <c r="E559" s="3"/>
      <c r="F559" s="3" t="s">
        <v>68</v>
      </c>
      <c r="G559" s="4">
        <v>200</v>
      </c>
      <c r="H559" s="4">
        <v>100</v>
      </c>
      <c r="I559" s="4">
        <v>200</v>
      </c>
      <c r="J559" s="4" t="s">
        <v>25</v>
      </c>
      <c r="K559" s="4" t="s">
        <v>7</v>
      </c>
      <c r="L559" s="11"/>
      <c r="M559" s="3"/>
      <c r="N559"/>
      <c r="O559" s="4"/>
      <c r="P559" s="1"/>
      <c r="Q559" s="22"/>
      <c r="R559"/>
      <c r="S559" s="11"/>
    </row>
    <row r="560" spans="2:19" x14ac:dyDescent="0.25">
      <c r="B560" s="4">
        <v>20026392</v>
      </c>
      <c r="C560" s="1" t="s">
        <v>461</v>
      </c>
      <c r="D560" s="4" t="s">
        <v>86</v>
      </c>
      <c r="E560" s="3"/>
      <c r="F560" s="3" t="s">
        <v>68</v>
      </c>
      <c r="G560" s="4">
        <v>2</v>
      </c>
      <c r="H560" s="4">
        <v>2</v>
      </c>
      <c r="I560" s="4">
        <v>0</v>
      </c>
      <c r="J560" s="4" t="s">
        <v>8</v>
      </c>
      <c r="K560" s="4" t="s">
        <v>13</v>
      </c>
      <c r="L560" s="11"/>
      <c r="M560" s="3"/>
      <c r="N560">
        <v>4502696121</v>
      </c>
      <c r="O560" s="4">
        <v>2</v>
      </c>
      <c r="P560" s="1" t="s">
        <v>1655</v>
      </c>
      <c r="Q560" s="22">
        <v>46231</v>
      </c>
      <c r="R560"/>
      <c r="S560" s="11" t="s">
        <v>1633</v>
      </c>
    </row>
    <row r="561" spans="2:19" x14ac:dyDescent="0.25">
      <c r="B561" s="4">
        <v>20026431</v>
      </c>
      <c r="C561" s="1" t="s">
        <v>58</v>
      </c>
      <c r="D561" s="4" t="s">
        <v>86</v>
      </c>
      <c r="E561" s="3"/>
      <c r="F561" s="3" t="s">
        <v>68</v>
      </c>
      <c r="G561" s="4">
        <v>1</v>
      </c>
      <c r="H561" s="4">
        <v>1</v>
      </c>
      <c r="I561" s="4">
        <v>7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</row>
    <row r="562" spans="2:19" x14ac:dyDescent="0.25">
      <c r="B562" s="4">
        <v>20026432</v>
      </c>
      <c r="C562" s="1" t="s">
        <v>462</v>
      </c>
      <c r="D562" s="4" t="s">
        <v>86</v>
      </c>
      <c r="E562" s="3"/>
      <c r="F562" s="3" t="s">
        <v>68</v>
      </c>
      <c r="G562" s="4">
        <v>1</v>
      </c>
      <c r="H562" s="4">
        <v>1</v>
      </c>
      <c r="I562" s="4">
        <v>9</v>
      </c>
      <c r="J562" s="4" t="s">
        <v>8</v>
      </c>
      <c r="K562" s="5" t="s">
        <v>14</v>
      </c>
      <c r="L562" s="11"/>
      <c r="M562" s="3"/>
      <c r="N562"/>
      <c r="O562" s="4"/>
      <c r="P562" s="1"/>
      <c r="Q562" s="22"/>
      <c r="R562"/>
      <c r="S562" s="11"/>
    </row>
    <row r="563" spans="2:19" x14ac:dyDescent="0.25">
      <c r="B563" s="4">
        <v>20026433</v>
      </c>
      <c r="C563" s="1" t="s">
        <v>463</v>
      </c>
      <c r="D563" s="4" t="s">
        <v>86</v>
      </c>
      <c r="E563" s="3"/>
      <c r="F563" s="3" t="s">
        <v>68</v>
      </c>
      <c r="G563" s="4">
        <v>1</v>
      </c>
      <c r="H563" s="4">
        <v>1</v>
      </c>
      <c r="I563" s="4">
        <v>5</v>
      </c>
      <c r="J563" s="4" t="s">
        <v>8</v>
      </c>
      <c r="K563" s="5" t="s">
        <v>14</v>
      </c>
      <c r="L563" s="11"/>
      <c r="M563" s="3"/>
      <c r="N563">
        <v>4502676716</v>
      </c>
      <c r="O563" s="4">
        <v>2</v>
      </c>
      <c r="P563" s="1" t="s">
        <v>1612</v>
      </c>
      <c r="Q563" s="22">
        <v>46183</v>
      </c>
      <c r="R563"/>
      <c r="S563" s="11"/>
    </row>
    <row r="564" spans="2:19" x14ac:dyDescent="0.25">
      <c r="B564" s="4">
        <v>20026501</v>
      </c>
      <c r="C564" s="1" t="s">
        <v>464</v>
      </c>
      <c r="D564" s="4" t="s">
        <v>86</v>
      </c>
      <c r="E564" s="3"/>
      <c r="F564" s="3" t="s">
        <v>68</v>
      </c>
      <c r="G564" s="4">
        <v>2</v>
      </c>
      <c r="H564" s="4">
        <v>2</v>
      </c>
      <c r="I564" s="4">
        <v>2</v>
      </c>
      <c r="J564" s="4" t="s">
        <v>8</v>
      </c>
      <c r="K564" s="5" t="s">
        <v>7</v>
      </c>
      <c r="L564" s="11"/>
      <c r="M564" s="3"/>
      <c r="N564"/>
      <c r="O564" s="4"/>
      <c r="P564" s="1"/>
      <c r="Q564" s="22"/>
      <c r="R564"/>
      <c r="S564" s="11"/>
    </row>
    <row r="565" spans="2:19" x14ac:dyDescent="0.25">
      <c r="B565" s="4">
        <v>20026502</v>
      </c>
      <c r="C565" s="1" t="s">
        <v>1390</v>
      </c>
      <c r="D565" s="4" t="s">
        <v>86</v>
      </c>
      <c r="E565" s="3"/>
      <c r="F565" s="3" t="s">
        <v>68</v>
      </c>
      <c r="G565" s="4">
        <v>3</v>
      </c>
      <c r="H565" s="4">
        <v>3</v>
      </c>
      <c r="I565" s="4">
        <v>2</v>
      </c>
      <c r="J565" s="4" t="s">
        <v>8</v>
      </c>
      <c r="K565" s="5" t="s">
        <v>9</v>
      </c>
      <c r="L565" s="11">
        <v>1002667097</v>
      </c>
      <c r="M565" s="3">
        <v>3</v>
      </c>
      <c r="N565"/>
      <c r="O565" s="4"/>
      <c r="P565" s="1"/>
      <c r="Q565" s="22"/>
      <c r="R565"/>
      <c r="S565" s="11"/>
    </row>
    <row r="566" spans="2:19" x14ac:dyDescent="0.25">
      <c r="B566" s="4">
        <v>20026503</v>
      </c>
      <c r="C566" s="1" t="s">
        <v>465</v>
      </c>
      <c r="D566" s="4" t="s">
        <v>86</v>
      </c>
      <c r="E566" s="3"/>
      <c r="F566" s="3" t="s">
        <v>68</v>
      </c>
      <c r="G566" s="4">
        <v>2</v>
      </c>
      <c r="H566" s="4">
        <v>2</v>
      </c>
      <c r="I566" s="4">
        <v>0</v>
      </c>
      <c r="J566" s="4" t="s">
        <v>8</v>
      </c>
      <c r="K566" s="4" t="s">
        <v>13</v>
      </c>
      <c r="L566" s="11">
        <v>1002667097</v>
      </c>
      <c r="M566" s="3">
        <v>4</v>
      </c>
      <c r="N566"/>
      <c r="O566" s="4"/>
      <c r="P566" s="1"/>
      <c r="Q566" s="22"/>
      <c r="R566"/>
      <c r="S566" s="11"/>
    </row>
    <row r="567" spans="2:19" x14ac:dyDescent="0.25">
      <c r="B567" s="4">
        <v>20026504</v>
      </c>
      <c r="C567" s="1" t="s">
        <v>1391</v>
      </c>
      <c r="D567" s="4" t="s">
        <v>86</v>
      </c>
      <c r="E567" s="3"/>
      <c r="F567" s="3" t="s">
        <v>68</v>
      </c>
      <c r="G567" s="4">
        <v>3</v>
      </c>
      <c r="H567" s="4">
        <v>3</v>
      </c>
      <c r="I567" s="4">
        <v>1</v>
      </c>
      <c r="J567" s="4" t="s">
        <v>8</v>
      </c>
      <c r="K567" s="4" t="s">
        <v>9</v>
      </c>
      <c r="L567" s="11">
        <v>1002667097</v>
      </c>
      <c r="M567" s="3">
        <v>3</v>
      </c>
      <c r="N567"/>
      <c r="O567" s="4"/>
      <c r="P567" s="1"/>
      <c r="Q567" s="22"/>
      <c r="R567"/>
      <c r="S567" s="11"/>
    </row>
    <row r="568" spans="2:19" x14ac:dyDescent="0.25">
      <c r="B568" s="4">
        <v>20026506</v>
      </c>
      <c r="C568" s="1" t="s">
        <v>1392</v>
      </c>
      <c r="D568" s="4" t="s">
        <v>86</v>
      </c>
      <c r="E568" s="3"/>
      <c r="F568" s="3" t="s">
        <v>68</v>
      </c>
      <c r="G568" s="4">
        <v>3</v>
      </c>
      <c r="H568" s="4">
        <v>3</v>
      </c>
      <c r="I568" s="4">
        <v>3</v>
      </c>
      <c r="J568" s="4" t="s">
        <v>8</v>
      </c>
      <c r="K568" s="4" t="s">
        <v>7</v>
      </c>
      <c r="L568" s="11"/>
      <c r="M568" s="3"/>
      <c r="N568"/>
      <c r="O568" s="4"/>
      <c r="P568" s="1"/>
      <c r="Q568" s="22"/>
      <c r="R568"/>
      <c r="S568" s="11"/>
    </row>
    <row r="569" spans="2:19" x14ac:dyDescent="0.25">
      <c r="B569" s="4">
        <v>20026517</v>
      </c>
      <c r="C569" s="1" t="s">
        <v>1393</v>
      </c>
      <c r="D569" s="4" t="s">
        <v>86</v>
      </c>
      <c r="E569" s="3"/>
      <c r="F569" s="3" t="s">
        <v>68</v>
      </c>
      <c r="G569" s="4">
        <v>3</v>
      </c>
      <c r="H569" s="4">
        <v>3</v>
      </c>
      <c r="I569" s="4">
        <v>1</v>
      </c>
      <c r="J569" s="4" t="s">
        <v>8</v>
      </c>
      <c r="K569" s="5" t="s">
        <v>9</v>
      </c>
      <c r="L569" s="11">
        <v>1002667097</v>
      </c>
      <c r="M569" s="3">
        <v>3</v>
      </c>
      <c r="N569"/>
      <c r="O569" s="4"/>
      <c r="P569" s="1"/>
      <c r="Q569" s="22"/>
      <c r="R569"/>
      <c r="S569" s="11"/>
    </row>
    <row r="570" spans="2:19" x14ac:dyDescent="0.25">
      <c r="B570" s="4">
        <v>20026518</v>
      </c>
      <c r="C570" s="1" t="s">
        <v>1394</v>
      </c>
      <c r="D570" s="4" t="s">
        <v>86</v>
      </c>
      <c r="E570" s="3"/>
      <c r="F570" s="3" t="s">
        <v>68</v>
      </c>
      <c r="G570" s="4">
        <v>3</v>
      </c>
      <c r="H570" s="4">
        <v>3</v>
      </c>
      <c r="I570" s="4">
        <v>1</v>
      </c>
      <c r="J570" s="4" t="s">
        <v>8</v>
      </c>
      <c r="K570" s="4" t="s">
        <v>9</v>
      </c>
      <c r="L570" s="11">
        <v>1002667097</v>
      </c>
      <c r="M570" s="3">
        <v>3</v>
      </c>
      <c r="N570"/>
      <c r="O570" s="4"/>
      <c r="P570" s="1"/>
      <c r="Q570" s="22"/>
      <c r="R570"/>
      <c r="S570" s="11"/>
    </row>
    <row r="571" spans="2:19" x14ac:dyDescent="0.25">
      <c r="B571" s="4">
        <v>20026520</v>
      </c>
      <c r="C571" s="1" t="s">
        <v>466</v>
      </c>
      <c r="D571" s="4" t="s">
        <v>86</v>
      </c>
      <c r="E571" s="3"/>
      <c r="F571" s="3" t="s">
        <v>68</v>
      </c>
      <c r="G571" s="4">
        <v>12</v>
      </c>
      <c r="H571" s="4">
        <v>12</v>
      </c>
      <c r="I571" s="4">
        <v>31</v>
      </c>
      <c r="J571" s="4" t="s">
        <v>8</v>
      </c>
      <c r="K571" s="4" t="s">
        <v>14</v>
      </c>
      <c r="L571" s="11"/>
      <c r="M571" s="3"/>
      <c r="N571"/>
      <c r="O571" s="4"/>
      <c r="P571" s="1"/>
      <c r="Q571" s="22"/>
      <c r="R571"/>
      <c r="S571" s="11"/>
    </row>
    <row r="572" spans="2:19" x14ac:dyDescent="0.25">
      <c r="B572" s="4">
        <v>20026525</v>
      </c>
      <c r="C572" s="1" t="s">
        <v>467</v>
      </c>
      <c r="D572" s="4" t="s">
        <v>86</v>
      </c>
      <c r="E572" s="3"/>
      <c r="F572" s="3" t="s">
        <v>68</v>
      </c>
      <c r="G572" s="4">
        <v>2</v>
      </c>
      <c r="H572" s="4">
        <v>2</v>
      </c>
      <c r="I572" s="4">
        <v>1</v>
      </c>
      <c r="J572" s="4" t="s">
        <v>8</v>
      </c>
      <c r="K572" s="4" t="s">
        <v>9</v>
      </c>
      <c r="L572" s="11">
        <v>1002667097</v>
      </c>
      <c r="M572" s="3">
        <v>2</v>
      </c>
      <c r="N572"/>
      <c r="O572" s="4"/>
      <c r="P572" s="1"/>
      <c r="Q572" s="22"/>
      <c r="R572"/>
      <c r="S572" s="11"/>
    </row>
    <row r="573" spans="2:19" x14ac:dyDescent="0.25">
      <c r="B573" s="4">
        <v>20026590</v>
      </c>
      <c r="C573" s="1" t="s">
        <v>469</v>
      </c>
      <c r="D573" s="4" t="s">
        <v>86</v>
      </c>
      <c r="E573" s="3"/>
      <c r="F573" s="3" t="s">
        <v>68</v>
      </c>
      <c r="G573" s="4">
        <v>1</v>
      </c>
      <c r="H573" s="4">
        <v>1</v>
      </c>
      <c r="I573" s="4">
        <v>5</v>
      </c>
      <c r="J573" s="4" t="s">
        <v>8</v>
      </c>
      <c r="K573" s="4" t="s">
        <v>14</v>
      </c>
      <c r="L573" s="11"/>
      <c r="M573" s="3"/>
      <c r="N573"/>
      <c r="O573" s="4"/>
      <c r="P573" s="1"/>
      <c r="Q573" s="22"/>
      <c r="R573"/>
      <c r="S573" s="11"/>
    </row>
    <row r="574" spans="2:19" x14ac:dyDescent="0.25">
      <c r="B574" s="4">
        <v>20026591</v>
      </c>
      <c r="C574" s="1" t="s">
        <v>470</v>
      </c>
      <c r="D574" s="4" t="s">
        <v>86</v>
      </c>
      <c r="E574" s="3"/>
      <c r="F574" s="3" t="s">
        <v>68</v>
      </c>
      <c r="G574" s="4">
        <v>4</v>
      </c>
      <c r="H574" s="4">
        <v>7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</row>
    <row r="575" spans="2:19" x14ac:dyDescent="0.25">
      <c r="B575" s="4">
        <v>20026663</v>
      </c>
      <c r="C575" s="1" t="s">
        <v>471</v>
      </c>
      <c r="D575" s="4" t="s">
        <v>86</v>
      </c>
      <c r="E575" s="3"/>
      <c r="F575" s="3" t="s">
        <v>68</v>
      </c>
      <c r="G575" s="4">
        <v>141</v>
      </c>
      <c r="H575" s="4">
        <v>250</v>
      </c>
      <c r="I575" s="4">
        <v>175</v>
      </c>
      <c r="J575" s="4" t="s">
        <v>24</v>
      </c>
      <c r="K575" s="4" t="s">
        <v>7</v>
      </c>
      <c r="L575" s="11"/>
      <c r="M575" s="3"/>
      <c r="N575"/>
      <c r="O575" s="4"/>
      <c r="P575" s="1"/>
      <c r="Q575" s="22"/>
      <c r="R575"/>
      <c r="S575" s="11"/>
    </row>
    <row r="576" spans="2:19" x14ac:dyDescent="0.25">
      <c r="B576" s="4">
        <v>20026691</v>
      </c>
      <c r="C576" s="1" t="s">
        <v>472</v>
      </c>
      <c r="D576" s="4" t="s">
        <v>86</v>
      </c>
      <c r="E576" s="3"/>
      <c r="F576" s="3" t="s">
        <v>68</v>
      </c>
      <c r="G576" s="4">
        <v>2</v>
      </c>
      <c r="H576" s="4">
        <v>2</v>
      </c>
      <c r="I576" s="4">
        <v>2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</row>
    <row r="577" spans="2:19" x14ac:dyDescent="0.25">
      <c r="B577" s="4">
        <v>20026699</v>
      </c>
      <c r="C577" s="1" t="s">
        <v>473</v>
      </c>
      <c r="D577" s="4" t="s">
        <v>86</v>
      </c>
      <c r="E577" s="3"/>
      <c r="F577" s="3" t="s">
        <v>68</v>
      </c>
      <c r="G577" s="4">
        <v>1</v>
      </c>
      <c r="H577" s="4">
        <v>1</v>
      </c>
      <c r="I577" s="4">
        <v>4</v>
      </c>
      <c r="J577" s="4" t="s">
        <v>8</v>
      </c>
      <c r="K577" s="4" t="s">
        <v>14</v>
      </c>
      <c r="L577" s="11"/>
      <c r="M577" s="3"/>
      <c r="N577">
        <v>4502668886</v>
      </c>
      <c r="O577" s="4">
        <v>4</v>
      </c>
      <c r="P577" s="1" t="s">
        <v>1578</v>
      </c>
      <c r="Q577" s="22">
        <v>45719</v>
      </c>
      <c r="R577"/>
      <c r="S577" s="11" t="s">
        <v>1585</v>
      </c>
    </row>
    <row r="578" spans="2:19" x14ac:dyDescent="0.25">
      <c r="B578" s="4">
        <v>20026700</v>
      </c>
      <c r="C578" s="1" t="s">
        <v>474</v>
      </c>
      <c r="D578" s="4" t="s">
        <v>86</v>
      </c>
      <c r="E578" s="3"/>
      <c r="F578" s="3" t="s">
        <v>68</v>
      </c>
      <c r="G578" s="4">
        <v>1</v>
      </c>
      <c r="H578" s="4">
        <v>1</v>
      </c>
      <c r="I578" s="4">
        <v>1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</row>
    <row r="579" spans="2:19" x14ac:dyDescent="0.25">
      <c r="B579" s="4">
        <v>20026815</v>
      </c>
      <c r="C579" s="1" t="s">
        <v>475</v>
      </c>
      <c r="D579" s="4" t="s">
        <v>86</v>
      </c>
      <c r="E579" s="3"/>
      <c r="F579" s="3" t="s">
        <v>68</v>
      </c>
      <c r="G579" s="4">
        <v>1</v>
      </c>
      <c r="H579" s="4">
        <v>1</v>
      </c>
      <c r="I579" s="4">
        <v>5</v>
      </c>
      <c r="J579" s="4" t="s">
        <v>8</v>
      </c>
      <c r="K579" s="4" t="s">
        <v>14</v>
      </c>
      <c r="L579" s="11"/>
      <c r="M579" s="3"/>
      <c r="N579"/>
      <c r="O579" s="4"/>
      <c r="P579" s="1"/>
      <c r="Q579" s="22"/>
      <c r="R579"/>
      <c r="S579" s="11"/>
    </row>
    <row r="580" spans="2:19" x14ac:dyDescent="0.25">
      <c r="B580" s="4">
        <v>20026818</v>
      </c>
      <c r="C580" s="1" t="s">
        <v>476</v>
      </c>
      <c r="D580" s="4" t="s">
        <v>86</v>
      </c>
      <c r="E580" s="3"/>
      <c r="F580" s="3" t="s">
        <v>68</v>
      </c>
      <c r="G580" s="4">
        <v>10</v>
      </c>
      <c r="H580" s="4">
        <v>40</v>
      </c>
      <c r="I580" s="4">
        <v>10</v>
      </c>
      <c r="J580" s="4" t="s">
        <v>8</v>
      </c>
      <c r="K580" s="4" t="s">
        <v>7</v>
      </c>
      <c r="L580" s="11">
        <v>1002673993</v>
      </c>
      <c r="M580" s="3">
        <v>40</v>
      </c>
      <c r="N580"/>
      <c r="O580" s="4"/>
      <c r="P580" s="1"/>
      <c r="Q580" s="22"/>
      <c r="R580"/>
      <c r="S580" s="11"/>
    </row>
    <row r="581" spans="2:19" x14ac:dyDescent="0.25">
      <c r="B581" s="4">
        <v>20026847</v>
      </c>
      <c r="C581" s="1" t="s">
        <v>477</v>
      </c>
      <c r="D581" s="4" t="s">
        <v>86</v>
      </c>
      <c r="E581" s="3"/>
      <c r="F581" s="3" t="s">
        <v>68</v>
      </c>
      <c r="G581" s="4">
        <v>2</v>
      </c>
      <c r="H581" s="4">
        <v>2</v>
      </c>
      <c r="I581" s="4">
        <v>10</v>
      </c>
      <c r="J581" s="4" t="s">
        <v>8</v>
      </c>
      <c r="K581" s="4" t="s">
        <v>14</v>
      </c>
      <c r="L581" s="11"/>
      <c r="M581" s="3"/>
      <c r="N581"/>
      <c r="O581" s="4"/>
      <c r="P581" s="1"/>
      <c r="Q581" s="22"/>
      <c r="R581"/>
      <c r="S581" s="11"/>
    </row>
    <row r="582" spans="2:19" x14ac:dyDescent="0.25">
      <c r="B582" s="4">
        <v>20026892</v>
      </c>
      <c r="C582" s="1" t="s">
        <v>1529</v>
      </c>
      <c r="D582" s="4" t="s">
        <v>86</v>
      </c>
      <c r="E582" s="3"/>
      <c r="F582" s="3" t="s">
        <v>68</v>
      </c>
      <c r="G582" s="4">
        <v>5</v>
      </c>
      <c r="H582" s="4">
        <v>5</v>
      </c>
      <c r="I582" s="4">
        <v>9</v>
      </c>
      <c r="J582" s="4" t="s">
        <v>8</v>
      </c>
      <c r="K582" s="4" t="s">
        <v>7</v>
      </c>
      <c r="L582" s="11"/>
      <c r="M582" s="3"/>
      <c r="N582"/>
      <c r="O582" s="4"/>
      <c r="P582" s="1"/>
      <c r="Q582" s="22"/>
      <c r="R582"/>
      <c r="S582" s="11"/>
    </row>
    <row r="583" spans="2:19" x14ac:dyDescent="0.25">
      <c r="B583" s="4">
        <v>20026910</v>
      </c>
      <c r="C583" s="1" t="s">
        <v>478</v>
      </c>
      <c r="D583" s="4" t="s">
        <v>86</v>
      </c>
      <c r="E583" s="3"/>
      <c r="F583" s="3" t="s">
        <v>68</v>
      </c>
      <c r="G583" s="4">
        <v>3</v>
      </c>
      <c r="H583" s="4">
        <v>2</v>
      </c>
      <c r="I583" s="4">
        <v>4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</row>
    <row r="584" spans="2:19" x14ac:dyDescent="0.25">
      <c r="B584" s="4">
        <v>20026914</v>
      </c>
      <c r="C584" s="1" t="s">
        <v>479</v>
      </c>
      <c r="D584" s="4" t="s">
        <v>86</v>
      </c>
      <c r="E584" s="3"/>
      <c r="F584" s="3" t="s">
        <v>68</v>
      </c>
      <c r="G584" s="4">
        <v>1</v>
      </c>
      <c r="H584" s="4">
        <v>1</v>
      </c>
      <c r="I584" s="4">
        <v>14</v>
      </c>
      <c r="J584" s="4" t="s">
        <v>8</v>
      </c>
      <c r="K584" s="4" t="s">
        <v>14</v>
      </c>
      <c r="L584" s="11"/>
      <c r="M584" s="3"/>
      <c r="N584"/>
      <c r="O584" s="4"/>
      <c r="P584" s="1"/>
      <c r="Q584" s="22"/>
      <c r="R584"/>
      <c r="S584" s="11"/>
    </row>
    <row r="585" spans="2:19" x14ac:dyDescent="0.25">
      <c r="B585" s="4">
        <v>20026977</v>
      </c>
      <c r="C585" s="1" t="s">
        <v>480</v>
      </c>
      <c r="D585" s="4" t="s">
        <v>86</v>
      </c>
      <c r="E585" s="3"/>
      <c r="F585" s="3" t="s">
        <v>68</v>
      </c>
      <c r="G585" s="4">
        <v>7</v>
      </c>
      <c r="H585" s="4">
        <v>11</v>
      </c>
      <c r="I585" s="4">
        <v>55</v>
      </c>
      <c r="J585" s="4" t="s">
        <v>8</v>
      </c>
      <c r="K585" s="4" t="s">
        <v>14</v>
      </c>
      <c r="L585" s="11"/>
      <c r="M585" s="3"/>
      <c r="N585"/>
      <c r="O585" s="4"/>
      <c r="P585" s="1"/>
      <c r="Q585" s="22"/>
      <c r="R585"/>
      <c r="S585" s="11"/>
    </row>
    <row r="586" spans="2:19" x14ac:dyDescent="0.25">
      <c r="B586" s="4">
        <v>20026980</v>
      </c>
      <c r="C586" s="1" t="s">
        <v>481</v>
      </c>
      <c r="D586" s="4" t="s">
        <v>86</v>
      </c>
      <c r="E586" s="3"/>
      <c r="F586" s="3" t="s">
        <v>68</v>
      </c>
      <c r="G586" s="4">
        <v>7</v>
      </c>
      <c r="H586" s="4">
        <v>11</v>
      </c>
      <c r="I586" s="4">
        <v>117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</row>
    <row r="587" spans="2:19" x14ac:dyDescent="0.25">
      <c r="B587" s="4">
        <v>20026981</v>
      </c>
      <c r="C587" s="1" t="s">
        <v>482</v>
      </c>
      <c r="D587" s="4" t="s">
        <v>86</v>
      </c>
      <c r="E587" s="3"/>
      <c r="F587" s="3" t="s">
        <v>68</v>
      </c>
      <c r="G587" s="4">
        <v>2</v>
      </c>
      <c r="H587" s="4">
        <v>2</v>
      </c>
      <c r="I587" s="4">
        <v>153</v>
      </c>
      <c r="J587" s="4" t="s">
        <v>8</v>
      </c>
      <c r="K587" s="4" t="s">
        <v>14</v>
      </c>
      <c r="L587" s="11"/>
      <c r="M587" s="3"/>
      <c r="N587"/>
      <c r="O587" s="4"/>
      <c r="P587" s="1"/>
      <c r="Q587" s="22"/>
      <c r="R587"/>
      <c r="S587" s="11"/>
    </row>
    <row r="588" spans="2:19" x14ac:dyDescent="0.25">
      <c r="B588" s="4">
        <v>20026982</v>
      </c>
      <c r="C588" s="1" t="s">
        <v>483</v>
      </c>
      <c r="D588" s="4" t="s">
        <v>86</v>
      </c>
      <c r="E588" s="3"/>
      <c r="F588" s="3" t="s">
        <v>68</v>
      </c>
      <c r="G588" s="4">
        <v>7</v>
      </c>
      <c r="H588" s="4">
        <v>11</v>
      </c>
      <c r="I588" s="4">
        <v>73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</row>
    <row r="589" spans="2:19" x14ac:dyDescent="0.25">
      <c r="B589" s="4">
        <v>20027011</v>
      </c>
      <c r="C589" s="1" t="s">
        <v>1482</v>
      </c>
      <c r="D589" s="4" t="s">
        <v>86</v>
      </c>
      <c r="E589" s="3"/>
      <c r="F589" s="3" t="s">
        <v>68</v>
      </c>
      <c r="G589" s="4">
        <v>2</v>
      </c>
      <c r="H589" s="4">
        <v>1</v>
      </c>
      <c r="I589" s="4">
        <v>2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</row>
    <row r="590" spans="2:19" x14ac:dyDescent="0.25">
      <c r="B590" s="4">
        <v>20027254</v>
      </c>
      <c r="C590" s="1" t="s">
        <v>484</v>
      </c>
      <c r="D590" s="4" t="s">
        <v>86</v>
      </c>
      <c r="E590" s="3"/>
      <c r="F590" s="3" t="s">
        <v>68</v>
      </c>
      <c r="G590" s="4">
        <v>20</v>
      </c>
      <c r="H590" s="4">
        <v>20</v>
      </c>
      <c r="I590" s="4">
        <v>39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</row>
    <row r="591" spans="2:19" x14ac:dyDescent="0.25">
      <c r="B591" s="4">
        <v>20027267</v>
      </c>
      <c r="C591" s="1" t="s">
        <v>485</v>
      </c>
      <c r="D591" s="4" t="s">
        <v>86</v>
      </c>
      <c r="E591" s="3"/>
      <c r="F591" s="3" t="s">
        <v>68</v>
      </c>
      <c r="G591" s="4">
        <v>2</v>
      </c>
      <c r="H591" s="4">
        <v>2</v>
      </c>
      <c r="I591" s="4">
        <v>56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</row>
    <row r="592" spans="2:19" x14ac:dyDescent="0.25">
      <c r="B592" s="4">
        <v>20027268</v>
      </c>
      <c r="C592" s="1" t="s">
        <v>486</v>
      </c>
      <c r="D592" s="4" t="s">
        <v>86</v>
      </c>
      <c r="E592" s="3"/>
      <c r="F592" s="3" t="s">
        <v>68</v>
      </c>
      <c r="G592" s="4">
        <v>2</v>
      </c>
      <c r="H592" s="4">
        <v>2</v>
      </c>
      <c r="I592" s="4">
        <v>73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</row>
    <row r="593" spans="2:19" x14ac:dyDescent="0.25">
      <c r="B593" s="4">
        <v>20027269</v>
      </c>
      <c r="C593" s="1" t="s">
        <v>487</v>
      </c>
      <c r="D593" s="4" t="s">
        <v>86</v>
      </c>
      <c r="E593" s="3"/>
      <c r="F593" s="3" t="s">
        <v>68</v>
      </c>
      <c r="G593" s="4">
        <v>2</v>
      </c>
      <c r="H593" s="4">
        <v>2</v>
      </c>
      <c r="I593" s="4">
        <v>113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</row>
    <row r="594" spans="2:19" x14ac:dyDescent="0.25">
      <c r="B594" s="4">
        <v>20027270</v>
      </c>
      <c r="C594" s="1" t="s">
        <v>488</v>
      </c>
      <c r="D594" s="4" t="s">
        <v>86</v>
      </c>
      <c r="E594" s="3"/>
      <c r="F594" s="3" t="s">
        <v>68</v>
      </c>
      <c r="G594" s="4">
        <v>2</v>
      </c>
      <c r="H594" s="4">
        <v>2</v>
      </c>
      <c r="I594" s="4">
        <v>61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</row>
    <row r="595" spans="2:19" x14ac:dyDescent="0.25">
      <c r="B595" s="4">
        <v>20027271</v>
      </c>
      <c r="C595" s="1" t="s">
        <v>489</v>
      </c>
      <c r="D595" s="4" t="s">
        <v>86</v>
      </c>
      <c r="E595" s="3"/>
      <c r="F595" s="3" t="s">
        <v>68</v>
      </c>
      <c r="G595" s="4">
        <v>2</v>
      </c>
      <c r="H595" s="4">
        <v>2</v>
      </c>
      <c r="I595" s="4">
        <v>69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</row>
    <row r="596" spans="2:19" x14ac:dyDescent="0.25">
      <c r="B596" s="4">
        <v>20027272</v>
      </c>
      <c r="C596" s="1" t="s">
        <v>490</v>
      </c>
      <c r="D596" s="4" t="s">
        <v>86</v>
      </c>
      <c r="E596" s="3"/>
      <c r="F596" s="3" t="s">
        <v>68</v>
      </c>
      <c r="G596" s="4">
        <v>2</v>
      </c>
      <c r="H596" s="4">
        <v>2</v>
      </c>
      <c r="I596" s="4">
        <v>75</v>
      </c>
      <c r="J596" s="4" t="s">
        <v>8</v>
      </c>
      <c r="K596" s="4" t="s">
        <v>14</v>
      </c>
      <c r="L596" s="11"/>
      <c r="M596" s="3"/>
      <c r="N596"/>
      <c r="O596" s="4"/>
      <c r="P596" s="1"/>
      <c r="Q596" s="22"/>
      <c r="R596"/>
      <c r="S596" s="11"/>
    </row>
    <row r="597" spans="2:19" x14ac:dyDescent="0.25">
      <c r="B597" s="4">
        <v>20027286</v>
      </c>
      <c r="C597" s="1" t="s">
        <v>1474</v>
      </c>
      <c r="D597" s="4" t="s">
        <v>86</v>
      </c>
      <c r="E597" s="3"/>
      <c r="F597" s="3" t="s">
        <v>68</v>
      </c>
      <c r="G597" s="4">
        <v>2</v>
      </c>
      <c r="H597" s="4">
        <v>2</v>
      </c>
      <c r="I597" s="4">
        <v>2</v>
      </c>
      <c r="J597" s="4" t="s">
        <v>8</v>
      </c>
      <c r="K597" s="4" t="s">
        <v>7</v>
      </c>
      <c r="L597" s="11"/>
      <c r="M597" s="3"/>
      <c r="N597"/>
      <c r="O597" s="4"/>
      <c r="P597" s="1"/>
      <c r="Q597" s="22"/>
      <c r="R597"/>
      <c r="S597" s="11"/>
    </row>
    <row r="598" spans="2:19" x14ac:dyDescent="0.25">
      <c r="B598" s="4">
        <v>20027297</v>
      </c>
      <c r="C598" s="1" t="s">
        <v>1426</v>
      </c>
      <c r="D598" s="4" t="s">
        <v>86</v>
      </c>
      <c r="E598" s="3"/>
      <c r="F598" s="3" t="s">
        <v>68</v>
      </c>
      <c r="G598" s="4">
        <v>2</v>
      </c>
      <c r="H598" s="4">
        <v>3</v>
      </c>
      <c r="I598" s="4">
        <v>5</v>
      </c>
      <c r="J598" s="4" t="s">
        <v>8</v>
      </c>
      <c r="K598" s="4" t="s">
        <v>7</v>
      </c>
      <c r="L598" s="11"/>
      <c r="M598" s="3"/>
      <c r="N598"/>
      <c r="O598" s="4"/>
      <c r="P598" s="1"/>
      <c r="Q598" s="22"/>
      <c r="R598"/>
      <c r="S598" s="11"/>
    </row>
    <row r="599" spans="2:19" x14ac:dyDescent="0.25">
      <c r="B599" s="4">
        <v>20027355</v>
      </c>
      <c r="C599" s="1" t="s">
        <v>491</v>
      </c>
      <c r="D599" s="4" t="s">
        <v>86</v>
      </c>
      <c r="E599" s="3"/>
      <c r="F599" s="3" t="s">
        <v>68</v>
      </c>
      <c r="G599" s="4">
        <v>1</v>
      </c>
      <c r="H599" s="4">
        <v>1</v>
      </c>
      <c r="I599" s="4">
        <v>12</v>
      </c>
      <c r="J599" s="4" t="s">
        <v>25</v>
      </c>
      <c r="K599" s="4" t="s">
        <v>14</v>
      </c>
      <c r="L599" s="11"/>
      <c r="M599" s="3"/>
      <c r="N599"/>
      <c r="O599" s="4"/>
      <c r="P599" s="1"/>
      <c r="Q599" s="22"/>
      <c r="R599"/>
      <c r="S599" s="11"/>
    </row>
    <row r="600" spans="2:19" x14ac:dyDescent="0.25">
      <c r="B600" s="4">
        <v>20027356</v>
      </c>
      <c r="C600" s="1" t="s">
        <v>1451</v>
      </c>
      <c r="D600" s="4" t="s">
        <v>86</v>
      </c>
      <c r="E600" s="3"/>
      <c r="F600" s="3" t="s">
        <v>68</v>
      </c>
      <c r="G600" s="4">
        <v>2</v>
      </c>
      <c r="H600" s="4">
        <v>2</v>
      </c>
      <c r="I600" s="4">
        <v>4</v>
      </c>
      <c r="J600" s="4" t="s">
        <v>8</v>
      </c>
      <c r="K600" s="4" t="s">
        <v>7</v>
      </c>
      <c r="L600" s="11">
        <v>1002671598</v>
      </c>
      <c r="M600" s="3">
        <v>20</v>
      </c>
      <c r="N600"/>
      <c r="O600" s="4"/>
      <c r="P600" s="1"/>
      <c r="Q600" s="22"/>
      <c r="R600"/>
      <c r="S600" s="11"/>
    </row>
    <row r="601" spans="2:19" x14ac:dyDescent="0.25">
      <c r="B601" s="4">
        <v>20027357</v>
      </c>
      <c r="C601" s="1" t="s">
        <v>492</v>
      </c>
      <c r="D601" s="4" t="s">
        <v>86</v>
      </c>
      <c r="E601" s="3"/>
      <c r="F601" s="3" t="s">
        <v>68</v>
      </c>
      <c r="G601" s="4">
        <v>3</v>
      </c>
      <c r="H601" s="4">
        <v>4</v>
      </c>
      <c r="I601" s="4">
        <v>278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</row>
    <row r="602" spans="2:19" x14ac:dyDescent="0.25">
      <c r="B602" s="4">
        <v>20027378</v>
      </c>
      <c r="C602" s="1" t="s">
        <v>493</v>
      </c>
      <c r="D602" s="4" t="s">
        <v>86</v>
      </c>
      <c r="E602" s="3"/>
      <c r="F602" s="3" t="s">
        <v>68</v>
      </c>
      <c r="G602" s="4">
        <v>2</v>
      </c>
      <c r="H602" s="4">
        <v>2</v>
      </c>
      <c r="I602" s="4">
        <v>10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</row>
    <row r="603" spans="2:19" x14ac:dyDescent="0.25">
      <c r="B603" s="4">
        <v>20027456</v>
      </c>
      <c r="C603" s="1" t="s">
        <v>494</v>
      </c>
      <c r="D603" s="4" t="s">
        <v>86</v>
      </c>
      <c r="E603" s="3"/>
      <c r="F603" s="3" t="s">
        <v>68</v>
      </c>
      <c r="G603" s="4">
        <v>2</v>
      </c>
      <c r="H603" s="4">
        <v>3</v>
      </c>
      <c r="I603" s="4">
        <v>3</v>
      </c>
      <c r="J603" s="4" t="s">
        <v>8</v>
      </c>
      <c r="K603" s="4" t="s">
        <v>7</v>
      </c>
      <c r="L603" s="11"/>
      <c r="M603" s="3"/>
      <c r="N603"/>
      <c r="O603" s="4"/>
      <c r="P603" s="1"/>
      <c r="Q603" s="22"/>
      <c r="R603"/>
      <c r="S603" s="11"/>
    </row>
    <row r="604" spans="2:19" x14ac:dyDescent="0.25">
      <c r="B604" s="4">
        <v>20027476</v>
      </c>
      <c r="C604" s="1" t="s">
        <v>495</v>
      </c>
      <c r="D604" s="4" t="s">
        <v>86</v>
      </c>
      <c r="E604" s="3"/>
      <c r="F604" s="3" t="s">
        <v>68</v>
      </c>
      <c r="G604" s="4">
        <v>10</v>
      </c>
      <c r="H604" s="4">
        <v>20</v>
      </c>
      <c r="I604" s="4">
        <v>10</v>
      </c>
      <c r="J604" s="4" t="s">
        <v>8</v>
      </c>
      <c r="K604" s="4" t="s">
        <v>7</v>
      </c>
      <c r="L604" s="11">
        <v>1002673992</v>
      </c>
      <c r="M604" s="3">
        <v>20</v>
      </c>
      <c r="N604"/>
      <c r="O604" s="4"/>
      <c r="P604" s="1"/>
      <c r="Q604" s="22"/>
      <c r="R604"/>
      <c r="S604" s="11"/>
    </row>
    <row r="605" spans="2:19" x14ac:dyDescent="0.25">
      <c r="B605" s="4">
        <v>20027483</v>
      </c>
      <c r="C605" s="1" t="s">
        <v>496</v>
      </c>
      <c r="D605" s="4" t="s">
        <v>86</v>
      </c>
      <c r="E605" s="3"/>
      <c r="F605" s="3" t="s">
        <v>68</v>
      </c>
      <c r="G605" s="4">
        <v>2</v>
      </c>
      <c r="H605" s="4">
        <v>3</v>
      </c>
      <c r="I605" s="4">
        <v>3</v>
      </c>
      <c r="J605" s="4" t="s">
        <v>25</v>
      </c>
      <c r="K605" s="4" t="s">
        <v>7</v>
      </c>
      <c r="L605" s="11"/>
      <c r="M605" s="3"/>
      <c r="N605"/>
      <c r="O605" s="4"/>
      <c r="P605" s="1"/>
      <c r="Q605" s="22"/>
      <c r="R605"/>
      <c r="S605" s="11"/>
    </row>
    <row r="606" spans="2:19" x14ac:dyDescent="0.25">
      <c r="B606" s="4">
        <v>20027524</v>
      </c>
      <c r="C606" s="1" t="s">
        <v>497</v>
      </c>
      <c r="D606" s="4" t="s">
        <v>86</v>
      </c>
      <c r="E606" s="3"/>
      <c r="F606" s="3" t="s">
        <v>68</v>
      </c>
      <c r="G606" s="4">
        <v>13</v>
      </c>
      <c r="H606" s="4">
        <v>21</v>
      </c>
      <c r="I606" s="4">
        <v>299</v>
      </c>
      <c r="J606" s="4" t="s">
        <v>8</v>
      </c>
      <c r="K606" s="4" t="s">
        <v>14</v>
      </c>
      <c r="L606" s="11"/>
      <c r="M606" s="3"/>
      <c r="N606"/>
      <c r="O606" s="4"/>
      <c r="P606" s="1"/>
      <c r="Q606" s="22"/>
      <c r="R606"/>
      <c r="S606" s="11"/>
    </row>
    <row r="607" spans="2:19" x14ac:dyDescent="0.25">
      <c r="B607" s="4">
        <v>20027532</v>
      </c>
      <c r="C607" s="1" t="s">
        <v>498</v>
      </c>
      <c r="D607" s="4" t="s">
        <v>86</v>
      </c>
      <c r="E607" s="3"/>
      <c r="F607" s="3" t="s">
        <v>68</v>
      </c>
      <c r="G607" s="4">
        <v>1</v>
      </c>
      <c r="H607" s="4">
        <v>1</v>
      </c>
      <c r="I607" s="4">
        <v>2</v>
      </c>
      <c r="J607" s="4" t="s">
        <v>8</v>
      </c>
      <c r="K607" s="4" t="s">
        <v>7</v>
      </c>
      <c r="L607" s="11"/>
      <c r="M607" s="3"/>
      <c r="N607"/>
      <c r="O607" s="4"/>
      <c r="P607" s="1"/>
      <c r="Q607" s="22"/>
      <c r="R607"/>
      <c r="S607" s="11"/>
    </row>
    <row r="608" spans="2:19" x14ac:dyDescent="0.25">
      <c r="B608" s="4">
        <v>20027534</v>
      </c>
      <c r="C608" s="1" t="s">
        <v>499</v>
      </c>
      <c r="D608" s="4" t="s">
        <v>86</v>
      </c>
      <c r="E608" s="3"/>
      <c r="F608" s="3" t="s">
        <v>68</v>
      </c>
      <c r="G608" s="4">
        <v>1</v>
      </c>
      <c r="H608" s="4">
        <v>1</v>
      </c>
      <c r="I608" s="4">
        <v>1</v>
      </c>
      <c r="J608" s="4" t="s">
        <v>8</v>
      </c>
      <c r="K608" s="4" t="s">
        <v>7</v>
      </c>
      <c r="L608" s="11"/>
      <c r="M608" s="3"/>
      <c r="N608"/>
      <c r="O608" s="4"/>
      <c r="P608" s="1"/>
      <c r="Q608" s="22"/>
      <c r="R608"/>
      <c r="S608" s="11"/>
    </row>
    <row r="609" spans="2:19" x14ac:dyDescent="0.25">
      <c r="B609" s="4">
        <v>20027541</v>
      </c>
      <c r="C609" s="1" t="s">
        <v>500</v>
      </c>
      <c r="D609" s="4" t="s">
        <v>86</v>
      </c>
      <c r="E609" s="3"/>
      <c r="F609" s="3" t="s">
        <v>68</v>
      </c>
      <c r="G609" s="4">
        <v>8</v>
      </c>
      <c r="H609" s="4">
        <v>6</v>
      </c>
      <c r="I609" s="4">
        <v>7</v>
      </c>
      <c r="J609" s="4" t="s">
        <v>8</v>
      </c>
      <c r="K609" s="4" t="s">
        <v>9</v>
      </c>
      <c r="L609" s="11" t="s">
        <v>1672</v>
      </c>
      <c r="M609" s="3">
        <v>6</v>
      </c>
      <c r="N609"/>
      <c r="O609" s="4"/>
      <c r="P609" s="1"/>
      <c r="Q609" s="22"/>
      <c r="R609"/>
      <c r="S609" s="11"/>
    </row>
    <row r="610" spans="2:19" x14ac:dyDescent="0.25">
      <c r="B610" s="4">
        <v>20027542</v>
      </c>
      <c r="C610" s="1" t="s">
        <v>501</v>
      </c>
      <c r="D610" s="4" t="s">
        <v>86</v>
      </c>
      <c r="E610" s="3"/>
      <c r="F610" s="3" t="s">
        <v>68</v>
      </c>
      <c r="G610" s="4">
        <v>1</v>
      </c>
      <c r="H610" s="4">
        <v>1</v>
      </c>
      <c r="I610" s="4">
        <v>41</v>
      </c>
      <c r="J610" s="4" t="s">
        <v>8</v>
      </c>
      <c r="K610" s="4" t="s">
        <v>14</v>
      </c>
      <c r="L610" s="11"/>
      <c r="M610" s="3"/>
      <c r="N610"/>
      <c r="O610" s="4"/>
      <c r="P610" s="1"/>
      <c r="Q610" s="22"/>
      <c r="R610"/>
      <c r="S610" s="11"/>
    </row>
    <row r="611" spans="2:19" x14ac:dyDescent="0.25">
      <c r="B611" s="4">
        <v>20027543</v>
      </c>
      <c r="C611" s="1" t="s">
        <v>502</v>
      </c>
      <c r="D611" s="4" t="s">
        <v>86</v>
      </c>
      <c r="E611" s="3"/>
      <c r="F611" s="3" t="s">
        <v>68</v>
      </c>
      <c r="G611" s="4">
        <v>2</v>
      </c>
      <c r="H611" s="4">
        <v>2</v>
      </c>
      <c r="I611" s="4">
        <v>98</v>
      </c>
      <c r="J611" s="4" t="s">
        <v>8</v>
      </c>
      <c r="K611" s="4" t="s">
        <v>14</v>
      </c>
      <c r="L611" s="11"/>
      <c r="M611" s="3"/>
      <c r="N611"/>
      <c r="O611" s="4"/>
      <c r="P611" s="1"/>
      <c r="Q611" s="22"/>
      <c r="R611"/>
      <c r="S611" s="11"/>
    </row>
    <row r="612" spans="2:19" x14ac:dyDescent="0.25">
      <c r="B612" s="4">
        <v>20027634</v>
      </c>
      <c r="C612" s="1" t="s">
        <v>1475</v>
      </c>
      <c r="D612" s="4" t="s">
        <v>86</v>
      </c>
      <c r="E612" s="3"/>
      <c r="F612" s="3" t="s">
        <v>68</v>
      </c>
      <c r="G612" s="4">
        <v>2</v>
      </c>
      <c r="H612" s="4">
        <v>2</v>
      </c>
      <c r="I612" s="4">
        <v>2</v>
      </c>
      <c r="J612" s="4" t="s">
        <v>21</v>
      </c>
      <c r="K612" s="4" t="s">
        <v>7</v>
      </c>
      <c r="L612" s="11"/>
      <c r="M612" s="3"/>
      <c r="N612"/>
      <c r="O612" s="4"/>
      <c r="P612" s="1"/>
      <c r="Q612" s="22"/>
      <c r="R612"/>
      <c r="S612" s="11"/>
    </row>
    <row r="613" spans="2:19" x14ac:dyDescent="0.25">
      <c r="B613" s="4">
        <v>20027851</v>
      </c>
      <c r="C613" s="1" t="s">
        <v>503</v>
      </c>
      <c r="D613" s="4" t="s">
        <v>86</v>
      </c>
      <c r="E613" s="3"/>
      <c r="F613" s="3" t="s">
        <v>68</v>
      </c>
      <c r="G613" s="4">
        <v>17</v>
      </c>
      <c r="H613" s="4">
        <v>30</v>
      </c>
      <c r="I613" s="4">
        <v>39</v>
      </c>
      <c r="J613" s="4" t="s">
        <v>23</v>
      </c>
      <c r="K613" s="4" t="s">
        <v>7</v>
      </c>
      <c r="L613" s="11"/>
      <c r="M613" s="3"/>
      <c r="N613"/>
      <c r="O613" s="4"/>
      <c r="P613" s="1"/>
      <c r="Q613" s="22"/>
      <c r="R613"/>
      <c r="S613" s="11"/>
    </row>
    <row r="614" spans="2:19" x14ac:dyDescent="0.25">
      <c r="B614" s="4">
        <v>20027853</v>
      </c>
      <c r="C614" s="1" t="s">
        <v>504</v>
      </c>
      <c r="D614" s="4" t="s">
        <v>86</v>
      </c>
      <c r="E614" s="3"/>
      <c r="F614" s="3" t="s">
        <v>68</v>
      </c>
      <c r="G614" s="4">
        <v>230</v>
      </c>
      <c r="H614" s="4">
        <v>400</v>
      </c>
      <c r="I614" s="4">
        <v>136</v>
      </c>
      <c r="J614" s="4" t="s">
        <v>23</v>
      </c>
      <c r="K614" s="4" t="s">
        <v>9</v>
      </c>
      <c r="L614" s="11"/>
      <c r="M614" s="3"/>
      <c r="N614">
        <v>4502699204</v>
      </c>
      <c r="O614" s="4">
        <v>400</v>
      </c>
      <c r="P614" s="1" t="s">
        <v>1665</v>
      </c>
      <c r="Q614" s="22">
        <v>46238</v>
      </c>
      <c r="R614"/>
      <c r="S614" s="11"/>
    </row>
    <row r="615" spans="2:19" x14ac:dyDescent="0.25">
      <c r="B615" s="4">
        <v>20027854</v>
      </c>
      <c r="C615" s="1" t="s">
        <v>505</v>
      </c>
      <c r="D615" s="4" t="s">
        <v>86</v>
      </c>
      <c r="E615" s="3"/>
      <c r="F615" s="3" t="s">
        <v>68</v>
      </c>
      <c r="G615" s="4">
        <v>8</v>
      </c>
      <c r="H615" s="4">
        <v>13</v>
      </c>
      <c r="I615" s="4">
        <v>180</v>
      </c>
      <c r="J615" s="4" t="s">
        <v>23</v>
      </c>
      <c r="K615" s="4" t="s">
        <v>14</v>
      </c>
      <c r="L615" s="11"/>
      <c r="M615" s="3"/>
      <c r="N615"/>
      <c r="O615" s="4"/>
      <c r="P615" s="1"/>
      <c r="Q615" s="22"/>
      <c r="R615"/>
      <c r="S615" s="11"/>
    </row>
    <row r="616" spans="2:19" x14ac:dyDescent="0.25">
      <c r="B616" s="4">
        <v>20028146</v>
      </c>
      <c r="C616" s="1" t="s">
        <v>506</v>
      </c>
      <c r="D616" s="4" t="s">
        <v>86</v>
      </c>
      <c r="E616" s="3"/>
      <c r="F616" s="3" t="s">
        <v>68</v>
      </c>
      <c r="G616" s="4">
        <v>1</v>
      </c>
      <c r="H616" s="4">
        <v>1</v>
      </c>
      <c r="I616" s="4">
        <v>10</v>
      </c>
      <c r="J616" s="4" t="s">
        <v>8</v>
      </c>
      <c r="K616" s="4" t="s">
        <v>14</v>
      </c>
      <c r="L616" s="11"/>
      <c r="M616" s="3"/>
      <c r="N616"/>
      <c r="O616" s="4"/>
      <c r="P616" s="1"/>
      <c r="Q616" s="22"/>
      <c r="R616"/>
      <c r="S616" s="11"/>
    </row>
    <row r="617" spans="2:19" x14ac:dyDescent="0.25">
      <c r="B617" s="4">
        <v>20028189</v>
      </c>
      <c r="C617" s="1" t="s">
        <v>507</v>
      </c>
      <c r="D617" s="4" t="s">
        <v>86</v>
      </c>
      <c r="E617" s="3"/>
      <c r="F617" s="3" t="s">
        <v>68</v>
      </c>
      <c r="G617" s="4">
        <v>2</v>
      </c>
      <c r="H617" s="4">
        <v>3</v>
      </c>
      <c r="I617" s="4">
        <v>2</v>
      </c>
      <c r="J617" s="4" t="s">
        <v>8</v>
      </c>
      <c r="K617" s="4" t="s">
        <v>7</v>
      </c>
      <c r="L617" s="11"/>
      <c r="M617" s="3"/>
      <c r="N617"/>
      <c r="O617" s="4"/>
      <c r="P617" s="1"/>
      <c r="Q617" s="22"/>
      <c r="R617"/>
      <c r="S617" s="11"/>
    </row>
    <row r="618" spans="2:19" x14ac:dyDescent="0.25">
      <c r="B618" s="4">
        <v>20028190</v>
      </c>
      <c r="C618" s="1" t="s">
        <v>508</v>
      </c>
      <c r="D618" s="4" t="s">
        <v>86</v>
      </c>
      <c r="E618" s="3"/>
      <c r="F618" s="3" t="s">
        <v>68</v>
      </c>
      <c r="G618" s="4">
        <v>1</v>
      </c>
      <c r="H618" s="4">
        <v>1</v>
      </c>
      <c r="I618" s="4">
        <v>6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</row>
    <row r="619" spans="2:19" x14ac:dyDescent="0.25">
      <c r="B619" s="4">
        <v>20028193</v>
      </c>
      <c r="C619" s="1" t="s">
        <v>509</v>
      </c>
      <c r="D619" s="4" t="s">
        <v>86</v>
      </c>
      <c r="E619" s="3"/>
      <c r="F619" s="3" t="s">
        <v>68</v>
      </c>
      <c r="G619" s="4">
        <v>1</v>
      </c>
      <c r="H619" s="4">
        <v>1</v>
      </c>
      <c r="I619" s="4">
        <v>3</v>
      </c>
      <c r="J619" s="4" t="s">
        <v>8</v>
      </c>
      <c r="K619" s="4" t="s">
        <v>14</v>
      </c>
      <c r="L619" s="11"/>
      <c r="M619" s="3"/>
      <c r="N619"/>
      <c r="O619" s="4"/>
      <c r="P619" s="1"/>
      <c r="Q619" s="22"/>
      <c r="R619"/>
      <c r="S619" s="11"/>
    </row>
    <row r="620" spans="2:19" x14ac:dyDescent="0.25">
      <c r="B620" s="4">
        <v>20028226</v>
      </c>
      <c r="C620" s="1" t="s">
        <v>510</v>
      </c>
      <c r="D620" s="4" t="s">
        <v>86</v>
      </c>
      <c r="E620" s="3"/>
      <c r="F620" s="3" t="s">
        <v>68</v>
      </c>
      <c r="G620" s="4">
        <v>2</v>
      </c>
      <c r="H620" s="4">
        <v>3</v>
      </c>
      <c r="I620" s="4">
        <v>12</v>
      </c>
      <c r="J620" s="4" t="s">
        <v>8</v>
      </c>
      <c r="K620" s="4" t="s">
        <v>14</v>
      </c>
      <c r="L620" s="11"/>
      <c r="M620" s="3"/>
      <c r="N620"/>
      <c r="O620" s="4"/>
      <c r="P620" s="1"/>
      <c r="Q620" s="22"/>
      <c r="R620"/>
      <c r="S620" s="11"/>
    </row>
    <row r="621" spans="2:19" x14ac:dyDescent="0.25">
      <c r="B621" s="4">
        <v>20028734</v>
      </c>
      <c r="C621" s="1" t="s">
        <v>1476</v>
      </c>
      <c r="D621" s="4" t="s">
        <v>86</v>
      </c>
      <c r="E621" s="3"/>
      <c r="F621" s="3" t="s">
        <v>68</v>
      </c>
      <c r="G621" s="4">
        <v>2</v>
      </c>
      <c r="H621" s="4">
        <v>2</v>
      </c>
      <c r="I621" s="4">
        <v>2</v>
      </c>
      <c r="J621" s="4" t="s">
        <v>8</v>
      </c>
      <c r="K621" s="4" t="s">
        <v>7</v>
      </c>
      <c r="L621" s="11"/>
      <c r="M621" s="3"/>
      <c r="N621"/>
      <c r="O621" s="4"/>
      <c r="P621" s="1"/>
      <c r="Q621" s="22"/>
      <c r="R621"/>
      <c r="S621" s="11"/>
    </row>
    <row r="622" spans="2:19" x14ac:dyDescent="0.25">
      <c r="B622" s="4">
        <v>20028767</v>
      </c>
      <c r="C622" s="1" t="s">
        <v>511</v>
      </c>
      <c r="D622" s="4" t="s">
        <v>86</v>
      </c>
      <c r="E622" s="3"/>
      <c r="F622" s="3" t="s">
        <v>68</v>
      </c>
      <c r="G622" s="4">
        <v>4</v>
      </c>
      <c r="H622" s="4">
        <v>8</v>
      </c>
      <c r="I622" s="4">
        <v>6</v>
      </c>
      <c r="J622" s="4" t="s">
        <v>8</v>
      </c>
      <c r="K622" s="4" t="s">
        <v>7</v>
      </c>
      <c r="L622" s="11"/>
      <c r="M622" s="3"/>
      <c r="N622"/>
      <c r="O622" s="4"/>
      <c r="P622" s="1"/>
      <c r="Q622" s="22"/>
      <c r="R622"/>
      <c r="S622" s="11"/>
    </row>
    <row r="623" spans="2:19" x14ac:dyDescent="0.25">
      <c r="B623" s="4">
        <v>20028768</v>
      </c>
      <c r="C623" s="1" t="s">
        <v>512</v>
      </c>
      <c r="D623" s="4" t="s">
        <v>86</v>
      </c>
      <c r="E623" s="3"/>
      <c r="F623" s="3" t="s">
        <v>68</v>
      </c>
      <c r="G623" s="4">
        <v>4</v>
      </c>
      <c r="H623" s="4">
        <v>8</v>
      </c>
      <c r="I623" s="4">
        <v>8</v>
      </c>
      <c r="J623" s="4" t="s">
        <v>8</v>
      </c>
      <c r="K623" s="4" t="s">
        <v>7</v>
      </c>
      <c r="L623" s="11"/>
      <c r="M623" s="3"/>
      <c r="N623"/>
      <c r="O623" s="4"/>
      <c r="P623" s="1"/>
      <c r="Q623" s="22"/>
      <c r="R623"/>
      <c r="S623" s="11"/>
    </row>
    <row r="624" spans="2:19" x14ac:dyDescent="0.25">
      <c r="B624" s="4">
        <v>20040973</v>
      </c>
      <c r="C624" s="1" t="s">
        <v>513</v>
      </c>
      <c r="D624" s="4" t="s">
        <v>86</v>
      </c>
      <c r="E624" s="3"/>
      <c r="F624" s="3" t="s">
        <v>68</v>
      </c>
      <c r="G624" s="4">
        <v>24</v>
      </c>
      <c r="H624" s="4">
        <v>24</v>
      </c>
      <c r="I624" s="4">
        <v>23</v>
      </c>
      <c r="J624" s="4" t="s">
        <v>8</v>
      </c>
      <c r="K624" s="4" t="s">
        <v>9</v>
      </c>
      <c r="L624" s="11">
        <v>1002654974</v>
      </c>
      <c r="M624" s="3">
        <v>24</v>
      </c>
      <c r="N624"/>
      <c r="O624" s="4"/>
      <c r="P624" s="1"/>
      <c r="Q624" s="22"/>
      <c r="R624"/>
      <c r="S624" s="11"/>
    </row>
    <row r="625" spans="2:19" x14ac:dyDescent="0.25">
      <c r="B625" s="4">
        <v>20041001</v>
      </c>
      <c r="C625" s="1" t="s">
        <v>514</v>
      </c>
      <c r="D625" s="4" t="s">
        <v>86</v>
      </c>
      <c r="E625" s="3"/>
      <c r="F625" s="3" t="s">
        <v>68</v>
      </c>
      <c r="G625" s="4">
        <v>12</v>
      </c>
      <c r="H625" s="4">
        <v>24</v>
      </c>
      <c r="I625" s="4">
        <v>29</v>
      </c>
      <c r="J625" s="4" t="s">
        <v>8</v>
      </c>
      <c r="K625" s="4" t="s">
        <v>7</v>
      </c>
      <c r="L625" s="11"/>
      <c r="M625" s="3"/>
      <c r="N625"/>
      <c r="O625" s="4"/>
      <c r="P625" s="1"/>
      <c r="Q625" s="22"/>
      <c r="R625"/>
      <c r="S625" s="11"/>
    </row>
    <row r="626" spans="2:19" x14ac:dyDescent="0.25">
      <c r="B626" s="4">
        <v>20041002</v>
      </c>
      <c r="C626" s="1" t="s">
        <v>515</v>
      </c>
      <c r="D626" s="4" t="s">
        <v>86</v>
      </c>
      <c r="E626" s="3"/>
      <c r="F626" s="3" t="s">
        <v>68</v>
      </c>
      <c r="G626" s="4">
        <v>12</v>
      </c>
      <c r="H626" s="4">
        <v>36</v>
      </c>
      <c r="I626" s="4">
        <v>14</v>
      </c>
      <c r="J626" s="4" t="s">
        <v>8</v>
      </c>
      <c r="K626" s="4" t="s">
        <v>7</v>
      </c>
      <c r="L626" s="11"/>
      <c r="M626" s="3"/>
      <c r="N626"/>
      <c r="O626" s="4"/>
      <c r="P626" s="1"/>
      <c r="Q626" s="22"/>
      <c r="R626"/>
      <c r="S626" s="11"/>
    </row>
    <row r="627" spans="2:19" x14ac:dyDescent="0.25">
      <c r="B627" s="4">
        <v>20041003</v>
      </c>
      <c r="C627" s="1" t="s">
        <v>516</v>
      </c>
      <c r="D627" s="4" t="s">
        <v>86</v>
      </c>
      <c r="E627" s="3"/>
      <c r="F627" s="3" t="s">
        <v>68</v>
      </c>
      <c r="G627" s="4">
        <v>11</v>
      </c>
      <c r="H627" s="4">
        <v>12</v>
      </c>
      <c r="I627" s="4">
        <v>141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</row>
    <row r="628" spans="2:19" x14ac:dyDescent="0.25">
      <c r="B628" s="4">
        <v>20041014</v>
      </c>
      <c r="C628" s="1" t="s">
        <v>73</v>
      </c>
      <c r="D628" s="4" t="s">
        <v>86</v>
      </c>
      <c r="E628" s="3"/>
      <c r="F628" s="3" t="s">
        <v>68</v>
      </c>
      <c r="G628" s="4">
        <v>600</v>
      </c>
      <c r="H628" s="4">
        <v>400</v>
      </c>
      <c r="I628" s="4">
        <v>723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</row>
    <row r="629" spans="2:19" x14ac:dyDescent="0.25">
      <c r="B629" s="4">
        <v>20041015</v>
      </c>
      <c r="C629" s="1" t="s">
        <v>517</v>
      </c>
      <c r="D629" s="4" t="s">
        <v>86</v>
      </c>
      <c r="E629" s="3"/>
      <c r="F629" s="3" t="s">
        <v>68</v>
      </c>
      <c r="G629" s="4">
        <v>600</v>
      </c>
      <c r="H629" s="4">
        <v>400</v>
      </c>
      <c r="I629" s="4">
        <v>824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</row>
    <row r="630" spans="2:19" x14ac:dyDescent="0.25">
      <c r="B630" s="4">
        <v>20046227</v>
      </c>
      <c r="C630" s="1" t="s">
        <v>1206</v>
      </c>
      <c r="D630" s="4" t="s">
        <v>86</v>
      </c>
      <c r="E630" s="3"/>
      <c r="F630" s="3" t="s">
        <v>68</v>
      </c>
      <c r="G630" s="4">
        <v>100</v>
      </c>
      <c r="H630" s="4">
        <v>150</v>
      </c>
      <c r="I630" s="4">
        <v>116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</row>
    <row r="631" spans="2:19" x14ac:dyDescent="0.25">
      <c r="B631" s="4">
        <v>20046228</v>
      </c>
      <c r="C631" s="1" t="s">
        <v>1207</v>
      </c>
      <c r="D631" s="4" t="s">
        <v>86</v>
      </c>
      <c r="E631" s="3"/>
      <c r="F631" s="3" t="s">
        <v>68</v>
      </c>
      <c r="G631" s="4">
        <v>70</v>
      </c>
      <c r="H631" s="4">
        <v>200</v>
      </c>
      <c r="I631" s="4">
        <v>209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</row>
    <row r="632" spans="2:19" x14ac:dyDescent="0.25">
      <c r="B632" s="4">
        <v>20046229</v>
      </c>
      <c r="C632" s="1" t="s">
        <v>1208</v>
      </c>
      <c r="D632" s="4" t="s">
        <v>86</v>
      </c>
      <c r="E632" s="3"/>
      <c r="F632" s="3" t="s">
        <v>68</v>
      </c>
      <c r="G632" s="4">
        <v>70</v>
      </c>
      <c r="H632" s="4">
        <v>100</v>
      </c>
      <c r="I632" s="4">
        <v>88</v>
      </c>
      <c r="J632" s="4" t="s">
        <v>8</v>
      </c>
      <c r="K632" s="4" t="s">
        <v>7</v>
      </c>
      <c r="L632" s="11"/>
      <c r="M632" s="3"/>
      <c r="N632">
        <v>4502698059</v>
      </c>
      <c r="O632" s="4">
        <v>150</v>
      </c>
      <c r="P632" s="1" t="s">
        <v>1622</v>
      </c>
      <c r="Q632" s="22">
        <v>46230</v>
      </c>
      <c r="R632"/>
      <c r="S632" s="11"/>
    </row>
    <row r="633" spans="2:19" x14ac:dyDescent="0.25">
      <c r="B633" s="4">
        <v>20046230</v>
      </c>
      <c r="C633" s="1" t="s">
        <v>1209</v>
      </c>
      <c r="D633" s="4" t="s">
        <v>86</v>
      </c>
      <c r="E633" s="3"/>
      <c r="F633" s="3" t="s">
        <v>68</v>
      </c>
      <c r="G633" s="4">
        <v>70</v>
      </c>
      <c r="H633" s="4">
        <v>100</v>
      </c>
      <c r="I633" s="4">
        <v>118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</row>
    <row r="634" spans="2:19" x14ac:dyDescent="0.25">
      <c r="B634" s="4">
        <v>20047000</v>
      </c>
      <c r="C634" s="1" t="s">
        <v>518</v>
      </c>
      <c r="D634" s="4" t="s">
        <v>86</v>
      </c>
      <c r="E634" s="3"/>
      <c r="F634" s="3" t="s">
        <v>68</v>
      </c>
      <c r="G634" s="4">
        <v>1000</v>
      </c>
      <c r="H634" s="4">
        <v>1500</v>
      </c>
      <c r="I634" s="4">
        <v>3494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</row>
    <row r="635" spans="2:19" x14ac:dyDescent="0.25">
      <c r="B635" s="4">
        <v>20048691</v>
      </c>
      <c r="C635" s="1" t="s">
        <v>519</v>
      </c>
      <c r="D635" s="4" t="s">
        <v>86</v>
      </c>
      <c r="E635" s="3"/>
      <c r="F635" s="3" t="s">
        <v>68</v>
      </c>
      <c r="G635" s="4">
        <v>72</v>
      </c>
      <c r="H635" s="4">
        <v>120</v>
      </c>
      <c r="I635" s="4">
        <v>168</v>
      </c>
      <c r="J635" s="4" t="s">
        <v>10</v>
      </c>
      <c r="K635" s="4" t="s">
        <v>7</v>
      </c>
      <c r="L635" s="11"/>
      <c r="M635" s="3"/>
      <c r="N635"/>
      <c r="O635" s="4"/>
      <c r="P635" s="1"/>
      <c r="Q635" s="22"/>
      <c r="R635"/>
      <c r="S635" s="11"/>
    </row>
    <row r="636" spans="2:19" x14ac:dyDescent="0.25">
      <c r="B636" s="4">
        <v>20050351</v>
      </c>
      <c r="C636" s="1" t="s">
        <v>1109</v>
      </c>
      <c r="D636" s="4" t="s">
        <v>86</v>
      </c>
      <c r="E636" s="3"/>
      <c r="F636" s="3" t="s">
        <v>68</v>
      </c>
      <c r="G636" s="4">
        <v>35</v>
      </c>
      <c r="H636" s="4">
        <v>100</v>
      </c>
      <c r="I636" s="4">
        <v>0</v>
      </c>
      <c r="J636" s="4" t="s">
        <v>8</v>
      </c>
      <c r="K636" s="4" t="s">
        <v>13</v>
      </c>
      <c r="L636" s="11" t="s">
        <v>1672</v>
      </c>
      <c r="M636" s="3">
        <v>135</v>
      </c>
      <c r="N636"/>
      <c r="O636" s="4"/>
      <c r="P636" s="1"/>
      <c r="Q636" s="22"/>
      <c r="R636"/>
      <c r="S636" s="11"/>
    </row>
    <row r="637" spans="2:19" x14ac:dyDescent="0.25">
      <c r="B637" s="4">
        <v>20050353</v>
      </c>
      <c r="C637" s="1" t="s">
        <v>1403</v>
      </c>
      <c r="D637" s="4" t="s">
        <v>86</v>
      </c>
      <c r="E637" s="3"/>
      <c r="F637" s="3" t="s">
        <v>68</v>
      </c>
      <c r="G637" s="4">
        <v>6</v>
      </c>
      <c r="H637" s="4">
        <v>10</v>
      </c>
      <c r="I637" s="4">
        <v>8</v>
      </c>
      <c r="J637" s="4" t="s">
        <v>781</v>
      </c>
      <c r="K637" s="4" t="s">
        <v>7</v>
      </c>
      <c r="L637" s="11"/>
      <c r="M637" s="3"/>
      <c r="N637"/>
      <c r="O637" s="4"/>
      <c r="P637" s="1"/>
      <c r="Q637" s="22"/>
      <c r="R637"/>
      <c r="S637" s="11"/>
    </row>
    <row r="638" spans="2:19" x14ac:dyDescent="0.25">
      <c r="B638" s="4">
        <v>20050354</v>
      </c>
      <c r="C638" s="1" t="s">
        <v>1404</v>
      </c>
      <c r="D638" s="4" t="s">
        <v>86</v>
      </c>
      <c r="E638" s="3"/>
      <c r="F638" s="3" t="s">
        <v>68</v>
      </c>
      <c r="G638" s="4">
        <v>6</v>
      </c>
      <c r="H638" s="4">
        <v>10</v>
      </c>
      <c r="I638" s="4">
        <v>7</v>
      </c>
      <c r="J638" s="4" t="s">
        <v>781</v>
      </c>
      <c r="K638" s="4" t="s">
        <v>7</v>
      </c>
      <c r="L638" s="11"/>
      <c r="M638" s="3"/>
      <c r="N638"/>
      <c r="O638" s="4"/>
      <c r="P638" s="1"/>
      <c r="Q638" s="22"/>
      <c r="R638"/>
      <c r="S638" s="11"/>
    </row>
    <row r="639" spans="2:19" x14ac:dyDescent="0.25">
      <c r="B639" s="4">
        <v>20050387</v>
      </c>
      <c r="C639" s="1" t="s">
        <v>792</v>
      </c>
      <c r="D639" s="4" t="s">
        <v>86</v>
      </c>
      <c r="E639" s="3"/>
      <c r="F639" s="3" t="s">
        <v>68</v>
      </c>
      <c r="G639" s="4">
        <v>15</v>
      </c>
      <c r="H639" s="4">
        <v>32</v>
      </c>
      <c r="I639" s="4">
        <v>9</v>
      </c>
      <c r="J639" s="4" t="s">
        <v>8</v>
      </c>
      <c r="K639" s="4" t="s">
        <v>9</v>
      </c>
      <c r="L639" s="11"/>
      <c r="M639" s="3"/>
      <c r="N639">
        <v>4502690487</v>
      </c>
      <c r="O639" s="4">
        <v>27</v>
      </c>
      <c r="P639" s="1" t="s">
        <v>1617</v>
      </c>
      <c r="Q639" s="22">
        <v>46237</v>
      </c>
      <c r="R639"/>
      <c r="S639" s="11"/>
    </row>
    <row r="640" spans="2:19" x14ac:dyDescent="0.25">
      <c r="B640" s="4">
        <v>20050460</v>
      </c>
      <c r="C640" s="1" t="s">
        <v>1438</v>
      </c>
      <c r="D640" s="4" t="s">
        <v>86</v>
      </c>
      <c r="E640" s="3"/>
      <c r="F640" s="3" t="s">
        <v>68</v>
      </c>
      <c r="G640" s="4">
        <v>6</v>
      </c>
      <c r="H640" s="4">
        <v>10</v>
      </c>
      <c r="I640" s="4">
        <v>9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</row>
    <row r="641" spans="2:19" x14ac:dyDescent="0.25">
      <c r="B641" s="4">
        <v>20058961</v>
      </c>
      <c r="C641" s="1" t="s">
        <v>1224</v>
      </c>
      <c r="D641" s="4" t="s">
        <v>86</v>
      </c>
      <c r="E641" s="3"/>
      <c r="F641" s="3" t="s">
        <v>68</v>
      </c>
      <c r="G641" s="4">
        <v>100</v>
      </c>
      <c r="H641" s="4">
        <v>200</v>
      </c>
      <c r="I641" s="4">
        <v>58</v>
      </c>
      <c r="J641" s="4" t="s">
        <v>21</v>
      </c>
      <c r="K641" s="4" t="s">
        <v>9</v>
      </c>
      <c r="L641" s="11"/>
      <c r="M641" s="3"/>
      <c r="N641">
        <v>4502694671</v>
      </c>
      <c r="O641" s="4">
        <v>200</v>
      </c>
      <c r="P641" s="1" t="s">
        <v>1656</v>
      </c>
      <c r="Q641" s="22">
        <v>46220</v>
      </c>
      <c r="R641"/>
      <c r="S641" s="11"/>
    </row>
    <row r="642" spans="2:19" x14ac:dyDescent="0.25">
      <c r="B642" s="4">
        <v>20059165</v>
      </c>
      <c r="C642" s="1" t="s">
        <v>1265</v>
      </c>
      <c r="D642" s="4" t="s">
        <v>86</v>
      </c>
      <c r="E642" s="3"/>
      <c r="F642" s="3" t="s">
        <v>68</v>
      </c>
      <c r="G642" s="4">
        <v>5</v>
      </c>
      <c r="H642" s="4">
        <v>10</v>
      </c>
      <c r="I642" s="4">
        <v>81</v>
      </c>
      <c r="J642" s="4" t="s">
        <v>8</v>
      </c>
      <c r="K642" s="4" t="s">
        <v>14</v>
      </c>
      <c r="L642" s="11"/>
      <c r="M642" s="3"/>
      <c r="N642"/>
      <c r="O642" s="4"/>
      <c r="P642" s="1"/>
      <c r="Q642" s="22"/>
      <c r="R642"/>
      <c r="S642" s="11"/>
    </row>
    <row r="643" spans="2:19" x14ac:dyDescent="0.25">
      <c r="B643" s="4">
        <v>20059166</v>
      </c>
      <c r="C643" s="1" t="s">
        <v>1266</v>
      </c>
      <c r="D643" s="4" t="s">
        <v>86</v>
      </c>
      <c r="E643" s="3"/>
      <c r="F643" s="3" t="s">
        <v>68</v>
      </c>
      <c r="G643" s="4">
        <v>5</v>
      </c>
      <c r="H643" s="4">
        <v>10</v>
      </c>
      <c r="I643" s="4">
        <v>80</v>
      </c>
      <c r="J643" s="4" t="s">
        <v>8</v>
      </c>
      <c r="K643" s="4" t="s">
        <v>14</v>
      </c>
      <c r="L643" s="11"/>
      <c r="M643" s="3"/>
      <c r="N643"/>
      <c r="O643" s="4"/>
      <c r="P643" s="1"/>
      <c r="Q643" s="22"/>
      <c r="R643"/>
      <c r="S643" s="11"/>
    </row>
    <row r="644" spans="2:19" x14ac:dyDescent="0.25">
      <c r="B644" s="4">
        <v>20060483</v>
      </c>
      <c r="C644" s="1" t="s">
        <v>1477</v>
      </c>
      <c r="D644" s="4" t="s">
        <v>86</v>
      </c>
      <c r="E644" s="3"/>
      <c r="F644" s="3" t="s">
        <v>68</v>
      </c>
      <c r="G644" s="4">
        <v>2</v>
      </c>
      <c r="H644" s="4">
        <v>2</v>
      </c>
      <c r="I644" s="4">
        <v>2</v>
      </c>
      <c r="J644" s="4" t="s">
        <v>21</v>
      </c>
      <c r="K644" s="4" t="s">
        <v>7</v>
      </c>
      <c r="L644" s="11"/>
      <c r="M644" s="3"/>
      <c r="N644"/>
      <c r="O644" s="4"/>
      <c r="P644" s="1"/>
      <c r="Q644" s="22"/>
      <c r="R644"/>
      <c r="S644" s="11"/>
    </row>
    <row r="645" spans="2:19" x14ac:dyDescent="0.25">
      <c r="B645" s="4">
        <v>20062125</v>
      </c>
      <c r="C645" s="1" t="s">
        <v>1332</v>
      </c>
      <c r="D645" s="4" t="s">
        <v>86</v>
      </c>
      <c r="E645" s="3"/>
      <c r="F645" s="3" t="s">
        <v>68</v>
      </c>
      <c r="G645" s="4">
        <v>20000</v>
      </c>
      <c r="H645" s="4">
        <v>30000</v>
      </c>
      <c r="I645" s="4">
        <v>33000</v>
      </c>
      <c r="J645" s="4" t="s">
        <v>10</v>
      </c>
      <c r="K645" s="4" t="s">
        <v>7</v>
      </c>
      <c r="L645" s="11"/>
      <c r="M645" s="66"/>
      <c r="N645"/>
      <c r="O645" s="4"/>
      <c r="P645" s="1"/>
      <c r="Q645" s="22"/>
      <c r="R645"/>
      <c r="S645" s="11" t="s">
        <v>1580</v>
      </c>
    </row>
    <row r="646" spans="2:19" x14ac:dyDescent="0.25">
      <c r="B646" s="4">
        <v>20062126</v>
      </c>
      <c r="C646" s="1" t="s">
        <v>1286</v>
      </c>
      <c r="D646" s="4" t="s">
        <v>86</v>
      </c>
      <c r="E646" s="3"/>
      <c r="F646" s="3" t="s">
        <v>68</v>
      </c>
      <c r="G646" s="4">
        <v>2</v>
      </c>
      <c r="H646" s="4">
        <v>4</v>
      </c>
      <c r="I646" s="4">
        <v>4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</row>
    <row r="647" spans="2:19" x14ac:dyDescent="0.25">
      <c r="B647" s="4">
        <v>20064476</v>
      </c>
      <c r="C647" s="1" t="s">
        <v>1478</v>
      </c>
      <c r="D647" s="4" t="s">
        <v>86</v>
      </c>
      <c r="E647" s="3"/>
      <c r="F647" s="3" t="s">
        <v>68</v>
      </c>
      <c r="G647" s="4">
        <v>20</v>
      </c>
      <c r="H647" s="4">
        <v>20</v>
      </c>
      <c r="I647" s="4">
        <v>40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</row>
    <row r="648" spans="2:19" x14ac:dyDescent="0.25">
      <c r="B648" s="4">
        <v>20069666</v>
      </c>
      <c r="C648" s="1" t="s">
        <v>1502</v>
      </c>
      <c r="D648" s="4" t="s">
        <v>86</v>
      </c>
      <c r="E648" s="3"/>
      <c r="F648" s="3" t="s">
        <v>68</v>
      </c>
      <c r="G648" s="4">
        <v>4</v>
      </c>
      <c r="H648" s="4">
        <v>4</v>
      </c>
      <c r="I648" s="4">
        <v>7</v>
      </c>
      <c r="J648" s="4" t="s">
        <v>8</v>
      </c>
      <c r="K648" s="4" t="s">
        <v>7</v>
      </c>
      <c r="L648" s="11"/>
      <c r="M648" s="3"/>
      <c r="N648"/>
      <c r="O648" s="4"/>
      <c r="P648" s="1"/>
      <c r="Q648" s="22"/>
      <c r="R648"/>
      <c r="S648" s="11"/>
    </row>
    <row r="649" spans="2:19" x14ac:dyDescent="0.25">
      <c r="B649" s="4">
        <v>20069977</v>
      </c>
      <c r="C649" s="1" t="s">
        <v>1429</v>
      </c>
      <c r="D649" s="4" t="s">
        <v>86</v>
      </c>
      <c r="E649" s="3"/>
      <c r="F649" s="3" t="s">
        <v>68</v>
      </c>
      <c r="G649" s="4">
        <v>20</v>
      </c>
      <c r="H649" s="4">
        <v>60</v>
      </c>
      <c r="I649" s="4">
        <v>38</v>
      </c>
      <c r="J649" s="4" t="s">
        <v>8</v>
      </c>
      <c r="K649" s="4" t="s">
        <v>7</v>
      </c>
      <c r="L649" s="11"/>
      <c r="M649" s="3"/>
      <c r="N649"/>
      <c r="O649" s="4"/>
      <c r="P649" s="1"/>
      <c r="Q649" s="22"/>
      <c r="R649"/>
      <c r="S649" s="11"/>
    </row>
    <row r="650" spans="2:19" x14ac:dyDescent="0.25">
      <c r="B650" s="4">
        <v>20070039</v>
      </c>
      <c r="C650" s="1" t="s">
        <v>1573</v>
      </c>
      <c r="D650" s="4" t="s">
        <v>86</v>
      </c>
      <c r="E650" s="3"/>
      <c r="F650" s="3" t="s">
        <v>68</v>
      </c>
      <c r="G650" s="4">
        <v>100</v>
      </c>
      <c r="H650" s="4">
        <v>100</v>
      </c>
      <c r="I650" s="4">
        <v>286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</row>
    <row r="651" spans="2:19" x14ac:dyDescent="0.25">
      <c r="B651" s="4">
        <v>20070347</v>
      </c>
      <c r="C651" s="1" t="s">
        <v>1443</v>
      </c>
      <c r="D651" s="4" t="s">
        <v>86</v>
      </c>
      <c r="E651" s="3"/>
      <c r="F651" s="3" t="s">
        <v>68</v>
      </c>
      <c r="G651" s="4">
        <v>250</v>
      </c>
      <c r="H651" s="4">
        <v>400</v>
      </c>
      <c r="I651" s="4">
        <v>227</v>
      </c>
      <c r="J651" s="4" t="s">
        <v>8</v>
      </c>
      <c r="K651" s="4" t="s">
        <v>9</v>
      </c>
      <c r="L651" s="11">
        <v>1002674971</v>
      </c>
      <c r="M651" s="3">
        <v>400</v>
      </c>
      <c r="N651"/>
      <c r="O651" s="4"/>
      <c r="P651" s="1"/>
      <c r="Q651" s="22"/>
      <c r="R651"/>
      <c r="S651" s="11"/>
    </row>
    <row r="652" spans="2:19" x14ac:dyDescent="0.25">
      <c r="B652" s="4">
        <v>20070759</v>
      </c>
      <c r="C652" s="1" t="s">
        <v>1398</v>
      </c>
      <c r="D652" s="4" t="s">
        <v>86</v>
      </c>
      <c r="E652" s="3"/>
      <c r="F652" s="3" t="s">
        <v>68</v>
      </c>
      <c r="G652" s="4">
        <v>10</v>
      </c>
      <c r="H652" s="4">
        <v>20</v>
      </c>
      <c r="I652" s="4">
        <v>13</v>
      </c>
      <c r="J652" s="4" t="s">
        <v>8</v>
      </c>
      <c r="K652" s="4" t="s">
        <v>7</v>
      </c>
      <c r="L652" s="11"/>
      <c r="M652" s="3"/>
      <c r="N652"/>
      <c r="O652" s="16"/>
      <c r="P652" s="75"/>
      <c r="Q652" s="23"/>
      <c r="R652"/>
      <c r="S652" s="11"/>
    </row>
    <row r="653" spans="2:19" x14ac:dyDescent="0.25">
      <c r="B653" s="4">
        <v>20070881</v>
      </c>
      <c r="C653" s="1" t="s">
        <v>1397</v>
      </c>
      <c r="D653" s="4" t="s">
        <v>86</v>
      </c>
      <c r="E653" s="3"/>
      <c r="F653" s="3" t="s">
        <v>68</v>
      </c>
      <c r="G653" s="4">
        <v>4</v>
      </c>
      <c r="H653" s="4">
        <v>2</v>
      </c>
      <c r="I653" s="4">
        <v>6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</row>
    <row r="654" spans="2:19" x14ac:dyDescent="0.25">
      <c r="B654" s="4">
        <v>20070888</v>
      </c>
      <c r="C654" s="1" t="s">
        <v>1424</v>
      </c>
      <c r="D654" s="4" t="s">
        <v>86</v>
      </c>
      <c r="E654" s="3"/>
      <c r="F654" s="3" t="s">
        <v>68</v>
      </c>
      <c r="G654" s="4">
        <v>10</v>
      </c>
      <c r="H654" s="4">
        <v>10</v>
      </c>
      <c r="I654" s="4">
        <v>0</v>
      </c>
      <c r="J654" s="4" t="s">
        <v>8</v>
      </c>
      <c r="K654" s="4" t="s">
        <v>13</v>
      </c>
      <c r="L654" s="11"/>
      <c r="M654" s="3"/>
      <c r="N654">
        <v>4502698208</v>
      </c>
      <c r="O654" s="4">
        <v>10</v>
      </c>
      <c r="P654" s="1" t="s">
        <v>1571</v>
      </c>
      <c r="Q654" s="22">
        <v>46230</v>
      </c>
      <c r="R654"/>
      <c r="S654" s="11"/>
    </row>
    <row r="655" spans="2:19" x14ac:dyDescent="0.25">
      <c r="B655" s="4">
        <v>20073205</v>
      </c>
      <c r="C655" s="1" t="s">
        <v>1479</v>
      </c>
      <c r="D655" s="4" t="s">
        <v>86</v>
      </c>
      <c r="E655" s="3"/>
      <c r="F655" s="3" t="s">
        <v>68</v>
      </c>
      <c r="G655" s="4">
        <v>2</v>
      </c>
      <c r="H655" s="4">
        <v>2</v>
      </c>
      <c r="I655" s="4">
        <v>4</v>
      </c>
      <c r="J655" s="4" t="s">
        <v>8</v>
      </c>
      <c r="K655" s="4" t="s">
        <v>7</v>
      </c>
      <c r="L655" s="11"/>
      <c r="M655" s="3"/>
      <c r="N655"/>
      <c r="O655" s="4"/>
      <c r="P655" s="1"/>
      <c r="Q655" s="22"/>
      <c r="R655"/>
      <c r="S655" s="11"/>
    </row>
    <row r="656" spans="2:19" x14ac:dyDescent="0.25">
      <c r="B656" s="4">
        <v>20076418</v>
      </c>
      <c r="C656" s="1" t="s">
        <v>1511</v>
      </c>
      <c r="D656" s="4" t="s">
        <v>86</v>
      </c>
      <c r="E656" s="3"/>
      <c r="F656" s="3" t="s">
        <v>68</v>
      </c>
      <c r="G656" s="4">
        <v>10</v>
      </c>
      <c r="H656" s="4">
        <v>10</v>
      </c>
      <c r="I656" s="4">
        <v>10</v>
      </c>
      <c r="J656" s="4" t="s">
        <v>21</v>
      </c>
      <c r="K656" s="4" t="s">
        <v>7</v>
      </c>
      <c r="L656" s="11"/>
      <c r="M656" s="3"/>
      <c r="N656"/>
      <c r="O656" s="4"/>
      <c r="P656" s="1"/>
      <c r="Q656" s="22"/>
      <c r="R656"/>
      <c r="S656" s="11"/>
    </row>
    <row r="657" spans="2:19" x14ac:dyDescent="0.25">
      <c r="B657" s="4">
        <v>20078273</v>
      </c>
      <c r="C657" s="1" t="s">
        <v>1555</v>
      </c>
      <c r="D657" s="4" t="s">
        <v>86</v>
      </c>
      <c r="E657" s="3"/>
      <c r="F657" s="3" t="s">
        <v>68</v>
      </c>
      <c r="G657" s="4">
        <v>30</v>
      </c>
      <c r="H657" s="4">
        <v>50</v>
      </c>
      <c r="I657" s="4">
        <v>45</v>
      </c>
      <c r="J657" s="4" t="s">
        <v>23</v>
      </c>
      <c r="K657" s="4" t="s">
        <v>7</v>
      </c>
      <c r="L657" s="11"/>
      <c r="M657" s="3"/>
      <c r="N657"/>
      <c r="O657" s="4"/>
      <c r="P657" s="1"/>
      <c r="Q657" s="22"/>
      <c r="R657"/>
      <c r="S657" s="11"/>
    </row>
    <row r="658" spans="2:19" x14ac:dyDescent="0.25">
      <c r="B658" s="4">
        <v>20079621</v>
      </c>
      <c r="C658" s="1" t="s">
        <v>1639</v>
      </c>
      <c r="D658" s="4" t="s">
        <v>86</v>
      </c>
      <c r="E658" s="3"/>
      <c r="F658" s="3" t="s">
        <v>68</v>
      </c>
      <c r="G658" s="4">
        <v>4</v>
      </c>
      <c r="H658" s="4">
        <v>4</v>
      </c>
      <c r="I658" s="4">
        <v>0</v>
      </c>
      <c r="J658" s="4" t="s">
        <v>8</v>
      </c>
      <c r="K658" s="4" t="s">
        <v>13</v>
      </c>
      <c r="L658" s="11"/>
      <c r="M658" s="3"/>
      <c r="N658">
        <v>4502694626</v>
      </c>
      <c r="O658" s="4">
        <v>8</v>
      </c>
      <c r="P658" s="1" t="s">
        <v>22</v>
      </c>
      <c r="Q658" s="22">
        <v>46222</v>
      </c>
      <c r="R658"/>
      <c r="S658" s="11"/>
    </row>
    <row r="659" spans="2:19" x14ac:dyDescent="0.25">
      <c r="B659" s="4">
        <v>20079622</v>
      </c>
      <c r="C659" s="1" t="s">
        <v>1640</v>
      </c>
      <c r="D659" s="4" t="s">
        <v>86</v>
      </c>
      <c r="E659" s="3"/>
      <c r="F659" s="3" t="s">
        <v>68</v>
      </c>
      <c r="G659" s="4">
        <v>4</v>
      </c>
      <c r="H659" s="4">
        <v>4</v>
      </c>
      <c r="I659" s="4">
        <v>0</v>
      </c>
      <c r="J659" s="4" t="s">
        <v>8</v>
      </c>
      <c r="K659" s="4" t="s">
        <v>13</v>
      </c>
      <c r="L659" s="11"/>
      <c r="M659" s="3"/>
      <c r="N659">
        <v>4502694626</v>
      </c>
      <c r="O659" s="4">
        <v>8</v>
      </c>
      <c r="P659" s="1" t="s">
        <v>22</v>
      </c>
      <c r="Q659" s="22">
        <v>46222</v>
      </c>
      <c r="R659"/>
      <c r="S659" s="11"/>
    </row>
    <row r="660" spans="2:19" x14ac:dyDescent="0.25">
      <c r="B660" s="4">
        <v>20079623</v>
      </c>
      <c r="C660" s="1" t="s">
        <v>1641</v>
      </c>
      <c r="D660" s="4" t="s">
        <v>86</v>
      </c>
      <c r="E660" s="3"/>
      <c r="F660" s="3" t="s">
        <v>68</v>
      </c>
      <c r="G660" s="4">
        <v>4</v>
      </c>
      <c r="H660" s="4">
        <v>4</v>
      </c>
      <c r="I660" s="4">
        <v>0</v>
      </c>
      <c r="J660" s="4" t="s">
        <v>8</v>
      </c>
      <c r="K660" s="4" t="s">
        <v>13</v>
      </c>
      <c r="L660" s="11"/>
      <c r="M660" s="3"/>
      <c r="N660">
        <v>4502694626</v>
      </c>
      <c r="O660" s="4">
        <v>8</v>
      </c>
      <c r="P660" s="1" t="s">
        <v>22</v>
      </c>
      <c r="Q660" s="22">
        <v>46222</v>
      </c>
      <c r="R660"/>
      <c r="S660" s="11"/>
    </row>
    <row r="661" spans="2:19" x14ac:dyDescent="0.25">
      <c r="B661" s="4">
        <v>20079625</v>
      </c>
      <c r="C661" s="1" t="s">
        <v>1642</v>
      </c>
      <c r="D661" s="4" t="s">
        <v>86</v>
      </c>
      <c r="E661" s="3"/>
      <c r="F661" s="3" t="s">
        <v>68</v>
      </c>
      <c r="G661" s="4">
        <v>4</v>
      </c>
      <c r="H661" s="4">
        <v>4</v>
      </c>
      <c r="I661" s="4">
        <v>0</v>
      </c>
      <c r="J661" s="4" t="s">
        <v>8</v>
      </c>
      <c r="K661" s="4" t="s">
        <v>13</v>
      </c>
      <c r="L661" s="11"/>
      <c r="M661" s="3"/>
      <c r="N661">
        <v>4502694626</v>
      </c>
      <c r="O661" s="4">
        <v>8</v>
      </c>
      <c r="P661" s="1" t="s">
        <v>22</v>
      </c>
      <c r="Q661" s="22">
        <v>46222</v>
      </c>
      <c r="R661"/>
      <c r="S661" s="11"/>
    </row>
    <row r="662" spans="2:19" x14ac:dyDescent="0.25">
      <c r="B662" s="4">
        <v>20079626</v>
      </c>
      <c r="C662" s="1" t="s">
        <v>1643</v>
      </c>
      <c r="D662" s="4" t="s">
        <v>86</v>
      </c>
      <c r="E662" s="3"/>
      <c r="F662" s="3" t="s">
        <v>68</v>
      </c>
      <c r="G662" s="4">
        <v>4</v>
      </c>
      <c r="H662" s="4">
        <v>4</v>
      </c>
      <c r="I662" s="4">
        <v>0</v>
      </c>
      <c r="J662" s="4" t="s">
        <v>8</v>
      </c>
      <c r="K662" s="4" t="s">
        <v>13</v>
      </c>
      <c r="L662" s="11"/>
      <c r="M662" s="3"/>
      <c r="N662">
        <v>4502694626</v>
      </c>
      <c r="O662" s="4">
        <v>8</v>
      </c>
      <c r="P662" s="1" t="s">
        <v>22</v>
      </c>
      <c r="Q662" s="22">
        <v>46222</v>
      </c>
      <c r="R662"/>
      <c r="S662" s="11"/>
    </row>
    <row r="663" spans="2:19" x14ac:dyDescent="0.25">
      <c r="B663" s="4">
        <v>30005406</v>
      </c>
      <c r="C663" s="1" t="s">
        <v>793</v>
      </c>
      <c r="D663" s="4" t="s">
        <v>86</v>
      </c>
      <c r="E663" s="3"/>
      <c r="F663" s="3" t="s">
        <v>102</v>
      </c>
      <c r="G663" s="4">
        <v>1</v>
      </c>
      <c r="H663" s="4">
        <v>2</v>
      </c>
      <c r="I663" s="4">
        <v>2</v>
      </c>
      <c r="J663" s="4" t="s">
        <v>10</v>
      </c>
      <c r="K663" s="4" t="s">
        <v>7</v>
      </c>
      <c r="L663" s="11"/>
      <c r="M663" s="3"/>
      <c r="N663"/>
      <c r="O663" s="4"/>
      <c r="P663" s="1"/>
      <c r="Q663" s="22"/>
      <c r="R663"/>
      <c r="S663" s="11"/>
    </row>
    <row r="664" spans="2:19" x14ac:dyDescent="0.25">
      <c r="B664" s="4">
        <v>30005783</v>
      </c>
      <c r="C664" s="1" t="s">
        <v>520</v>
      </c>
      <c r="D664" s="4" t="s">
        <v>86</v>
      </c>
      <c r="E664" s="3"/>
      <c r="F664" s="3" t="s">
        <v>68</v>
      </c>
      <c r="G664" s="4">
        <v>60</v>
      </c>
      <c r="H664" s="4">
        <v>40</v>
      </c>
      <c r="I664" s="4">
        <v>41</v>
      </c>
      <c r="J664" s="4" t="s">
        <v>8</v>
      </c>
      <c r="K664" s="4" t="s">
        <v>9</v>
      </c>
      <c r="L664" s="11">
        <v>1002671116</v>
      </c>
      <c r="M664" s="3">
        <v>40</v>
      </c>
      <c r="N664"/>
      <c r="O664" s="4"/>
      <c r="P664" s="1"/>
      <c r="Q664" s="22"/>
      <c r="R664"/>
      <c r="S664" s="11"/>
    </row>
    <row r="665" spans="2:19" x14ac:dyDescent="0.25">
      <c r="B665" s="4">
        <v>30006055</v>
      </c>
      <c r="C665" s="1" t="s">
        <v>1110</v>
      </c>
      <c r="D665" s="4" t="s">
        <v>86</v>
      </c>
      <c r="E665" s="3"/>
      <c r="F665" s="3" t="s">
        <v>68</v>
      </c>
      <c r="G665" s="4">
        <v>72</v>
      </c>
      <c r="H665" s="4">
        <v>72</v>
      </c>
      <c r="I665" s="4">
        <v>86</v>
      </c>
      <c r="J665" s="4" t="s">
        <v>25</v>
      </c>
      <c r="K665" s="4" t="s">
        <v>7</v>
      </c>
      <c r="L665" s="11"/>
      <c r="M665" s="3"/>
      <c r="N665"/>
      <c r="O665" s="4"/>
      <c r="P665" s="1"/>
      <c r="Q665" s="22"/>
      <c r="R665"/>
      <c r="S665" s="11"/>
    </row>
    <row r="666" spans="2:19" x14ac:dyDescent="0.25">
      <c r="B666" s="4">
        <v>30006066</v>
      </c>
      <c r="C666" s="1" t="s">
        <v>1439</v>
      </c>
      <c r="D666" s="4" t="s">
        <v>86</v>
      </c>
      <c r="E666" s="3"/>
      <c r="F666" s="3" t="s">
        <v>68</v>
      </c>
      <c r="G666" s="4">
        <v>100</v>
      </c>
      <c r="H666" s="4">
        <v>200</v>
      </c>
      <c r="I666" s="4">
        <v>160</v>
      </c>
      <c r="J666" s="4" t="s">
        <v>24</v>
      </c>
      <c r="K666" s="4" t="s">
        <v>7</v>
      </c>
      <c r="L666" s="11"/>
      <c r="M666" s="3"/>
      <c r="N666"/>
      <c r="O666" s="4"/>
      <c r="P666" s="1"/>
      <c r="Q666" s="22"/>
      <c r="R666"/>
      <c r="S666" s="11"/>
    </row>
    <row r="667" spans="2:19" x14ac:dyDescent="0.25">
      <c r="B667" s="4">
        <v>30006079</v>
      </c>
      <c r="C667" s="1" t="s">
        <v>1495</v>
      </c>
      <c r="D667" s="4" t="s">
        <v>86</v>
      </c>
      <c r="E667" s="3"/>
      <c r="F667" s="3" t="s">
        <v>68</v>
      </c>
      <c r="G667" s="4">
        <v>4</v>
      </c>
      <c r="H667" s="4">
        <v>2</v>
      </c>
      <c r="I667" s="4">
        <v>6</v>
      </c>
      <c r="J667" s="4" t="s">
        <v>8</v>
      </c>
      <c r="K667" s="4" t="s">
        <v>7</v>
      </c>
      <c r="L667" s="11"/>
      <c r="M667" s="3"/>
      <c r="N667"/>
      <c r="O667" s="4"/>
      <c r="P667" s="1"/>
      <c r="Q667" s="22"/>
      <c r="R667"/>
      <c r="S667" s="11"/>
    </row>
    <row r="668" spans="2:19" x14ac:dyDescent="0.25">
      <c r="B668" s="4">
        <v>30006476</v>
      </c>
      <c r="C668" s="1" t="s">
        <v>521</v>
      </c>
      <c r="D668" s="4" t="s">
        <v>86</v>
      </c>
      <c r="E668" s="3"/>
      <c r="F668" s="3" t="s">
        <v>68</v>
      </c>
      <c r="G668" s="4">
        <v>8</v>
      </c>
      <c r="H668" s="4">
        <v>10</v>
      </c>
      <c r="I668" s="4">
        <v>50</v>
      </c>
      <c r="J668" s="4" t="s">
        <v>8</v>
      </c>
      <c r="K668" s="4" t="s">
        <v>14</v>
      </c>
      <c r="L668" s="11"/>
      <c r="M668" s="3"/>
      <c r="N668"/>
      <c r="O668" s="4"/>
      <c r="P668" s="1"/>
      <c r="Q668" s="22"/>
      <c r="R668"/>
      <c r="S668" s="11"/>
    </row>
    <row r="669" spans="2:19" x14ac:dyDescent="0.25">
      <c r="B669" s="4">
        <v>30006477</v>
      </c>
      <c r="C669" s="1" t="s">
        <v>522</v>
      </c>
      <c r="D669" s="4" t="s">
        <v>86</v>
      </c>
      <c r="E669" s="3"/>
      <c r="F669" s="3" t="s">
        <v>68</v>
      </c>
      <c r="G669" s="4">
        <v>7</v>
      </c>
      <c r="H669" s="4">
        <v>10</v>
      </c>
      <c r="I669" s="4">
        <v>20</v>
      </c>
      <c r="J669" s="4" t="s">
        <v>8</v>
      </c>
      <c r="K669" s="4" t="s">
        <v>14</v>
      </c>
      <c r="L669" s="11"/>
      <c r="M669" s="3"/>
      <c r="N669"/>
      <c r="O669" s="4"/>
      <c r="P669" s="1"/>
      <c r="Q669" s="22"/>
      <c r="R669"/>
      <c r="S669" s="11"/>
    </row>
    <row r="670" spans="2:19" x14ac:dyDescent="0.25">
      <c r="B670" s="4">
        <v>30006494</v>
      </c>
      <c r="C670" s="1" t="s">
        <v>523</v>
      </c>
      <c r="D670" s="4" t="s">
        <v>86</v>
      </c>
      <c r="E670" s="3"/>
      <c r="F670" s="3" t="s">
        <v>68</v>
      </c>
      <c r="G670" s="4">
        <v>12</v>
      </c>
      <c r="H670" s="4">
        <v>10</v>
      </c>
      <c r="I670" s="4">
        <v>12</v>
      </c>
      <c r="J670" s="4" t="s">
        <v>8</v>
      </c>
      <c r="K670" s="4" t="s">
        <v>7</v>
      </c>
      <c r="L670" s="11"/>
      <c r="M670" s="3"/>
      <c r="N670"/>
      <c r="O670" s="4"/>
      <c r="P670" s="1"/>
      <c r="Q670" s="22"/>
      <c r="R670"/>
      <c r="S670" s="11"/>
    </row>
    <row r="671" spans="2:19" x14ac:dyDescent="0.25">
      <c r="B671" s="4">
        <v>30006495</v>
      </c>
      <c r="C671" s="1" t="s">
        <v>524</v>
      </c>
      <c r="D671" s="4" t="s">
        <v>86</v>
      </c>
      <c r="E671" s="3"/>
      <c r="F671" s="3" t="s">
        <v>68</v>
      </c>
      <c r="G671" s="4">
        <v>12</v>
      </c>
      <c r="H671" s="4">
        <v>10</v>
      </c>
      <c r="I671" s="4">
        <v>6</v>
      </c>
      <c r="J671" s="4" t="s">
        <v>8</v>
      </c>
      <c r="K671" s="4" t="s">
        <v>9</v>
      </c>
      <c r="L671" s="11" t="s">
        <v>1668</v>
      </c>
      <c r="M671" s="3">
        <v>10</v>
      </c>
      <c r="N671"/>
      <c r="O671" s="4"/>
      <c r="P671" s="1"/>
      <c r="Q671" s="22"/>
      <c r="R671"/>
      <c r="S671" s="11"/>
    </row>
    <row r="672" spans="2:19" x14ac:dyDescent="0.25">
      <c r="B672" s="4">
        <v>30006496</v>
      </c>
      <c r="C672" s="1" t="s">
        <v>1402</v>
      </c>
      <c r="D672" s="4" t="s">
        <v>86</v>
      </c>
      <c r="E672" s="3"/>
      <c r="F672" s="3" t="s">
        <v>102</v>
      </c>
      <c r="G672" s="4">
        <v>3</v>
      </c>
      <c r="H672" s="4">
        <v>6</v>
      </c>
      <c r="I672" s="4">
        <v>4</v>
      </c>
      <c r="J672" s="4" t="s">
        <v>8</v>
      </c>
      <c r="K672" s="4" t="s">
        <v>7</v>
      </c>
      <c r="L672" s="11"/>
      <c r="M672" s="3"/>
      <c r="N672">
        <v>4700161517</v>
      </c>
      <c r="O672" s="4">
        <v>1</v>
      </c>
      <c r="P672" s="1" t="s">
        <v>1613</v>
      </c>
      <c r="Q672" s="22">
        <v>46192</v>
      </c>
      <c r="R672"/>
      <c r="S672" s="11"/>
    </row>
    <row r="673" spans="2:19" x14ac:dyDescent="0.25">
      <c r="B673" s="4">
        <v>30006497</v>
      </c>
      <c r="C673" s="1" t="s">
        <v>525</v>
      </c>
      <c r="D673" s="4" t="s">
        <v>86</v>
      </c>
      <c r="E673" s="3"/>
      <c r="F673" s="3" t="s">
        <v>68</v>
      </c>
      <c r="G673" s="4">
        <v>12</v>
      </c>
      <c r="H673" s="4">
        <v>10</v>
      </c>
      <c r="I673" s="4">
        <v>12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</row>
    <row r="674" spans="2:19" x14ac:dyDescent="0.25">
      <c r="B674" s="4">
        <v>30006537</v>
      </c>
      <c r="C674" s="1" t="s">
        <v>1305</v>
      </c>
      <c r="D674" s="4" t="s">
        <v>86</v>
      </c>
      <c r="E674" s="3"/>
      <c r="F674" s="3" t="s">
        <v>68</v>
      </c>
      <c r="G674" s="4">
        <v>4</v>
      </c>
      <c r="H674" s="4">
        <v>8</v>
      </c>
      <c r="I674" s="4">
        <v>3</v>
      </c>
      <c r="J674" s="4" t="s">
        <v>8</v>
      </c>
      <c r="K674" s="4" t="s">
        <v>9</v>
      </c>
      <c r="L674" s="11" t="s">
        <v>1670</v>
      </c>
      <c r="M674" s="3">
        <v>8</v>
      </c>
      <c r="N674"/>
      <c r="O674" s="4"/>
      <c r="P674" s="1"/>
      <c r="Q674" s="22"/>
      <c r="R674"/>
      <c r="S674" s="11"/>
    </row>
    <row r="675" spans="2:19" x14ac:dyDescent="0.25">
      <c r="B675" s="4">
        <v>30006538</v>
      </c>
      <c r="C675" s="1" t="s">
        <v>526</v>
      </c>
      <c r="D675" s="4" t="s">
        <v>86</v>
      </c>
      <c r="E675" s="3"/>
      <c r="F675" s="3" t="s">
        <v>68</v>
      </c>
      <c r="G675" s="4">
        <v>6</v>
      </c>
      <c r="H675" s="4">
        <v>6</v>
      </c>
      <c r="I675" s="4">
        <v>12</v>
      </c>
      <c r="J675" s="4" t="s">
        <v>8</v>
      </c>
      <c r="K675" s="4" t="s">
        <v>7</v>
      </c>
      <c r="L675" s="11"/>
      <c r="M675" s="3"/>
      <c r="N675">
        <v>4502699097</v>
      </c>
      <c r="O675" s="4">
        <v>6</v>
      </c>
      <c r="P675" s="1" t="s">
        <v>1452</v>
      </c>
      <c r="Q675" s="22">
        <v>46252</v>
      </c>
      <c r="R675"/>
      <c r="S675" s="11"/>
    </row>
    <row r="676" spans="2:19" x14ac:dyDescent="0.25">
      <c r="B676" s="4">
        <v>30006583</v>
      </c>
      <c r="C676" s="1" t="s">
        <v>1261</v>
      </c>
      <c r="D676" s="4" t="s">
        <v>86</v>
      </c>
      <c r="E676" s="3"/>
      <c r="F676" s="3" t="s">
        <v>68</v>
      </c>
      <c r="G676" s="4">
        <v>21</v>
      </c>
      <c r="H676" s="4">
        <v>40</v>
      </c>
      <c r="I676" s="4">
        <v>29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</row>
    <row r="677" spans="2:19" x14ac:dyDescent="0.25">
      <c r="B677" s="4">
        <v>30006604</v>
      </c>
      <c r="C677" s="1" t="s">
        <v>1114</v>
      </c>
      <c r="D677" s="4" t="s">
        <v>86</v>
      </c>
      <c r="E677" s="3" t="s">
        <v>1225</v>
      </c>
      <c r="F677" s="3" t="s">
        <v>102</v>
      </c>
      <c r="G677" s="4">
        <v>150</v>
      </c>
      <c r="H677" s="4">
        <v>150</v>
      </c>
      <c r="I677" s="4">
        <v>91</v>
      </c>
      <c r="J677" s="4" t="s">
        <v>8</v>
      </c>
      <c r="K677" s="4" t="s">
        <v>9</v>
      </c>
      <c r="L677" s="11"/>
      <c r="M677" s="3"/>
      <c r="N677">
        <v>4502681276</v>
      </c>
      <c r="O677" s="4">
        <v>140</v>
      </c>
      <c r="P677" s="1" t="s">
        <v>1563</v>
      </c>
      <c r="Q677" s="22">
        <v>46206</v>
      </c>
      <c r="R677"/>
      <c r="S677" s="11" t="s">
        <v>1608</v>
      </c>
    </row>
    <row r="678" spans="2:19" x14ac:dyDescent="0.25">
      <c r="B678" s="4">
        <v>30006605</v>
      </c>
      <c r="C678" s="1" t="s">
        <v>1115</v>
      </c>
      <c r="D678" s="4" t="s">
        <v>86</v>
      </c>
      <c r="E678" s="3"/>
      <c r="F678" s="3" t="s">
        <v>102</v>
      </c>
      <c r="G678" s="4">
        <v>17</v>
      </c>
      <c r="H678" s="4">
        <v>16</v>
      </c>
      <c r="I678" s="4">
        <v>117</v>
      </c>
      <c r="J678" s="4" t="s">
        <v>8</v>
      </c>
      <c r="K678" s="4" t="s">
        <v>14</v>
      </c>
      <c r="L678" s="11"/>
      <c r="M678" s="3"/>
      <c r="N678"/>
      <c r="O678" s="4"/>
      <c r="P678" s="1"/>
      <c r="Q678" s="22"/>
      <c r="R678"/>
      <c r="S678" s="11"/>
    </row>
    <row r="679" spans="2:19" x14ac:dyDescent="0.25">
      <c r="B679" s="4">
        <v>30006607</v>
      </c>
      <c r="C679" s="1" t="s">
        <v>1116</v>
      </c>
      <c r="D679" s="4" t="s">
        <v>86</v>
      </c>
      <c r="E679" s="3" t="s">
        <v>1225</v>
      </c>
      <c r="F679" s="3" t="s">
        <v>102</v>
      </c>
      <c r="G679" s="4">
        <v>3</v>
      </c>
      <c r="H679" s="4">
        <v>2</v>
      </c>
      <c r="I679" s="4">
        <v>9</v>
      </c>
      <c r="J679" s="4" t="s">
        <v>8</v>
      </c>
      <c r="K679" s="4" t="s">
        <v>14</v>
      </c>
      <c r="L679" s="11"/>
      <c r="M679" s="3"/>
      <c r="N679"/>
      <c r="O679" s="4"/>
      <c r="P679" s="1"/>
      <c r="Q679" s="22"/>
      <c r="R679"/>
      <c r="S679" s="11"/>
    </row>
    <row r="680" spans="2:19" x14ac:dyDescent="0.25">
      <c r="B680" s="4">
        <v>30006608</v>
      </c>
      <c r="C680" s="1" t="s">
        <v>1518</v>
      </c>
      <c r="D680" s="4" t="s">
        <v>86</v>
      </c>
      <c r="E680" s="3"/>
      <c r="F680" s="3" t="s">
        <v>68</v>
      </c>
      <c r="G680" s="4">
        <v>5</v>
      </c>
      <c r="H680" s="4">
        <v>3</v>
      </c>
      <c r="I680" s="4">
        <v>11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</row>
    <row r="681" spans="2:19" x14ac:dyDescent="0.25">
      <c r="B681" s="4">
        <v>30006610</v>
      </c>
      <c r="C681" s="1" t="s">
        <v>1117</v>
      </c>
      <c r="D681" s="4" t="s">
        <v>86</v>
      </c>
      <c r="E681" s="3"/>
      <c r="F681" s="3" t="s">
        <v>102</v>
      </c>
      <c r="G681" s="4">
        <v>26</v>
      </c>
      <c r="H681" s="4">
        <v>25</v>
      </c>
      <c r="I681" s="4">
        <v>56</v>
      </c>
      <c r="J681" s="4" t="s">
        <v>8</v>
      </c>
      <c r="K681" s="4" t="s">
        <v>14</v>
      </c>
      <c r="L681" s="11"/>
      <c r="M681" s="3"/>
      <c r="N681">
        <v>4502691241</v>
      </c>
      <c r="O681" s="4">
        <v>63</v>
      </c>
      <c r="P681" s="1" t="s">
        <v>1563</v>
      </c>
      <c r="Q681" s="22">
        <v>46234</v>
      </c>
      <c r="R681"/>
      <c r="S681" s="11"/>
    </row>
    <row r="682" spans="2:19" x14ac:dyDescent="0.25">
      <c r="B682" s="4">
        <v>30006612</v>
      </c>
      <c r="C682" s="1" t="s">
        <v>1118</v>
      </c>
      <c r="D682" s="4" t="s">
        <v>86</v>
      </c>
      <c r="E682" s="3"/>
      <c r="F682" s="3" t="s">
        <v>102</v>
      </c>
      <c r="G682" s="4">
        <v>3</v>
      </c>
      <c r="H682" s="4">
        <v>2</v>
      </c>
      <c r="I682" s="4">
        <v>3</v>
      </c>
      <c r="J682" s="4" t="s">
        <v>8</v>
      </c>
      <c r="K682" s="4" t="s">
        <v>7</v>
      </c>
      <c r="L682" s="11"/>
      <c r="M682" s="3"/>
      <c r="N682"/>
      <c r="O682" s="4"/>
      <c r="P682" s="1"/>
      <c r="Q682" s="22"/>
      <c r="R682"/>
      <c r="S682" s="11"/>
    </row>
    <row r="683" spans="2:19" x14ac:dyDescent="0.25">
      <c r="B683" s="4">
        <v>30006616</v>
      </c>
      <c r="C683" s="1" t="s">
        <v>1119</v>
      </c>
      <c r="D683" s="4" t="s">
        <v>86</v>
      </c>
      <c r="E683" s="3"/>
      <c r="F683" s="3" t="s">
        <v>102</v>
      </c>
      <c r="G683" s="4">
        <v>9</v>
      </c>
      <c r="H683" s="4">
        <v>8</v>
      </c>
      <c r="I683" s="4">
        <v>21</v>
      </c>
      <c r="J683" s="4" t="s">
        <v>8</v>
      </c>
      <c r="K683" s="4" t="s">
        <v>14</v>
      </c>
      <c r="L683" s="11"/>
      <c r="M683" s="3"/>
      <c r="N683">
        <v>4700162429</v>
      </c>
      <c r="O683" s="4">
        <v>8</v>
      </c>
      <c r="P683" s="1" t="s">
        <v>1506</v>
      </c>
      <c r="Q683" s="22">
        <v>46252</v>
      </c>
      <c r="R683"/>
      <c r="S683" s="11"/>
    </row>
    <row r="684" spans="2:19" x14ac:dyDescent="0.25">
      <c r="B684" s="4">
        <v>30006617</v>
      </c>
      <c r="C684" s="1" t="s">
        <v>1120</v>
      </c>
      <c r="D684" s="4" t="s">
        <v>86</v>
      </c>
      <c r="E684" s="3" t="s">
        <v>1225</v>
      </c>
      <c r="F684" s="3" t="s">
        <v>102</v>
      </c>
      <c r="G684" s="4">
        <v>21</v>
      </c>
      <c r="H684" s="4">
        <v>20</v>
      </c>
      <c r="I684" s="4">
        <v>36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 t="s">
        <v>1586</v>
      </c>
    </row>
    <row r="685" spans="2:19" x14ac:dyDescent="0.25">
      <c r="B685" s="4">
        <v>30006619</v>
      </c>
      <c r="C685" s="1" t="s">
        <v>1121</v>
      </c>
      <c r="D685" s="4" t="s">
        <v>86</v>
      </c>
      <c r="E685" s="3"/>
      <c r="F685" s="3" t="s">
        <v>102</v>
      </c>
      <c r="G685" s="4">
        <v>61</v>
      </c>
      <c r="H685" s="4">
        <v>60</v>
      </c>
      <c r="I685" s="4">
        <v>244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</row>
    <row r="686" spans="2:19" x14ac:dyDescent="0.25">
      <c r="B686" s="4">
        <v>30006621</v>
      </c>
      <c r="C686" s="1" t="s">
        <v>1122</v>
      </c>
      <c r="D686" s="4" t="s">
        <v>86</v>
      </c>
      <c r="E686" s="3" t="s">
        <v>1225</v>
      </c>
      <c r="F686" s="3" t="s">
        <v>102</v>
      </c>
      <c r="G686" s="4">
        <v>2</v>
      </c>
      <c r="H686" s="4">
        <v>2</v>
      </c>
      <c r="I686" s="4">
        <v>2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/>
    </row>
    <row r="687" spans="2:19" x14ac:dyDescent="0.25">
      <c r="B687" s="4">
        <v>30006623</v>
      </c>
      <c r="C687" s="1" t="s">
        <v>527</v>
      </c>
      <c r="D687" s="4" t="s">
        <v>86</v>
      </c>
      <c r="E687" s="3" t="s">
        <v>1225</v>
      </c>
      <c r="F687" s="3" t="s">
        <v>102</v>
      </c>
      <c r="G687" s="4">
        <v>120</v>
      </c>
      <c r="H687" s="4">
        <v>300</v>
      </c>
      <c r="I687" s="4">
        <v>328</v>
      </c>
      <c r="J687" s="4" t="s">
        <v>8</v>
      </c>
      <c r="K687" s="4" t="s">
        <v>7</v>
      </c>
      <c r="L687" s="11"/>
      <c r="M687" s="3"/>
      <c r="N687"/>
      <c r="O687" s="4"/>
      <c r="P687" s="1"/>
      <c r="Q687" s="22"/>
      <c r="R687"/>
      <c r="S687" s="11"/>
    </row>
    <row r="688" spans="2:19" x14ac:dyDescent="0.25">
      <c r="B688" s="4">
        <v>30006630</v>
      </c>
      <c r="C688" s="1" t="s">
        <v>1123</v>
      </c>
      <c r="D688" s="4" t="s">
        <v>86</v>
      </c>
      <c r="E688" s="3"/>
      <c r="F688" s="3" t="s">
        <v>102</v>
      </c>
      <c r="G688" s="4">
        <v>9</v>
      </c>
      <c r="H688" s="4">
        <v>8</v>
      </c>
      <c r="I688" s="4">
        <v>16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</row>
    <row r="689" spans="2:19" x14ac:dyDescent="0.25">
      <c r="B689" s="4">
        <v>30006632</v>
      </c>
      <c r="C689" s="1" t="s">
        <v>1124</v>
      </c>
      <c r="D689" s="4" t="s">
        <v>86</v>
      </c>
      <c r="E689" s="74" t="s">
        <v>1225</v>
      </c>
      <c r="F689" s="3" t="s">
        <v>102</v>
      </c>
      <c r="G689" s="4">
        <v>3</v>
      </c>
      <c r="H689" s="4">
        <v>2</v>
      </c>
      <c r="I689" s="4">
        <v>3</v>
      </c>
      <c r="J689" s="4" t="s">
        <v>8</v>
      </c>
      <c r="K689" s="4" t="s">
        <v>7</v>
      </c>
      <c r="L689" s="11"/>
      <c r="M689" s="3"/>
      <c r="N689">
        <v>4502694883</v>
      </c>
      <c r="O689" s="4">
        <v>2</v>
      </c>
      <c r="P689" s="1" t="s">
        <v>1563</v>
      </c>
      <c r="Q689" s="22">
        <v>46230</v>
      </c>
      <c r="R689"/>
      <c r="S689" s="11"/>
    </row>
    <row r="690" spans="2:19" x14ac:dyDescent="0.25">
      <c r="B690" s="4">
        <v>30006634</v>
      </c>
      <c r="C690" s="1" t="s">
        <v>1125</v>
      </c>
      <c r="D690" s="4" t="s">
        <v>86</v>
      </c>
      <c r="E690" s="3"/>
      <c r="F690" s="3" t="s">
        <v>102</v>
      </c>
      <c r="G690" s="4">
        <v>3</v>
      </c>
      <c r="H690" s="4">
        <v>2</v>
      </c>
      <c r="I690" s="4">
        <v>3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</row>
    <row r="691" spans="2:19" x14ac:dyDescent="0.25">
      <c r="B691" s="4">
        <v>30006637</v>
      </c>
      <c r="C691" s="1" t="s">
        <v>1126</v>
      </c>
      <c r="D691" s="4" t="s">
        <v>86</v>
      </c>
      <c r="E691" s="3"/>
      <c r="F691" s="3" t="s">
        <v>102</v>
      </c>
      <c r="G691" s="4">
        <v>5</v>
      </c>
      <c r="H691" s="4">
        <v>9</v>
      </c>
      <c r="I691" s="4">
        <v>452</v>
      </c>
      <c r="J691" s="4" t="s">
        <v>8</v>
      </c>
      <c r="K691" s="4" t="s">
        <v>14</v>
      </c>
      <c r="L691" s="11"/>
      <c r="M691" s="3"/>
      <c r="N691"/>
      <c r="O691" s="4"/>
      <c r="P691" s="1"/>
      <c r="Q691" s="22"/>
      <c r="R691"/>
      <c r="S691" s="11"/>
    </row>
    <row r="692" spans="2:19" x14ac:dyDescent="0.25">
      <c r="B692" s="4">
        <v>30006710</v>
      </c>
      <c r="C692" s="1" t="s">
        <v>1127</v>
      </c>
      <c r="D692" s="4" t="s">
        <v>86</v>
      </c>
      <c r="E692" s="3"/>
      <c r="F692" s="3" t="s">
        <v>102</v>
      </c>
      <c r="G692" s="4">
        <v>7</v>
      </c>
      <c r="H692" s="4">
        <v>6</v>
      </c>
      <c r="I692" s="4">
        <v>14</v>
      </c>
      <c r="J692" s="4" t="s">
        <v>8</v>
      </c>
      <c r="K692" s="4" t="s">
        <v>14</v>
      </c>
      <c r="L692" s="11"/>
      <c r="M692" s="3"/>
      <c r="N692"/>
      <c r="O692" s="4"/>
      <c r="P692" s="1"/>
      <c r="Q692" s="22"/>
      <c r="R692"/>
      <c r="S692" s="11"/>
    </row>
    <row r="693" spans="2:19" x14ac:dyDescent="0.25">
      <c r="B693" s="4">
        <v>30006711</v>
      </c>
      <c r="C693" s="1" t="s">
        <v>1128</v>
      </c>
      <c r="D693" s="4" t="s">
        <v>86</v>
      </c>
      <c r="E693" s="3"/>
      <c r="F693" s="3" t="s">
        <v>102</v>
      </c>
      <c r="G693" s="4">
        <v>5</v>
      </c>
      <c r="H693" s="4">
        <v>4</v>
      </c>
      <c r="I693" s="4">
        <v>15</v>
      </c>
      <c r="J693" s="4" t="s">
        <v>8</v>
      </c>
      <c r="K693" s="4" t="s">
        <v>14</v>
      </c>
      <c r="L693" s="11">
        <v>1002666229</v>
      </c>
      <c r="M693" s="3">
        <v>5</v>
      </c>
      <c r="N693"/>
      <c r="O693" s="4"/>
      <c r="P693" s="1"/>
      <c r="Q693" s="22"/>
      <c r="R693"/>
      <c r="S693" s="11"/>
    </row>
    <row r="694" spans="2:19" x14ac:dyDescent="0.25">
      <c r="B694" s="4">
        <v>30006712</v>
      </c>
      <c r="C694" s="1" t="s">
        <v>1129</v>
      </c>
      <c r="D694" s="4" t="s">
        <v>86</v>
      </c>
      <c r="E694" s="3"/>
      <c r="F694" s="3" t="s">
        <v>102</v>
      </c>
      <c r="G694" s="4">
        <v>9</v>
      </c>
      <c r="H694" s="4">
        <v>8</v>
      </c>
      <c r="I694" s="4">
        <v>29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</row>
    <row r="695" spans="2:19" x14ac:dyDescent="0.25">
      <c r="B695" s="4">
        <v>30006713</v>
      </c>
      <c r="C695" s="1" t="s">
        <v>1130</v>
      </c>
      <c r="D695" s="4" t="s">
        <v>86</v>
      </c>
      <c r="E695" s="3"/>
      <c r="F695" s="3" t="s">
        <v>102</v>
      </c>
      <c r="G695" s="4">
        <v>9</v>
      </c>
      <c r="H695" s="4">
        <v>8</v>
      </c>
      <c r="I695" s="4">
        <v>10</v>
      </c>
      <c r="J695" s="4" t="s">
        <v>8</v>
      </c>
      <c r="K695" s="4" t="s">
        <v>7</v>
      </c>
      <c r="L695" s="11">
        <v>1002667096</v>
      </c>
      <c r="M695" s="3">
        <v>8</v>
      </c>
      <c r="N695"/>
      <c r="O695" s="4"/>
      <c r="P695" s="1"/>
      <c r="Q695" s="22"/>
      <c r="R695"/>
      <c r="S695" s="11"/>
    </row>
    <row r="696" spans="2:19" x14ac:dyDescent="0.25">
      <c r="B696" s="4">
        <v>30006715</v>
      </c>
      <c r="C696" s="1" t="s">
        <v>1432</v>
      </c>
      <c r="D696" s="4" t="s">
        <v>86</v>
      </c>
      <c r="E696" s="3" t="s">
        <v>1225</v>
      </c>
      <c r="F696" s="3" t="s">
        <v>102</v>
      </c>
      <c r="G696" s="4">
        <v>21</v>
      </c>
      <c r="H696" s="4">
        <v>20</v>
      </c>
      <c r="I696" s="4">
        <v>20</v>
      </c>
      <c r="J696" s="4" t="s">
        <v>8</v>
      </c>
      <c r="K696" s="4" t="s">
        <v>9</v>
      </c>
      <c r="L696" s="11" t="s">
        <v>1668</v>
      </c>
      <c r="M696" s="3">
        <v>20</v>
      </c>
      <c r="N696"/>
      <c r="O696" s="4"/>
      <c r="P696" s="1"/>
      <c r="Q696" s="22"/>
      <c r="R696"/>
      <c r="S696" s="11"/>
    </row>
    <row r="697" spans="2:19" x14ac:dyDescent="0.25">
      <c r="B697" s="4">
        <v>30006716</v>
      </c>
      <c r="C697" s="1" t="s">
        <v>1132</v>
      </c>
      <c r="D697" s="4" t="s">
        <v>86</v>
      </c>
      <c r="E697" s="3"/>
      <c r="F697" s="3" t="s">
        <v>102</v>
      </c>
      <c r="G697" s="4">
        <v>17</v>
      </c>
      <c r="H697" s="4">
        <v>16</v>
      </c>
      <c r="I697" s="4">
        <v>11</v>
      </c>
      <c r="J697" s="4" t="s">
        <v>8</v>
      </c>
      <c r="K697" s="4" t="s">
        <v>9</v>
      </c>
      <c r="L697" s="11">
        <v>1002671085</v>
      </c>
      <c r="M697" s="3">
        <v>16</v>
      </c>
      <c r="N697"/>
      <c r="O697" s="4"/>
      <c r="P697" s="1"/>
      <c r="Q697" s="22"/>
      <c r="R697"/>
      <c r="S697" s="11"/>
    </row>
    <row r="698" spans="2:19" x14ac:dyDescent="0.25">
      <c r="B698" s="4">
        <v>30006717</v>
      </c>
      <c r="C698" s="1" t="s">
        <v>1133</v>
      </c>
      <c r="D698" s="4" t="s">
        <v>86</v>
      </c>
      <c r="E698" s="3" t="s">
        <v>1225</v>
      </c>
      <c r="F698" s="3" t="s">
        <v>102</v>
      </c>
      <c r="G698" s="4">
        <v>21</v>
      </c>
      <c r="H698" s="4">
        <v>20</v>
      </c>
      <c r="I698" s="4">
        <v>17</v>
      </c>
      <c r="J698" s="4" t="s">
        <v>8</v>
      </c>
      <c r="K698" s="4" t="s">
        <v>9</v>
      </c>
      <c r="L698" s="11">
        <v>1002671085</v>
      </c>
      <c r="M698" s="3">
        <v>20</v>
      </c>
      <c r="N698"/>
      <c r="O698" s="4"/>
      <c r="P698" s="1"/>
      <c r="Q698" s="22"/>
      <c r="R698"/>
      <c r="S698" s="11"/>
    </row>
    <row r="699" spans="2:19" x14ac:dyDescent="0.25">
      <c r="B699" s="4">
        <v>30006723</v>
      </c>
      <c r="C699" s="1" t="s">
        <v>1134</v>
      </c>
      <c r="D699" s="4" t="s">
        <v>86</v>
      </c>
      <c r="E699" s="3" t="s">
        <v>1225</v>
      </c>
      <c r="F699" s="3" t="s">
        <v>102</v>
      </c>
      <c r="G699" s="4">
        <v>2</v>
      </c>
      <c r="H699" s="4">
        <v>1</v>
      </c>
      <c r="I699" s="4">
        <v>3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</row>
    <row r="700" spans="2:19" x14ac:dyDescent="0.25">
      <c r="B700" s="4">
        <v>30006724</v>
      </c>
      <c r="C700" s="1" t="s">
        <v>528</v>
      </c>
      <c r="D700" s="4" t="s">
        <v>86</v>
      </c>
      <c r="E700" s="3" t="s">
        <v>1225</v>
      </c>
      <c r="F700" s="3" t="s">
        <v>102</v>
      </c>
      <c r="G700" s="4">
        <v>21</v>
      </c>
      <c r="H700" s="4">
        <v>20</v>
      </c>
      <c r="I700" s="4">
        <v>14</v>
      </c>
      <c r="J700" s="4" t="s">
        <v>8</v>
      </c>
      <c r="K700" s="4" t="s">
        <v>9</v>
      </c>
      <c r="L700" s="11">
        <v>1002644386</v>
      </c>
      <c r="M700" s="3"/>
      <c r="N700"/>
      <c r="O700" s="4"/>
      <c r="P700" s="1"/>
      <c r="Q700" s="22"/>
      <c r="R700"/>
      <c r="S700" s="11"/>
    </row>
    <row r="701" spans="2:19" x14ac:dyDescent="0.25">
      <c r="B701" s="4">
        <v>30006725</v>
      </c>
      <c r="C701" s="1" t="s">
        <v>1135</v>
      </c>
      <c r="D701" s="4" t="s">
        <v>86</v>
      </c>
      <c r="E701" s="3"/>
      <c r="F701" s="3" t="s">
        <v>102</v>
      </c>
      <c r="G701" s="4">
        <v>21</v>
      </c>
      <c r="H701" s="4">
        <v>20</v>
      </c>
      <c r="I701" s="4">
        <v>37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</row>
    <row r="702" spans="2:19" x14ac:dyDescent="0.25">
      <c r="B702" s="4">
        <v>30006726</v>
      </c>
      <c r="C702" s="1" t="s">
        <v>1136</v>
      </c>
      <c r="D702" s="4" t="s">
        <v>86</v>
      </c>
      <c r="E702" s="3"/>
      <c r="F702" s="3" t="s">
        <v>102</v>
      </c>
      <c r="G702" s="4">
        <v>7</v>
      </c>
      <c r="H702" s="4">
        <v>6</v>
      </c>
      <c r="I702" s="4">
        <v>17</v>
      </c>
      <c r="J702" s="4" t="s">
        <v>8</v>
      </c>
      <c r="K702" s="4" t="s">
        <v>14</v>
      </c>
      <c r="L702" s="11"/>
      <c r="M702" s="3"/>
      <c r="N702"/>
      <c r="O702" s="4"/>
      <c r="P702" s="1"/>
      <c r="Q702" s="22"/>
      <c r="R702"/>
      <c r="S702" s="11"/>
    </row>
    <row r="703" spans="2:19" x14ac:dyDescent="0.25">
      <c r="B703" s="4">
        <v>30006727</v>
      </c>
      <c r="C703" s="1" t="s">
        <v>1137</v>
      </c>
      <c r="D703" s="4" t="s">
        <v>86</v>
      </c>
      <c r="E703" s="3"/>
      <c r="F703" s="3" t="s">
        <v>102</v>
      </c>
      <c r="G703" s="4">
        <v>9</v>
      </c>
      <c r="H703" s="4">
        <v>8</v>
      </c>
      <c r="I703" s="4">
        <v>29</v>
      </c>
      <c r="J703" s="4" t="s">
        <v>8</v>
      </c>
      <c r="K703" s="4" t="s">
        <v>14</v>
      </c>
      <c r="L703" s="11"/>
      <c r="M703" s="3"/>
      <c r="N703"/>
      <c r="O703" s="4"/>
      <c r="P703" s="1"/>
      <c r="Q703" s="22"/>
      <c r="R703"/>
      <c r="S703" s="11"/>
    </row>
    <row r="704" spans="2:19" x14ac:dyDescent="0.25">
      <c r="B704" s="4">
        <v>30006735</v>
      </c>
      <c r="C704" s="1" t="s">
        <v>1138</v>
      </c>
      <c r="D704" s="4" t="s">
        <v>86</v>
      </c>
      <c r="E704" s="3"/>
      <c r="F704" s="3" t="s">
        <v>102</v>
      </c>
      <c r="G704" s="4">
        <v>3</v>
      </c>
      <c r="H704" s="4">
        <v>2</v>
      </c>
      <c r="I704" s="4">
        <v>3</v>
      </c>
      <c r="J704" s="4" t="s">
        <v>8</v>
      </c>
      <c r="K704" s="4" t="s">
        <v>7</v>
      </c>
      <c r="L704" s="11"/>
      <c r="M704" s="3"/>
      <c r="N704"/>
      <c r="O704" s="4"/>
      <c r="P704" s="1"/>
      <c r="Q704" s="22"/>
      <c r="R704"/>
      <c r="S704" s="11"/>
    </row>
    <row r="705" spans="2:19" x14ac:dyDescent="0.25">
      <c r="B705" s="4">
        <v>30006736</v>
      </c>
      <c r="C705" s="1" t="s">
        <v>1139</v>
      </c>
      <c r="D705" s="4" t="s">
        <v>86</v>
      </c>
      <c r="E705" s="3" t="s">
        <v>1225</v>
      </c>
      <c r="F705" s="3" t="s">
        <v>102</v>
      </c>
      <c r="G705" s="4">
        <v>7</v>
      </c>
      <c r="H705" s="4">
        <v>6</v>
      </c>
      <c r="I705" s="4">
        <v>7</v>
      </c>
      <c r="J705" s="4" t="s">
        <v>8</v>
      </c>
      <c r="K705" s="4" t="s">
        <v>7</v>
      </c>
      <c r="L705" s="11"/>
      <c r="M705" s="3"/>
      <c r="N705"/>
      <c r="O705" s="4"/>
      <c r="P705" s="1"/>
      <c r="Q705" s="22"/>
      <c r="R705"/>
      <c r="S705" s="11"/>
    </row>
    <row r="706" spans="2:19" x14ac:dyDescent="0.25">
      <c r="B706" s="4">
        <v>30006739</v>
      </c>
      <c r="C706" s="1" t="s">
        <v>1066</v>
      </c>
      <c r="D706" s="4" t="s">
        <v>86</v>
      </c>
      <c r="E706" s="3" t="s">
        <v>1225</v>
      </c>
      <c r="F706" s="3" t="s">
        <v>102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</row>
    <row r="707" spans="2:19" x14ac:dyDescent="0.25">
      <c r="B707" s="4">
        <v>30007130</v>
      </c>
      <c r="C707" s="1" t="s">
        <v>1058</v>
      </c>
      <c r="D707" s="4" t="s">
        <v>86</v>
      </c>
      <c r="E707" s="3"/>
      <c r="F707" s="3" t="s">
        <v>68</v>
      </c>
      <c r="G707" s="4">
        <v>3</v>
      </c>
      <c r="H707" s="4">
        <v>2</v>
      </c>
      <c r="I707" s="4">
        <v>9</v>
      </c>
      <c r="J707" s="4" t="s">
        <v>8</v>
      </c>
      <c r="K707" s="4" t="s">
        <v>14</v>
      </c>
      <c r="L707" s="11"/>
      <c r="M707" s="3"/>
      <c r="N707"/>
      <c r="O707" s="4"/>
      <c r="P707" s="1"/>
      <c r="Q707" s="22"/>
      <c r="R707"/>
      <c r="S707" s="11"/>
    </row>
    <row r="708" spans="2:19" x14ac:dyDescent="0.25">
      <c r="B708" s="4">
        <v>30007152</v>
      </c>
      <c r="C708" s="1" t="s">
        <v>1141</v>
      </c>
      <c r="D708" s="4" t="s">
        <v>86</v>
      </c>
      <c r="E708" s="3" t="s">
        <v>1225</v>
      </c>
      <c r="F708" s="3" t="s">
        <v>102</v>
      </c>
      <c r="G708" s="4">
        <v>3</v>
      </c>
      <c r="H708" s="4">
        <v>2</v>
      </c>
      <c r="I708" s="4">
        <v>2</v>
      </c>
      <c r="J708" s="4" t="s">
        <v>8</v>
      </c>
      <c r="K708" s="4" t="s">
        <v>9</v>
      </c>
      <c r="L708" s="11"/>
      <c r="M708" s="3"/>
      <c r="N708">
        <v>4502694446</v>
      </c>
      <c r="O708" s="4">
        <v>2</v>
      </c>
      <c r="P708" s="1" t="s">
        <v>1563</v>
      </c>
      <c r="Q708" s="22">
        <v>46241</v>
      </c>
      <c r="R708"/>
      <c r="S708" s="11"/>
    </row>
    <row r="709" spans="2:19" x14ac:dyDescent="0.25">
      <c r="B709" s="4">
        <v>30007327</v>
      </c>
      <c r="C709" s="1" t="s">
        <v>794</v>
      </c>
      <c r="D709" s="4" t="s">
        <v>86</v>
      </c>
      <c r="E709" s="3" t="s">
        <v>1225</v>
      </c>
      <c r="F709" s="3" t="s">
        <v>102</v>
      </c>
      <c r="G709" s="4">
        <v>3</v>
      </c>
      <c r="H709" s="4">
        <v>2</v>
      </c>
      <c r="I709" s="4">
        <v>4</v>
      </c>
      <c r="J709" s="4" t="s">
        <v>8</v>
      </c>
      <c r="K709" s="4" t="s">
        <v>7</v>
      </c>
      <c r="L709" s="11"/>
      <c r="M709" s="3"/>
      <c r="N709"/>
      <c r="O709" s="4"/>
      <c r="P709" s="1"/>
      <c r="Q709" s="22"/>
      <c r="R709"/>
      <c r="S709" s="11"/>
    </row>
    <row r="710" spans="2:19" x14ac:dyDescent="0.25">
      <c r="B710" s="4">
        <v>30007328</v>
      </c>
      <c r="C710" s="1" t="s">
        <v>795</v>
      </c>
      <c r="D710" s="4" t="s">
        <v>86</v>
      </c>
      <c r="E710" s="3" t="s">
        <v>1225</v>
      </c>
      <c r="F710" s="3" t="s">
        <v>102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</row>
    <row r="711" spans="2:19" x14ac:dyDescent="0.25">
      <c r="B711" s="4">
        <v>30007329</v>
      </c>
      <c r="C711" s="1" t="s">
        <v>796</v>
      </c>
      <c r="D711" s="4" t="s">
        <v>86</v>
      </c>
      <c r="E711" s="3"/>
      <c r="F711" s="3" t="s">
        <v>102</v>
      </c>
      <c r="G711" s="4">
        <v>3</v>
      </c>
      <c r="H711" s="4">
        <v>2</v>
      </c>
      <c r="I711" s="4">
        <v>3</v>
      </c>
      <c r="J711" s="4" t="s">
        <v>8</v>
      </c>
      <c r="K711" s="4" t="s">
        <v>7</v>
      </c>
      <c r="L711" s="69"/>
      <c r="M711" s="3"/>
      <c r="N711"/>
      <c r="O711" s="4"/>
      <c r="P711" s="1"/>
      <c r="Q711" s="22"/>
      <c r="R711"/>
      <c r="S711" s="11"/>
    </row>
    <row r="712" spans="2:19" x14ac:dyDescent="0.25">
      <c r="B712" s="4">
        <v>30007330</v>
      </c>
      <c r="C712" s="1" t="s">
        <v>797</v>
      </c>
      <c r="D712" s="4" t="s">
        <v>86</v>
      </c>
      <c r="E712" s="3" t="s">
        <v>1225</v>
      </c>
      <c r="F712" s="3" t="s">
        <v>102</v>
      </c>
      <c r="G712" s="4">
        <v>3</v>
      </c>
      <c r="H712" s="4">
        <v>2</v>
      </c>
      <c r="I712" s="4">
        <v>4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</row>
    <row r="713" spans="2:19" x14ac:dyDescent="0.25">
      <c r="B713" s="4">
        <v>30007331</v>
      </c>
      <c r="C713" s="1" t="s">
        <v>798</v>
      </c>
      <c r="D713" s="4" t="s">
        <v>86</v>
      </c>
      <c r="E713" s="3" t="s">
        <v>1225</v>
      </c>
      <c r="F713" s="3" t="s">
        <v>102</v>
      </c>
      <c r="G713" s="4">
        <v>2</v>
      </c>
      <c r="H713" s="4">
        <v>2</v>
      </c>
      <c r="I713" s="4">
        <v>3</v>
      </c>
      <c r="J713" s="4" t="s">
        <v>8</v>
      </c>
      <c r="K713" s="4" t="s">
        <v>7</v>
      </c>
      <c r="L713" s="11">
        <v>1002671083</v>
      </c>
      <c r="M713" s="3">
        <v>2</v>
      </c>
      <c r="N713"/>
      <c r="O713" s="4"/>
      <c r="P713" s="1"/>
      <c r="Q713" s="22"/>
      <c r="R713"/>
      <c r="S713" s="11"/>
    </row>
    <row r="714" spans="2:19" x14ac:dyDescent="0.25">
      <c r="B714" s="4">
        <v>30007332</v>
      </c>
      <c r="C714" s="1" t="s">
        <v>799</v>
      </c>
      <c r="D714" s="4" t="s">
        <v>86</v>
      </c>
      <c r="E714" s="3" t="s">
        <v>1225</v>
      </c>
      <c r="F714" s="3" t="s">
        <v>102</v>
      </c>
      <c r="G714" s="4">
        <v>2</v>
      </c>
      <c r="H714" s="4">
        <v>2</v>
      </c>
      <c r="I714" s="4">
        <v>3</v>
      </c>
      <c r="J714" s="4" t="s">
        <v>8</v>
      </c>
      <c r="K714" s="4" t="s">
        <v>7</v>
      </c>
      <c r="L714" s="11">
        <v>1002671083</v>
      </c>
      <c r="M714" s="3">
        <v>2</v>
      </c>
      <c r="N714"/>
      <c r="O714" s="4"/>
      <c r="P714" s="1"/>
      <c r="Q714" s="22"/>
      <c r="R714"/>
      <c r="S714" s="11"/>
    </row>
    <row r="715" spans="2:19" x14ac:dyDescent="0.25">
      <c r="B715" s="4">
        <v>30007362</v>
      </c>
      <c r="C715" s="1" t="s">
        <v>800</v>
      </c>
      <c r="D715" s="4" t="s">
        <v>86</v>
      </c>
      <c r="E715" s="3"/>
      <c r="F715" s="3" t="s">
        <v>102</v>
      </c>
      <c r="G715" s="4">
        <v>2</v>
      </c>
      <c r="H715" s="4">
        <v>2</v>
      </c>
      <c r="I715" s="4">
        <v>4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</row>
    <row r="716" spans="2:19" x14ac:dyDescent="0.25">
      <c r="B716" s="4">
        <v>30007363</v>
      </c>
      <c r="C716" s="1" t="s">
        <v>801</v>
      </c>
      <c r="D716" s="4" t="s">
        <v>86</v>
      </c>
      <c r="E716" s="3" t="s">
        <v>1225</v>
      </c>
      <c r="F716" s="3" t="s">
        <v>102</v>
      </c>
      <c r="G716" s="4">
        <v>3</v>
      </c>
      <c r="H716" s="4">
        <v>2</v>
      </c>
      <c r="I716" s="4">
        <v>4</v>
      </c>
      <c r="J716" s="4" t="s">
        <v>8</v>
      </c>
      <c r="K716" s="4" t="s">
        <v>7</v>
      </c>
      <c r="L716" s="11">
        <v>1002671085</v>
      </c>
      <c r="M716" s="3">
        <v>2</v>
      </c>
      <c r="N716"/>
      <c r="O716" s="4"/>
      <c r="P716" s="1"/>
      <c r="Q716" s="22"/>
      <c r="R716"/>
      <c r="S716" s="11"/>
    </row>
    <row r="717" spans="2:19" x14ac:dyDescent="0.25">
      <c r="B717" s="4">
        <v>30007365</v>
      </c>
      <c r="C717" s="1" t="s">
        <v>802</v>
      </c>
      <c r="D717" s="4" t="s">
        <v>86</v>
      </c>
      <c r="E717" s="3"/>
      <c r="F717" s="3" t="s">
        <v>102</v>
      </c>
      <c r="G717" s="4">
        <v>3</v>
      </c>
      <c r="H717" s="4">
        <v>2</v>
      </c>
      <c r="I717" s="4">
        <v>4</v>
      </c>
      <c r="J717" s="4" t="s">
        <v>8</v>
      </c>
      <c r="K717" s="4" t="s">
        <v>7</v>
      </c>
      <c r="L717" s="11">
        <v>1002671085</v>
      </c>
      <c r="M717" s="3">
        <v>2</v>
      </c>
      <c r="N717"/>
      <c r="O717" s="4"/>
      <c r="P717" s="1"/>
      <c r="Q717" s="22"/>
      <c r="R717"/>
      <c r="S717" s="11"/>
    </row>
    <row r="718" spans="2:19" x14ac:dyDescent="0.25">
      <c r="B718" s="4">
        <v>30007367</v>
      </c>
      <c r="C718" s="1" t="s">
        <v>803</v>
      </c>
      <c r="D718" s="4" t="s">
        <v>86</v>
      </c>
      <c r="E718" s="3" t="s">
        <v>1225</v>
      </c>
      <c r="F718" s="3" t="s">
        <v>102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</row>
    <row r="719" spans="2:19" x14ac:dyDescent="0.25">
      <c r="B719" s="4">
        <v>30007368</v>
      </c>
      <c r="C719" s="1" t="s">
        <v>804</v>
      </c>
      <c r="D719" s="4" t="s">
        <v>86</v>
      </c>
      <c r="E719" s="3" t="s">
        <v>1225</v>
      </c>
      <c r="F719" s="3" t="s">
        <v>102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</row>
    <row r="720" spans="2:19" x14ac:dyDescent="0.25">
      <c r="B720" s="4">
        <v>30007369</v>
      </c>
      <c r="C720" s="1" t="s">
        <v>872</v>
      </c>
      <c r="D720" s="4" t="s">
        <v>86</v>
      </c>
      <c r="E720" s="3" t="s">
        <v>1225</v>
      </c>
      <c r="F720" s="3" t="s">
        <v>102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</row>
    <row r="721" spans="2:19" x14ac:dyDescent="0.25">
      <c r="B721" s="4">
        <v>30007370</v>
      </c>
      <c r="C721" s="1" t="s">
        <v>805</v>
      </c>
      <c r="D721" s="4" t="s">
        <v>86</v>
      </c>
      <c r="E721" s="3"/>
      <c r="F721" s="3" t="s">
        <v>102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</row>
    <row r="722" spans="2:19" x14ac:dyDescent="0.25">
      <c r="B722" s="4">
        <v>30007372</v>
      </c>
      <c r="C722" s="1" t="s">
        <v>806</v>
      </c>
      <c r="D722" s="4" t="s">
        <v>86</v>
      </c>
      <c r="E722" s="3" t="s">
        <v>1225</v>
      </c>
      <c r="F722" s="3" t="s">
        <v>102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</row>
    <row r="723" spans="2:19" x14ac:dyDescent="0.25">
      <c r="B723" s="4">
        <v>30007374</v>
      </c>
      <c r="C723" s="1" t="s">
        <v>807</v>
      </c>
      <c r="D723" s="4" t="s">
        <v>86</v>
      </c>
      <c r="E723" s="3" t="s">
        <v>1225</v>
      </c>
      <c r="F723" s="3" t="s">
        <v>102</v>
      </c>
      <c r="G723" s="4">
        <v>3</v>
      </c>
      <c r="H723" s="4">
        <v>2</v>
      </c>
      <c r="I723" s="4">
        <v>3</v>
      </c>
      <c r="J723" s="4" t="s">
        <v>8</v>
      </c>
      <c r="K723" s="4" t="s">
        <v>7</v>
      </c>
      <c r="L723" s="11"/>
      <c r="M723" s="3"/>
      <c r="N723">
        <v>4700162308</v>
      </c>
      <c r="O723" s="4">
        <v>2</v>
      </c>
      <c r="P723" s="1" t="s">
        <v>1657</v>
      </c>
      <c r="Q723" s="22">
        <v>46293</v>
      </c>
      <c r="R723"/>
      <c r="S723" s="11" t="s">
        <v>1587</v>
      </c>
    </row>
    <row r="724" spans="2:19" x14ac:dyDescent="0.25">
      <c r="B724" s="4">
        <v>30007375</v>
      </c>
      <c r="C724" s="1" t="s">
        <v>808</v>
      </c>
      <c r="D724" s="4" t="s">
        <v>86</v>
      </c>
      <c r="E724" s="3" t="s">
        <v>1225</v>
      </c>
      <c r="F724" s="3" t="s">
        <v>102</v>
      </c>
      <c r="G724" s="4">
        <v>3</v>
      </c>
      <c r="H724" s="4">
        <v>2</v>
      </c>
      <c r="I724" s="4">
        <v>3</v>
      </c>
      <c r="J724" s="4" t="s">
        <v>8</v>
      </c>
      <c r="K724" s="4" t="s">
        <v>7</v>
      </c>
      <c r="L724" s="11"/>
      <c r="M724" s="3"/>
      <c r="N724">
        <v>4700162308</v>
      </c>
      <c r="O724" s="4">
        <v>2</v>
      </c>
      <c r="P724" s="1" t="s">
        <v>1657</v>
      </c>
      <c r="Q724" s="22">
        <v>46293</v>
      </c>
      <c r="R724"/>
      <c r="S724" s="11" t="s">
        <v>1587</v>
      </c>
    </row>
    <row r="725" spans="2:19" x14ac:dyDescent="0.25">
      <c r="B725" s="4">
        <v>30007378</v>
      </c>
      <c r="C725" s="1" t="s">
        <v>809</v>
      </c>
      <c r="D725" s="4" t="s">
        <v>86</v>
      </c>
      <c r="E725" s="3" t="s">
        <v>1225</v>
      </c>
      <c r="F725" s="3" t="s">
        <v>102</v>
      </c>
      <c r="G725" s="4">
        <v>3</v>
      </c>
      <c r="H725" s="4">
        <v>2</v>
      </c>
      <c r="I725" s="4">
        <v>4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/>
    </row>
    <row r="726" spans="2:19" x14ac:dyDescent="0.25">
      <c r="B726" s="4">
        <v>30007381</v>
      </c>
      <c r="C726" s="1" t="s">
        <v>811</v>
      </c>
      <c r="D726" s="4" t="s">
        <v>86</v>
      </c>
      <c r="E726" s="3"/>
      <c r="F726" s="3" t="s">
        <v>102</v>
      </c>
      <c r="G726" s="4">
        <v>2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/>
    </row>
    <row r="727" spans="2:19" x14ac:dyDescent="0.25">
      <c r="B727" s="4">
        <v>30007382</v>
      </c>
      <c r="C727" s="1" t="s">
        <v>1067</v>
      </c>
      <c r="D727" s="4" t="s">
        <v>86</v>
      </c>
      <c r="E727" s="3"/>
      <c r="F727" s="3" t="s">
        <v>102</v>
      </c>
      <c r="G727" s="4">
        <v>5</v>
      </c>
      <c r="H727" s="4">
        <v>4</v>
      </c>
      <c r="I727" s="4">
        <v>12</v>
      </c>
      <c r="J727" s="4" t="s">
        <v>8</v>
      </c>
      <c r="K727" s="4" t="s">
        <v>14</v>
      </c>
      <c r="L727" s="11">
        <v>1002667096</v>
      </c>
      <c r="M727" s="3">
        <v>4</v>
      </c>
      <c r="N727"/>
      <c r="O727" s="4"/>
      <c r="P727" s="1"/>
      <c r="Q727" s="22"/>
      <c r="R727"/>
      <c r="S727" s="11"/>
    </row>
    <row r="728" spans="2:19" x14ac:dyDescent="0.25">
      <c r="B728" s="4">
        <v>30007383</v>
      </c>
      <c r="C728" s="1" t="s">
        <v>812</v>
      </c>
      <c r="D728" s="4" t="s">
        <v>86</v>
      </c>
      <c r="E728" s="3" t="s">
        <v>1225</v>
      </c>
      <c r="F728" s="3" t="s">
        <v>102</v>
      </c>
      <c r="G728" s="4">
        <v>3</v>
      </c>
      <c r="H728" s="4">
        <v>2</v>
      </c>
      <c r="I728" s="4">
        <v>6</v>
      </c>
      <c r="J728" s="4" t="s">
        <v>8</v>
      </c>
      <c r="K728" s="4" t="s">
        <v>14</v>
      </c>
      <c r="L728" s="11"/>
      <c r="M728" s="3"/>
      <c r="N728"/>
      <c r="O728" s="4"/>
      <c r="P728" s="1"/>
      <c r="Q728" s="22"/>
      <c r="R728"/>
      <c r="S728" s="11"/>
    </row>
    <row r="729" spans="2:19" x14ac:dyDescent="0.25">
      <c r="B729" s="4">
        <v>30007385</v>
      </c>
      <c r="C729" s="1" t="s">
        <v>813</v>
      </c>
      <c r="D729" s="4" t="s">
        <v>86</v>
      </c>
      <c r="E729" s="3"/>
      <c r="F729" s="3" t="s">
        <v>102</v>
      </c>
      <c r="G729" s="4">
        <v>5</v>
      </c>
      <c r="H729" s="4">
        <v>4</v>
      </c>
      <c r="I729" s="4">
        <v>23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</row>
    <row r="730" spans="2:19" x14ac:dyDescent="0.25">
      <c r="B730" s="4">
        <v>30007387</v>
      </c>
      <c r="C730" s="1" t="s">
        <v>815</v>
      </c>
      <c r="D730" s="4" t="s">
        <v>86</v>
      </c>
      <c r="E730" s="3"/>
      <c r="F730" s="3" t="s">
        <v>102</v>
      </c>
      <c r="G730" s="4">
        <v>3</v>
      </c>
      <c r="H730" s="4">
        <v>2</v>
      </c>
      <c r="I730" s="4">
        <v>0</v>
      </c>
      <c r="J730" s="4" t="s">
        <v>8</v>
      </c>
      <c r="K730" s="4" t="s">
        <v>13</v>
      </c>
      <c r="L730" s="11">
        <v>1002674290</v>
      </c>
      <c r="M730" s="3">
        <v>2</v>
      </c>
      <c r="N730"/>
      <c r="O730" s="4"/>
      <c r="P730" s="1"/>
      <c r="Q730" s="22"/>
      <c r="R730"/>
      <c r="S730" s="11" t="s">
        <v>1653</v>
      </c>
    </row>
    <row r="731" spans="2:19" x14ac:dyDescent="0.25">
      <c r="B731" s="4">
        <v>30007388</v>
      </c>
      <c r="C731" s="1" t="s">
        <v>816</v>
      </c>
      <c r="D731" s="4" t="s">
        <v>86</v>
      </c>
      <c r="E731" s="3" t="s">
        <v>1225</v>
      </c>
      <c r="F731" s="3" t="s">
        <v>102</v>
      </c>
      <c r="G731" s="4">
        <v>3</v>
      </c>
      <c r="H731" s="4">
        <v>2</v>
      </c>
      <c r="I731" s="4">
        <v>4</v>
      </c>
      <c r="J731" s="4" t="s">
        <v>8</v>
      </c>
      <c r="K731" s="4" t="s">
        <v>7</v>
      </c>
      <c r="L731" s="11">
        <v>1002671085</v>
      </c>
      <c r="M731" s="3">
        <v>2</v>
      </c>
      <c r="N731"/>
      <c r="O731" s="4"/>
      <c r="P731" s="1"/>
      <c r="Q731" s="22"/>
      <c r="R731"/>
      <c r="S731" s="11" t="s">
        <v>1652</v>
      </c>
    </row>
    <row r="732" spans="2:19" x14ac:dyDescent="0.25">
      <c r="B732" s="4">
        <v>30007389</v>
      </c>
      <c r="C732" s="1" t="s">
        <v>817</v>
      </c>
      <c r="D732" s="4" t="s">
        <v>86</v>
      </c>
      <c r="E732" s="3" t="s">
        <v>1225</v>
      </c>
      <c r="F732" s="3" t="s">
        <v>102</v>
      </c>
      <c r="G732" s="4">
        <v>4</v>
      </c>
      <c r="H732" s="4">
        <v>3</v>
      </c>
      <c r="I732" s="4">
        <v>9</v>
      </c>
      <c r="J732" s="4" t="s">
        <v>8</v>
      </c>
      <c r="K732" s="4" t="s">
        <v>14</v>
      </c>
      <c r="L732" s="11"/>
      <c r="M732" s="3"/>
      <c r="N732">
        <v>4700162308</v>
      </c>
      <c r="O732" s="4">
        <v>7</v>
      </c>
      <c r="P732" s="1" t="s">
        <v>1657</v>
      </c>
      <c r="Q732" s="22">
        <v>46293</v>
      </c>
      <c r="R732"/>
      <c r="S732" s="11"/>
    </row>
    <row r="733" spans="2:19" x14ac:dyDescent="0.25">
      <c r="B733" s="4">
        <v>30007390</v>
      </c>
      <c r="C733" s="1" t="s">
        <v>818</v>
      </c>
      <c r="D733" s="4" t="s">
        <v>86</v>
      </c>
      <c r="E733" s="3" t="s">
        <v>1225</v>
      </c>
      <c r="F733" s="3" t="s">
        <v>102</v>
      </c>
      <c r="G733" s="4">
        <v>3</v>
      </c>
      <c r="H733" s="4">
        <v>2</v>
      </c>
      <c r="I733" s="4">
        <v>0</v>
      </c>
      <c r="J733" s="4" t="s">
        <v>8</v>
      </c>
      <c r="K733" s="4" t="s">
        <v>13</v>
      </c>
      <c r="L733" s="11" t="s">
        <v>1623</v>
      </c>
      <c r="M733" s="3"/>
      <c r="N733"/>
      <c r="O733" s="4"/>
      <c r="P733" s="1"/>
      <c r="Q733" s="22"/>
      <c r="R733"/>
      <c r="S733" s="11" t="s">
        <v>1587</v>
      </c>
    </row>
    <row r="734" spans="2:19" x14ac:dyDescent="0.25">
      <c r="B734" s="4">
        <v>30007391</v>
      </c>
      <c r="C734" s="1" t="s">
        <v>819</v>
      </c>
      <c r="D734" s="4" t="s">
        <v>86</v>
      </c>
      <c r="E734" s="3" t="s">
        <v>1225</v>
      </c>
      <c r="F734" s="3" t="s">
        <v>102</v>
      </c>
      <c r="G734" s="4">
        <v>3</v>
      </c>
      <c r="H734" s="4">
        <v>2</v>
      </c>
      <c r="I734" s="4">
        <v>1</v>
      </c>
      <c r="J734" s="4" t="s">
        <v>8</v>
      </c>
      <c r="K734" s="4" t="s">
        <v>9</v>
      </c>
      <c r="L734" s="11" t="s">
        <v>1623</v>
      </c>
      <c r="M734" s="3"/>
      <c r="N734"/>
      <c r="O734" s="4"/>
      <c r="P734" s="1"/>
      <c r="Q734" s="22"/>
      <c r="R734"/>
      <c r="S734" s="11" t="s">
        <v>1587</v>
      </c>
    </row>
    <row r="735" spans="2:19" x14ac:dyDescent="0.25">
      <c r="B735" s="4">
        <v>30007394</v>
      </c>
      <c r="C735" s="1" t="s">
        <v>820</v>
      </c>
      <c r="D735" s="4" t="s">
        <v>86</v>
      </c>
      <c r="E735" s="3"/>
      <c r="F735" s="3" t="s">
        <v>102</v>
      </c>
      <c r="G735" s="4">
        <v>3</v>
      </c>
      <c r="H735" s="4">
        <v>2</v>
      </c>
      <c r="I735" s="4">
        <v>4</v>
      </c>
      <c r="J735" s="4" t="s">
        <v>8</v>
      </c>
      <c r="K735" s="4" t="s">
        <v>7</v>
      </c>
      <c r="L735" s="11"/>
      <c r="M735" s="3"/>
      <c r="N735"/>
      <c r="O735" s="4"/>
      <c r="P735" s="1"/>
      <c r="Q735" s="22"/>
      <c r="R735"/>
      <c r="S735" s="11"/>
    </row>
    <row r="736" spans="2:19" x14ac:dyDescent="0.25">
      <c r="B736" s="4">
        <v>30007396</v>
      </c>
      <c r="C736" s="1" t="s">
        <v>873</v>
      </c>
      <c r="D736" s="4" t="s">
        <v>86</v>
      </c>
      <c r="E736" s="3" t="s">
        <v>1225</v>
      </c>
      <c r="F736" s="3" t="s">
        <v>102</v>
      </c>
      <c r="G736" s="4">
        <v>2</v>
      </c>
      <c r="H736" s="4">
        <v>2</v>
      </c>
      <c r="I736" s="4">
        <v>0</v>
      </c>
      <c r="J736" s="4" t="s">
        <v>8</v>
      </c>
      <c r="K736" s="4" t="s">
        <v>13</v>
      </c>
      <c r="L736" s="11">
        <v>1002673994</v>
      </c>
      <c r="M736" s="3">
        <v>1</v>
      </c>
      <c r="N736"/>
      <c r="O736" s="4"/>
      <c r="P736" s="1"/>
      <c r="Q736" s="22"/>
      <c r="R736"/>
      <c r="S736" s="11" t="s">
        <v>1588</v>
      </c>
    </row>
    <row r="737" spans="2:19" x14ac:dyDescent="0.25">
      <c r="B737" s="4">
        <v>30007398</v>
      </c>
      <c r="C737" s="1" t="s">
        <v>1068</v>
      </c>
      <c r="D737" s="4" t="s">
        <v>86</v>
      </c>
      <c r="E737" s="3"/>
      <c r="F737" s="3" t="s">
        <v>102</v>
      </c>
      <c r="G737" s="4">
        <v>5</v>
      </c>
      <c r="H737" s="4">
        <v>4</v>
      </c>
      <c r="I737" s="4">
        <v>17</v>
      </c>
      <c r="J737" s="4" t="s">
        <v>8</v>
      </c>
      <c r="K737" s="4" t="s">
        <v>14</v>
      </c>
      <c r="L737" s="11">
        <v>1002671085</v>
      </c>
      <c r="M737" s="3">
        <v>1</v>
      </c>
      <c r="N737"/>
      <c r="O737" s="4"/>
      <c r="P737" s="1"/>
      <c r="Q737" s="22"/>
      <c r="R737"/>
      <c r="S737" s="11"/>
    </row>
    <row r="738" spans="2:19" x14ac:dyDescent="0.25">
      <c r="B738" s="4">
        <v>30007401</v>
      </c>
      <c r="C738" s="1" t="s">
        <v>1070</v>
      </c>
      <c r="D738" s="4" t="s">
        <v>86</v>
      </c>
      <c r="E738" s="3"/>
      <c r="F738" s="3" t="s">
        <v>102</v>
      </c>
      <c r="G738" s="4">
        <v>25</v>
      </c>
      <c r="H738" s="4">
        <v>24</v>
      </c>
      <c r="I738" s="4">
        <v>56</v>
      </c>
      <c r="J738" s="4" t="s">
        <v>8</v>
      </c>
      <c r="K738" s="4" t="s">
        <v>14</v>
      </c>
      <c r="L738" s="11"/>
      <c r="M738" s="3"/>
      <c r="N738"/>
      <c r="O738" s="4"/>
      <c r="P738" s="1"/>
      <c r="Q738" s="22"/>
      <c r="R738"/>
      <c r="S738" s="11"/>
    </row>
    <row r="739" spans="2:19" x14ac:dyDescent="0.25">
      <c r="B739" s="4">
        <v>30007402</v>
      </c>
      <c r="C739" s="1" t="s">
        <v>874</v>
      </c>
      <c r="D739" s="4" t="s">
        <v>86</v>
      </c>
      <c r="E739" s="3"/>
      <c r="F739" s="3" t="s">
        <v>102</v>
      </c>
      <c r="G739" s="4">
        <v>7</v>
      </c>
      <c r="H739" s="4">
        <v>6</v>
      </c>
      <c r="I739" s="4">
        <v>7</v>
      </c>
      <c r="J739" s="4" t="s">
        <v>8</v>
      </c>
      <c r="K739" s="4" t="s">
        <v>7</v>
      </c>
      <c r="L739" s="11">
        <v>1002667096</v>
      </c>
      <c r="M739" s="3">
        <v>6</v>
      </c>
      <c r="N739"/>
      <c r="O739" s="4"/>
      <c r="P739" s="1"/>
      <c r="Q739" s="22"/>
      <c r="R739"/>
      <c r="S739" s="11"/>
    </row>
    <row r="740" spans="2:19" x14ac:dyDescent="0.25">
      <c r="B740" s="4">
        <v>30007403</v>
      </c>
      <c r="C740" s="1" t="s">
        <v>1417</v>
      </c>
      <c r="D740" s="4" t="s">
        <v>86</v>
      </c>
      <c r="E740" s="3" t="s">
        <v>1225</v>
      </c>
      <c r="F740" s="3" t="s">
        <v>102</v>
      </c>
      <c r="G740" s="4">
        <v>5</v>
      </c>
      <c r="H740" s="4">
        <v>4</v>
      </c>
      <c r="I740" s="4">
        <v>14</v>
      </c>
      <c r="J740" s="4" t="s">
        <v>8</v>
      </c>
      <c r="K740" s="4" t="s">
        <v>14</v>
      </c>
      <c r="L740" s="11"/>
      <c r="M740" s="3"/>
      <c r="N740"/>
      <c r="O740" s="4"/>
      <c r="P740" s="1"/>
      <c r="Q740" s="22"/>
      <c r="R740"/>
      <c r="S740" s="11"/>
    </row>
    <row r="741" spans="2:19" x14ac:dyDescent="0.25">
      <c r="B741" s="4">
        <v>30007404</v>
      </c>
      <c r="C741" s="1" t="s">
        <v>821</v>
      </c>
      <c r="D741" s="4" t="s">
        <v>86</v>
      </c>
      <c r="E741" s="3"/>
      <c r="F741" s="3" t="s">
        <v>102</v>
      </c>
      <c r="G741" s="4">
        <v>7</v>
      </c>
      <c r="H741" s="4">
        <v>6</v>
      </c>
      <c r="I741" s="4">
        <v>20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</row>
    <row r="742" spans="2:19" x14ac:dyDescent="0.25">
      <c r="B742" s="4">
        <v>30007405</v>
      </c>
      <c r="C742" s="1" t="s">
        <v>1470</v>
      </c>
      <c r="D742" s="4" t="s">
        <v>86</v>
      </c>
      <c r="E742" s="3" t="s">
        <v>1225</v>
      </c>
      <c r="F742" s="3" t="s">
        <v>102</v>
      </c>
      <c r="G742" s="4">
        <v>7</v>
      </c>
      <c r="H742" s="4">
        <v>6</v>
      </c>
      <c r="I742" s="4">
        <v>13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</row>
    <row r="743" spans="2:19" x14ac:dyDescent="0.25">
      <c r="B743" s="4">
        <v>30007406</v>
      </c>
      <c r="C743" s="1" t="s">
        <v>823</v>
      </c>
      <c r="D743" s="4" t="s">
        <v>86</v>
      </c>
      <c r="E743" s="3" t="s">
        <v>1225</v>
      </c>
      <c r="F743" s="3" t="s">
        <v>102</v>
      </c>
      <c r="G743" s="4">
        <v>3</v>
      </c>
      <c r="H743" s="4">
        <v>2</v>
      </c>
      <c r="I743" s="4">
        <v>2</v>
      </c>
      <c r="J743" s="4" t="s">
        <v>8</v>
      </c>
      <c r="K743" s="4" t="s">
        <v>9</v>
      </c>
      <c r="L743" s="11" t="s">
        <v>1623</v>
      </c>
      <c r="M743" s="3"/>
      <c r="N743"/>
      <c r="O743" s="4"/>
      <c r="P743" s="1"/>
      <c r="Q743" s="22"/>
      <c r="R743"/>
      <c r="S743" s="11" t="s">
        <v>1587</v>
      </c>
    </row>
    <row r="744" spans="2:19" x14ac:dyDescent="0.25">
      <c r="B744" s="4">
        <v>30007407</v>
      </c>
      <c r="C744" s="1" t="s">
        <v>824</v>
      </c>
      <c r="D744" s="4" t="s">
        <v>86</v>
      </c>
      <c r="E744" s="3" t="s">
        <v>1225</v>
      </c>
      <c r="F744" s="3" t="s">
        <v>102</v>
      </c>
      <c r="G744" s="4">
        <v>3</v>
      </c>
      <c r="H744" s="4">
        <v>2</v>
      </c>
      <c r="I744" s="4">
        <v>2</v>
      </c>
      <c r="J744" s="4" t="s">
        <v>8</v>
      </c>
      <c r="K744" s="4" t="s">
        <v>9</v>
      </c>
      <c r="L744" s="11" t="s">
        <v>1623</v>
      </c>
      <c r="M744" s="3"/>
      <c r="N744"/>
      <c r="O744" s="4"/>
      <c r="P744" s="1"/>
      <c r="Q744" s="22"/>
      <c r="R744"/>
      <c r="S744" s="11" t="s">
        <v>1587</v>
      </c>
    </row>
    <row r="745" spans="2:19" x14ac:dyDescent="0.25">
      <c r="B745" s="4">
        <v>30007411</v>
      </c>
      <c r="C745" s="1" t="s">
        <v>1104</v>
      </c>
      <c r="D745" s="4" t="s">
        <v>86</v>
      </c>
      <c r="E745" s="3"/>
      <c r="F745" s="3" t="s">
        <v>102</v>
      </c>
      <c r="G745" s="4">
        <v>49</v>
      </c>
      <c r="H745" s="4">
        <v>24</v>
      </c>
      <c r="I745" s="4">
        <v>54</v>
      </c>
      <c r="J745" s="4" t="s">
        <v>8</v>
      </c>
      <c r="K745" s="4" t="s">
        <v>7</v>
      </c>
      <c r="L745" s="11"/>
      <c r="M745" s="3"/>
      <c r="N745"/>
      <c r="O745" s="4"/>
      <c r="P745" s="1"/>
      <c r="Q745" s="22"/>
      <c r="R745"/>
      <c r="S745" s="11"/>
    </row>
    <row r="746" spans="2:19" x14ac:dyDescent="0.25">
      <c r="B746" s="4">
        <v>30007413</v>
      </c>
      <c r="C746" s="1" t="s">
        <v>1142</v>
      </c>
      <c r="D746" s="4" t="s">
        <v>86</v>
      </c>
      <c r="E746" s="3" t="s">
        <v>1225</v>
      </c>
      <c r="F746" s="3" t="s">
        <v>102</v>
      </c>
      <c r="G746" s="4">
        <v>24</v>
      </c>
      <c r="H746" s="4">
        <v>24</v>
      </c>
      <c r="I746" s="4">
        <v>25</v>
      </c>
      <c r="J746" s="4" t="s">
        <v>8</v>
      </c>
      <c r="K746" s="4" t="s">
        <v>7</v>
      </c>
      <c r="L746" s="11"/>
      <c r="M746" s="3"/>
      <c r="N746"/>
      <c r="O746" s="4"/>
      <c r="P746" s="1"/>
      <c r="Q746" s="22"/>
      <c r="R746"/>
      <c r="S746" s="11"/>
    </row>
    <row r="747" spans="2:19" x14ac:dyDescent="0.25">
      <c r="B747" s="4">
        <v>30007415</v>
      </c>
      <c r="C747" s="1" t="s">
        <v>1483</v>
      </c>
      <c r="D747" s="4" t="s">
        <v>86</v>
      </c>
      <c r="E747" s="3"/>
      <c r="F747" s="3" t="s">
        <v>102</v>
      </c>
      <c r="G747" s="4">
        <v>3</v>
      </c>
      <c r="H747" s="4">
        <v>2</v>
      </c>
      <c r="I747" s="4">
        <v>11</v>
      </c>
      <c r="J747" s="4" t="s">
        <v>8</v>
      </c>
      <c r="K747" s="4" t="s">
        <v>14</v>
      </c>
      <c r="L747" s="11">
        <v>1002667096</v>
      </c>
      <c r="M747" s="3">
        <v>5</v>
      </c>
      <c r="N747"/>
      <c r="O747" s="4"/>
      <c r="P747" s="1"/>
      <c r="Q747" s="22"/>
      <c r="R747"/>
      <c r="S747" s="11"/>
    </row>
    <row r="748" spans="2:19" x14ac:dyDescent="0.25">
      <c r="B748" s="4">
        <v>30007419</v>
      </c>
      <c r="C748" s="1" t="s">
        <v>826</v>
      </c>
      <c r="D748" s="4" t="s">
        <v>86</v>
      </c>
      <c r="E748" s="3"/>
      <c r="F748" s="3" t="s">
        <v>102</v>
      </c>
      <c r="G748" s="4">
        <v>4</v>
      </c>
      <c r="H748" s="4">
        <v>3</v>
      </c>
      <c r="I748" s="4">
        <v>11</v>
      </c>
      <c r="J748" s="4" t="s">
        <v>8</v>
      </c>
      <c r="K748" s="4" t="s">
        <v>14</v>
      </c>
      <c r="L748" s="11"/>
      <c r="M748" s="3"/>
      <c r="N748"/>
      <c r="O748" s="4"/>
      <c r="P748" s="1"/>
      <c r="Q748" s="22"/>
      <c r="R748"/>
      <c r="S748" s="11"/>
    </row>
    <row r="749" spans="2:19" x14ac:dyDescent="0.25">
      <c r="B749" s="4">
        <v>30007421</v>
      </c>
      <c r="C749" s="1" t="s">
        <v>827</v>
      </c>
      <c r="D749" s="4" t="s">
        <v>86</v>
      </c>
      <c r="E749" s="3"/>
      <c r="F749" s="3" t="s">
        <v>102</v>
      </c>
      <c r="G749" s="4">
        <v>3</v>
      </c>
      <c r="H749" s="4">
        <v>2</v>
      </c>
      <c r="I749" s="4">
        <v>4</v>
      </c>
      <c r="J749" s="4" t="s">
        <v>8</v>
      </c>
      <c r="K749" s="4" t="s">
        <v>7</v>
      </c>
      <c r="L749" s="11"/>
      <c r="M749" s="3"/>
      <c r="N749">
        <v>4700162303</v>
      </c>
      <c r="O749" s="4">
        <v>2</v>
      </c>
      <c r="P749" s="1" t="s">
        <v>1657</v>
      </c>
      <c r="Q749" s="22">
        <v>46297</v>
      </c>
      <c r="R749"/>
      <c r="S749" s="11"/>
    </row>
    <row r="750" spans="2:19" x14ac:dyDescent="0.25">
      <c r="B750" s="4">
        <v>30007424</v>
      </c>
      <c r="C750" s="1" t="s">
        <v>828</v>
      </c>
      <c r="D750" s="4" t="s">
        <v>86</v>
      </c>
      <c r="E750" s="3" t="s">
        <v>1225</v>
      </c>
      <c r="F750" s="3" t="s">
        <v>102</v>
      </c>
      <c r="G750" s="4">
        <v>4</v>
      </c>
      <c r="H750" s="4">
        <v>3</v>
      </c>
      <c r="I750" s="4">
        <v>1</v>
      </c>
      <c r="J750" s="4" t="s">
        <v>8</v>
      </c>
      <c r="K750" s="4" t="s">
        <v>9</v>
      </c>
      <c r="L750" s="11" t="s">
        <v>1623</v>
      </c>
      <c r="M750" s="3"/>
      <c r="N750"/>
      <c r="O750" s="4"/>
      <c r="P750" s="1"/>
      <c r="Q750" s="22"/>
      <c r="R750"/>
      <c r="S750" s="11" t="s">
        <v>1587</v>
      </c>
    </row>
    <row r="751" spans="2:19" x14ac:dyDescent="0.25">
      <c r="B751" s="4">
        <v>30007426</v>
      </c>
      <c r="C751" s="1" t="s">
        <v>1105</v>
      </c>
      <c r="D751" s="4" t="s">
        <v>86</v>
      </c>
      <c r="E751" s="3"/>
      <c r="F751" s="3" t="s">
        <v>102</v>
      </c>
      <c r="G751" s="4">
        <v>37</v>
      </c>
      <c r="H751" s="4">
        <v>18</v>
      </c>
      <c r="I751" s="4">
        <v>36</v>
      </c>
      <c r="J751" s="4" t="s">
        <v>8</v>
      </c>
      <c r="K751" s="4" t="s">
        <v>9</v>
      </c>
      <c r="L751" s="11" t="s">
        <v>1673</v>
      </c>
      <c r="M751" s="3">
        <v>18</v>
      </c>
      <c r="N751"/>
      <c r="O751" s="4"/>
      <c r="P751" s="1"/>
      <c r="Q751" s="22"/>
      <c r="R751"/>
      <c r="S751" s="11"/>
    </row>
    <row r="752" spans="2:19" x14ac:dyDescent="0.25">
      <c r="B752" s="4">
        <v>30007431</v>
      </c>
      <c r="C752" s="1" t="s">
        <v>831</v>
      </c>
      <c r="D752" s="4" t="s">
        <v>86</v>
      </c>
      <c r="E752" s="3" t="s">
        <v>1225</v>
      </c>
      <c r="F752" s="3" t="s">
        <v>102</v>
      </c>
      <c r="G752" s="4">
        <v>3</v>
      </c>
      <c r="H752" s="4">
        <v>2</v>
      </c>
      <c r="I752" s="4">
        <v>5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</row>
    <row r="753" spans="2:19" x14ac:dyDescent="0.25">
      <c r="B753" s="4">
        <v>30007432</v>
      </c>
      <c r="C753" s="1" t="s">
        <v>832</v>
      </c>
      <c r="D753" s="4" t="s">
        <v>86</v>
      </c>
      <c r="E753" s="3" t="s">
        <v>1225</v>
      </c>
      <c r="F753" s="3" t="s">
        <v>102</v>
      </c>
      <c r="G753" s="4">
        <v>3</v>
      </c>
      <c r="H753" s="4">
        <v>2</v>
      </c>
      <c r="I753" s="4">
        <v>15</v>
      </c>
      <c r="J753" s="4" t="s">
        <v>8</v>
      </c>
      <c r="K753" s="4" t="s">
        <v>14</v>
      </c>
      <c r="L753" s="11"/>
      <c r="M753" s="3"/>
      <c r="N753"/>
      <c r="O753" s="4"/>
      <c r="P753" s="1"/>
      <c r="Q753" s="22"/>
      <c r="R753"/>
      <c r="S753" s="11"/>
    </row>
    <row r="754" spans="2:19" x14ac:dyDescent="0.25">
      <c r="B754" s="4">
        <v>30007433</v>
      </c>
      <c r="C754" s="1" t="s">
        <v>833</v>
      </c>
      <c r="D754" s="4" t="s">
        <v>86</v>
      </c>
      <c r="E754" s="74"/>
      <c r="F754" s="3" t="s">
        <v>102</v>
      </c>
      <c r="G754" s="4">
        <v>4</v>
      </c>
      <c r="H754" s="4">
        <v>4</v>
      </c>
      <c r="I754" s="4">
        <v>7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</row>
    <row r="755" spans="2:19" x14ac:dyDescent="0.25">
      <c r="B755" s="4">
        <v>30007434</v>
      </c>
      <c r="C755" s="1" t="s">
        <v>834</v>
      </c>
      <c r="D755" s="4" t="s">
        <v>86</v>
      </c>
      <c r="E755" s="74"/>
      <c r="F755" s="3" t="s">
        <v>102</v>
      </c>
      <c r="G755" s="4">
        <v>3</v>
      </c>
      <c r="H755" s="4">
        <v>2</v>
      </c>
      <c r="I755" s="4">
        <v>7</v>
      </c>
      <c r="J755" s="4" t="s">
        <v>8</v>
      </c>
      <c r="K755" s="4" t="s">
        <v>14</v>
      </c>
      <c r="L755" s="11"/>
      <c r="M755" s="3"/>
      <c r="N755"/>
      <c r="O755" s="4"/>
      <c r="P755" s="1"/>
      <c r="Q755" s="22"/>
      <c r="R755"/>
      <c r="S755" s="11"/>
    </row>
    <row r="756" spans="2:19" x14ac:dyDescent="0.25">
      <c r="B756" s="4">
        <v>30007435</v>
      </c>
      <c r="C756" s="1" t="s">
        <v>835</v>
      </c>
      <c r="D756" s="4" t="s">
        <v>86</v>
      </c>
      <c r="E756" s="3" t="s">
        <v>1225</v>
      </c>
      <c r="F756" s="3" t="s">
        <v>102</v>
      </c>
      <c r="G756" s="4">
        <v>4</v>
      </c>
      <c r="H756" s="4">
        <v>4</v>
      </c>
      <c r="I756" s="4">
        <v>5</v>
      </c>
      <c r="J756" s="4" t="s">
        <v>8</v>
      </c>
      <c r="K756" s="4" t="s">
        <v>7</v>
      </c>
      <c r="L756" s="11"/>
      <c r="M756" s="3"/>
      <c r="N756"/>
      <c r="O756" s="4"/>
      <c r="P756" s="1"/>
      <c r="Q756" s="22"/>
      <c r="R756"/>
      <c r="S756" s="11"/>
    </row>
    <row r="757" spans="2:19" x14ac:dyDescent="0.25">
      <c r="B757" s="4">
        <v>30007436</v>
      </c>
      <c r="C757" s="1" t="s">
        <v>836</v>
      </c>
      <c r="D757" s="4" t="s">
        <v>86</v>
      </c>
      <c r="E757" s="3" t="s">
        <v>1225</v>
      </c>
      <c r="F757" s="3" t="s">
        <v>102</v>
      </c>
      <c r="G757" s="4">
        <v>3</v>
      </c>
      <c r="H757" s="4">
        <v>2</v>
      </c>
      <c r="I757" s="4">
        <v>5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</row>
    <row r="758" spans="2:19" x14ac:dyDescent="0.25">
      <c r="B758" s="4">
        <v>30007438</v>
      </c>
      <c r="C758" s="1" t="s">
        <v>837</v>
      </c>
      <c r="D758" s="4" t="s">
        <v>86</v>
      </c>
      <c r="E758" s="3"/>
      <c r="F758" s="3" t="s">
        <v>102</v>
      </c>
      <c r="G758" s="4">
        <v>7</v>
      </c>
      <c r="H758" s="4">
        <v>6</v>
      </c>
      <c r="I758" s="4">
        <v>5</v>
      </c>
      <c r="J758" s="4" t="s">
        <v>8</v>
      </c>
      <c r="K758" s="4" t="s">
        <v>9</v>
      </c>
      <c r="L758" s="11" t="s">
        <v>1669</v>
      </c>
      <c r="M758" s="3">
        <v>6</v>
      </c>
      <c r="N758"/>
      <c r="O758" s="4"/>
      <c r="P758" s="1"/>
      <c r="Q758" s="22"/>
      <c r="R758"/>
      <c r="S758" s="11"/>
    </row>
    <row r="759" spans="2:19" x14ac:dyDescent="0.25">
      <c r="B759" s="4">
        <v>30007440</v>
      </c>
      <c r="C759" s="1" t="s">
        <v>838</v>
      </c>
      <c r="D759" s="4" t="s">
        <v>86</v>
      </c>
      <c r="E759" s="3" t="s">
        <v>1225</v>
      </c>
      <c r="F759" s="3" t="s">
        <v>102</v>
      </c>
      <c r="G759" s="4">
        <v>2</v>
      </c>
      <c r="H759" s="4">
        <v>2</v>
      </c>
      <c r="I759" s="4">
        <v>0</v>
      </c>
      <c r="J759" s="4" t="s">
        <v>8</v>
      </c>
      <c r="K759" s="4" t="s">
        <v>13</v>
      </c>
      <c r="L759" s="11" t="s">
        <v>1623</v>
      </c>
      <c r="M759" s="3"/>
      <c r="N759"/>
      <c r="O759" s="4"/>
      <c r="P759" s="1"/>
      <c r="Q759" s="22"/>
      <c r="R759"/>
      <c r="S759" s="11" t="s">
        <v>1587</v>
      </c>
    </row>
    <row r="760" spans="2:19" x14ac:dyDescent="0.25">
      <c r="B760" s="4">
        <v>30007441</v>
      </c>
      <c r="C760" s="1" t="s">
        <v>839</v>
      </c>
      <c r="D760" s="4" t="s">
        <v>86</v>
      </c>
      <c r="E760" s="3" t="s">
        <v>1225</v>
      </c>
      <c r="F760" s="3" t="s">
        <v>102</v>
      </c>
      <c r="G760" s="4">
        <v>2</v>
      </c>
      <c r="H760" s="4">
        <v>2</v>
      </c>
      <c r="I760" s="4">
        <v>1</v>
      </c>
      <c r="J760" s="4" t="s">
        <v>8</v>
      </c>
      <c r="K760" s="4" t="s">
        <v>9</v>
      </c>
      <c r="L760" s="11" t="s">
        <v>1623</v>
      </c>
      <c r="M760" s="3"/>
      <c r="N760"/>
      <c r="O760" s="4"/>
      <c r="P760" s="1"/>
      <c r="Q760" s="22"/>
      <c r="R760"/>
      <c r="S760" s="11" t="s">
        <v>1587</v>
      </c>
    </row>
    <row r="761" spans="2:19" x14ac:dyDescent="0.25">
      <c r="B761" s="4">
        <v>30007443</v>
      </c>
      <c r="C761" s="1" t="s">
        <v>840</v>
      </c>
      <c r="D761" s="4" t="s">
        <v>86</v>
      </c>
      <c r="E761" s="3"/>
      <c r="F761" s="3" t="s">
        <v>102</v>
      </c>
      <c r="G761" s="4">
        <v>3</v>
      </c>
      <c r="H761" s="4">
        <v>2</v>
      </c>
      <c r="I761" s="4">
        <v>3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</row>
    <row r="762" spans="2:19" x14ac:dyDescent="0.25">
      <c r="B762" s="4">
        <v>30007444</v>
      </c>
      <c r="C762" s="1" t="s">
        <v>841</v>
      </c>
      <c r="D762" s="4" t="s">
        <v>86</v>
      </c>
      <c r="E762" s="3" t="s">
        <v>1225</v>
      </c>
      <c r="F762" s="3" t="s">
        <v>102</v>
      </c>
      <c r="G762" s="4">
        <v>2</v>
      </c>
      <c r="H762" s="4">
        <v>2</v>
      </c>
      <c r="I762" s="4">
        <v>1</v>
      </c>
      <c r="J762" s="4" t="s">
        <v>8</v>
      </c>
      <c r="K762" s="4" t="s">
        <v>9</v>
      </c>
      <c r="L762" s="11" t="s">
        <v>1623</v>
      </c>
      <c r="M762" s="3"/>
      <c r="N762"/>
      <c r="O762" s="4"/>
      <c r="P762" s="1"/>
      <c r="Q762" s="22"/>
      <c r="R762"/>
      <c r="S762" s="11" t="s">
        <v>1587</v>
      </c>
    </row>
    <row r="763" spans="2:19" x14ac:dyDescent="0.25">
      <c r="B763" s="4">
        <v>30008076</v>
      </c>
      <c r="C763" s="1" t="s">
        <v>1287</v>
      </c>
      <c r="D763" s="4" t="s">
        <v>86</v>
      </c>
      <c r="E763" s="3"/>
      <c r="F763" s="3" t="s">
        <v>68</v>
      </c>
      <c r="G763" s="4">
        <v>2</v>
      </c>
      <c r="H763" s="4">
        <v>4</v>
      </c>
      <c r="I763" s="4">
        <v>9</v>
      </c>
      <c r="J763" s="4" t="s">
        <v>8</v>
      </c>
      <c r="K763" s="4" t="s">
        <v>14</v>
      </c>
      <c r="L763" s="11"/>
      <c r="M763" s="3"/>
      <c r="N763"/>
      <c r="O763" s="4"/>
      <c r="P763" s="1"/>
      <c r="Q763" s="22"/>
      <c r="R763"/>
      <c r="S763" s="11"/>
    </row>
    <row r="764" spans="2:19" x14ac:dyDescent="0.25">
      <c r="B764" s="4">
        <v>30008142</v>
      </c>
      <c r="C764" s="1" t="s">
        <v>529</v>
      </c>
      <c r="D764" s="4" t="s">
        <v>86</v>
      </c>
      <c r="E764" s="3"/>
      <c r="F764" s="3" t="s">
        <v>68</v>
      </c>
      <c r="G764" s="4">
        <v>1</v>
      </c>
      <c r="H764" s="4">
        <v>1</v>
      </c>
      <c r="I764" s="4">
        <v>0</v>
      </c>
      <c r="J764" s="4" t="s">
        <v>8</v>
      </c>
      <c r="K764" s="4" t="s">
        <v>13</v>
      </c>
      <c r="L764" s="11" t="s">
        <v>1673</v>
      </c>
      <c r="M764" s="3">
        <v>2</v>
      </c>
      <c r="N764"/>
      <c r="O764" s="4"/>
      <c r="P764" s="1"/>
      <c r="Q764" s="22"/>
      <c r="R764"/>
      <c r="S764" s="11"/>
    </row>
    <row r="765" spans="2:19" x14ac:dyDescent="0.25">
      <c r="B765" s="4">
        <v>30008160</v>
      </c>
      <c r="C765" s="1" t="s">
        <v>1306</v>
      </c>
      <c r="D765" s="4" t="s">
        <v>86</v>
      </c>
      <c r="E765" s="3"/>
      <c r="F765" s="3" t="s">
        <v>68</v>
      </c>
      <c r="G765" s="4">
        <v>2</v>
      </c>
      <c r="H765" s="4">
        <v>4</v>
      </c>
      <c r="I765" s="4">
        <v>5</v>
      </c>
      <c r="J765" s="4" t="s">
        <v>8</v>
      </c>
      <c r="K765" s="4" t="s">
        <v>7</v>
      </c>
      <c r="L765" s="11"/>
      <c r="M765" s="3"/>
      <c r="N765"/>
      <c r="O765" s="4"/>
      <c r="P765" s="1"/>
      <c r="Q765" s="22"/>
      <c r="R765"/>
      <c r="S765" s="11"/>
    </row>
    <row r="766" spans="2:19" x14ac:dyDescent="0.25">
      <c r="B766" s="4">
        <v>30008313</v>
      </c>
      <c r="C766" s="1" t="s">
        <v>1021</v>
      </c>
      <c r="D766" s="4" t="s">
        <v>86</v>
      </c>
      <c r="E766" s="3"/>
      <c r="F766" s="3" t="s">
        <v>68</v>
      </c>
      <c r="G766" s="4">
        <v>200</v>
      </c>
      <c r="H766" s="4">
        <v>100</v>
      </c>
      <c r="I766" s="4">
        <v>202</v>
      </c>
      <c r="J766" s="4" t="s">
        <v>8</v>
      </c>
      <c r="K766" s="4" t="s">
        <v>7</v>
      </c>
      <c r="L766" s="11"/>
      <c r="M766" s="3"/>
      <c r="N766"/>
      <c r="O766" s="4"/>
      <c r="P766" s="1"/>
      <c r="Q766" s="22"/>
      <c r="R766"/>
      <c r="S766" s="11"/>
    </row>
    <row r="767" spans="2:19" x14ac:dyDescent="0.25">
      <c r="B767" s="4">
        <v>30008329</v>
      </c>
      <c r="C767" s="1" t="s">
        <v>530</v>
      </c>
      <c r="D767" s="4" t="s">
        <v>86</v>
      </c>
      <c r="E767" s="3"/>
      <c r="F767" s="3" t="s">
        <v>68</v>
      </c>
      <c r="G767" s="4">
        <v>2</v>
      </c>
      <c r="H767" s="4">
        <v>4</v>
      </c>
      <c r="I767" s="4">
        <v>1</v>
      </c>
      <c r="J767" s="4" t="s">
        <v>8</v>
      </c>
      <c r="K767" s="4" t="s">
        <v>9</v>
      </c>
      <c r="L767" s="11">
        <v>1002648063</v>
      </c>
      <c r="M767" s="3">
        <v>4</v>
      </c>
      <c r="N767"/>
      <c r="O767" s="4"/>
      <c r="P767" s="1"/>
      <c r="Q767" s="22"/>
      <c r="R767"/>
      <c r="S767" s="11"/>
    </row>
    <row r="768" spans="2:19" x14ac:dyDescent="0.25">
      <c r="B768" s="4">
        <v>30008485</v>
      </c>
      <c r="C768" s="1" t="s">
        <v>531</v>
      </c>
      <c r="D768" s="4" t="s">
        <v>86</v>
      </c>
      <c r="E768" s="3"/>
      <c r="F768" s="3" t="s">
        <v>68</v>
      </c>
      <c r="G768" s="4">
        <v>6</v>
      </c>
      <c r="H768" s="4">
        <v>4</v>
      </c>
      <c r="I768" s="4">
        <v>3</v>
      </c>
      <c r="J768" s="4" t="s">
        <v>8</v>
      </c>
      <c r="K768" s="4" t="s">
        <v>9</v>
      </c>
      <c r="L768" s="11">
        <v>1002653864</v>
      </c>
      <c r="M768" s="3">
        <v>4</v>
      </c>
      <c r="N768"/>
      <c r="O768" s="4"/>
      <c r="P768" s="1"/>
      <c r="Q768" s="22"/>
      <c r="R768"/>
      <c r="S768" s="11"/>
    </row>
    <row r="769" spans="2:19" x14ac:dyDescent="0.25">
      <c r="B769" s="4">
        <v>30008505</v>
      </c>
      <c r="C769" s="1" t="s">
        <v>875</v>
      </c>
      <c r="D769" s="4" t="s">
        <v>86</v>
      </c>
      <c r="E769" s="3"/>
      <c r="F769" s="3" t="s">
        <v>102</v>
      </c>
      <c r="G769" s="4">
        <v>2</v>
      </c>
      <c r="H769" s="4">
        <v>2</v>
      </c>
      <c r="I769" s="4">
        <v>3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 t="s">
        <v>1589</v>
      </c>
    </row>
    <row r="770" spans="2:19" x14ac:dyDescent="0.25">
      <c r="B770" s="4">
        <v>30008549</v>
      </c>
      <c r="C770" s="1" t="s">
        <v>1456</v>
      </c>
      <c r="D770" s="4" t="s">
        <v>86</v>
      </c>
      <c r="E770" s="3"/>
      <c r="F770" s="3" t="s">
        <v>68</v>
      </c>
      <c r="G770" s="4">
        <v>4</v>
      </c>
      <c r="H770" s="4">
        <v>2</v>
      </c>
      <c r="I770" s="4">
        <v>7</v>
      </c>
      <c r="J770" s="4" t="s">
        <v>8</v>
      </c>
      <c r="K770" s="4" t="s">
        <v>14</v>
      </c>
      <c r="L770" s="11"/>
      <c r="M770" s="3"/>
      <c r="N770"/>
      <c r="O770" s="4"/>
      <c r="P770" s="1"/>
      <c r="Q770" s="22"/>
      <c r="R770"/>
      <c r="S770" s="11"/>
    </row>
    <row r="771" spans="2:19" x14ac:dyDescent="0.25">
      <c r="B771" s="4">
        <v>30008604</v>
      </c>
      <c r="C771" s="1" t="s">
        <v>1363</v>
      </c>
      <c r="D771" s="4" t="s">
        <v>86</v>
      </c>
      <c r="E771" s="3"/>
      <c r="F771" s="3" t="s">
        <v>68</v>
      </c>
      <c r="G771" s="4">
        <v>16</v>
      </c>
      <c r="H771" s="4">
        <v>20</v>
      </c>
      <c r="I771" s="4">
        <v>22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</row>
    <row r="772" spans="2:19" x14ac:dyDescent="0.25">
      <c r="B772" s="4">
        <v>30008605</v>
      </c>
      <c r="C772" s="1" t="s">
        <v>1307</v>
      </c>
      <c r="D772" s="4" t="s">
        <v>86</v>
      </c>
      <c r="E772" s="3"/>
      <c r="F772" s="3" t="s">
        <v>68</v>
      </c>
      <c r="G772" s="4">
        <v>24</v>
      </c>
      <c r="H772" s="4">
        <v>8</v>
      </c>
      <c r="I772" s="4">
        <v>24</v>
      </c>
      <c r="J772" s="4" t="s">
        <v>8</v>
      </c>
      <c r="K772" s="4" t="s">
        <v>7</v>
      </c>
      <c r="L772" s="11">
        <v>1002671116</v>
      </c>
      <c r="M772" s="3">
        <v>9</v>
      </c>
      <c r="N772"/>
      <c r="O772" s="4"/>
      <c r="P772" s="1"/>
      <c r="Q772" s="22"/>
      <c r="R772"/>
      <c r="S772" s="11"/>
    </row>
    <row r="773" spans="2:19" x14ac:dyDescent="0.25">
      <c r="B773" s="4">
        <v>30008607</v>
      </c>
      <c r="C773" s="1" t="s">
        <v>1308</v>
      </c>
      <c r="D773" s="4" t="s">
        <v>86</v>
      </c>
      <c r="E773" s="3"/>
      <c r="F773" s="3" t="s">
        <v>68</v>
      </c>
      <c r="G773" s="4">
        <v>16</v>
      </c>
      <c r="H773" s="4">
        <v>20</v>
      </c>
      <c r="I773" s="4">
        <v>23</v>
      </c>
      <c r="J773" s="4" t="s">
        <v>8</v>
      </c>
      <c r="K773" s="4" t="s">
        <v>7</v>
      </c>
      <c r="L773" s="11"/>
      <c r="M773" s="3"/>
      <c r="N773"/>
      <c r="O773" s="4"/>
      <c r="P773" s="1"/>
      <c r="Q773" s="22"/>
      <c r="R773"/>
      <c r="S773" s="11"/>
    </row>
    <row r="774" spans="2:19" x14ac:dyDescent="0.25">
      <c r="B774" s="4">
        <v>30008657</v>
      </c>
      <c r="C774" s="1" t="s">
        <v>532</v>
      </c>
      <c r="D774" s="4" t="s">
        <v>86</v>
      </c>
      <c r="E774" s="3"/>
      <c r="F774" s="3" t="s">
        <v>68</v>
      </c>
      <c r="G774" s="4">
        <v>10</v>
      </c>
      <c r="H774" s="4">
        <v>10</v>
      </c>
      <c r="I774" s="4">
        <v>11</v>
      </c>
      <c r="J774" s="4" t="s">
        <v>8</v>
      </c>
      <c r="K774" s="4" t="s">
        <v>7</v>
      </c>
      <c r="L774" s="11"/>
      <c r="M774" s="3"/>
      <c r="N774"/>
      <c r="O774" s="4"/>
      <c r="P774" s="1"/>
      <c r="Q774" s="22"/>
      <c r="R774"/>
      <c r="S774" s="11" t="s">
        <v>1590</v>
      </c>
    </row>
    <row r="775" spans="2:19" x14ac:dyDescent="0.25">
      <c r="B775" s="4">
        <v>30008658</v>
      </c>
      <c r="C775" s="1" t="s">
        <v>533</v>
      </c>
      <c r="D775" s="4" t="s">
        <v>86</v>
      </c>
      <c r="E775" s="3"/>
      <c r="F775" s="3" t="s">
        <v>68</v>
      </c>
      <c r="G775" s="4">
        <v>4</v>
      </c>
      <c r="H775" s="4">
        <v>4</v>
      </c>
      <c r="I775" s="4">
        <v>4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</row>
    <row r="776" spans="2:19" x14ac:dyDescent="0.25">
      <c r="B776" s="4">
        <v>30008661</v>
      </c>
      <c r="C776" s="1" t="s">
        <v>534</v>
      </c>
      <c r="D776" s="4" t="s">
        <v>86</v>
      </c>
      <c r="E776" s="3"/>
      <c r="F776" s="3" t="s">
        <v>68</v>
      </c>
      <c r="G776" s="4">
        <v>16</v>
      </c>
      <c r="H776" s="4">
        <v>16</v>
      </c>
      <c r="I776" s="4">
        <v>26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</row>
    <row r="777" spans="2:19" x14ac:dyDescent="0.25">
      <c r="B777" s="4">
        <v>30008664</v>
      </c>
      <c r="C777" s="1" t="s">
        <v>1072</v>
      </c>
      <c r="D777" s="4" t="s">
        <v>86</v>
      </c>
      <c r="E777" s="3" t="s">
        <v>1225</v>
      </c>
      <c r="F777" s="3" t="s">
        <v>102</v>
      </c>
      <c r="G777" s="4">
        <v>113</v>
      </c>
      <c r="H777" s="4">
        <v>112</v>
      </c>
      <c r="I777" s="4">
        <v>172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/>
    </row>
    <row r="778" spans="2:19" x14ac:dyDescent="0.25">
      <c r="B778" s="4">
        <v>30008665</v>
      </c>
      <c r="C778" s="1" t="s">
        <v>842</v>
      </c>
      <c r="D778" s="4" t="s">
        <v>86</v>
      </c>
      <c r="E778" s="3"/>
      <c r="F778" s="3" t="s">
        <v>102</v>
      </c>
      <c r="G778" s="4">
        <v>100</v>
      </c>
      <c r="H778" s="4">
        <v>200</v>
      </c>
      <c r="I778" s="4">
        <v>229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</row>
    <row r="779" spans="2:19" x14ac:dyDescent="0.25">
      <c r="B779" s="4">
        <v>30008666</v>
      </c>
      <c r="C779" s="1" t="s">
        <v>843</v>
      </c>
      <c r="D779" s="4" t="s">
        <v>86</v>
      </c>
      <c r="E779" s="3"/>
      <c r="F779" s="3" t="s">
        <v>102</v>
      </c>
      <c r="G779" s="4">
        <v>150</v>
      </c>
      <c r="H779" s="4">
        <v>300</v>
      </c>
      <c r="I779" s="4">
        <v>1050</v>
      </c>
      <c r="J779" s="4" t="s">
        <v>8</v>
      </c>
      <c r="K779" s="4" t="s">
        <v>14</v>
      </c>
      <c r="L779" s="11"/>
      <c r="M779" s="3"/>
      <c r="N779"/>
      <c r="O779" s="4"/>
      <c r="P779" s="1"/>
      <c r="Q779" s="22"/>
      <c r="R779"/>
      <c r="S779" s="11"/>
    </row>
    <row r="780" spans="2:19" x14ac:dyDescent="0.25">
      <c r="B780" s="4">
        <v>30008667</v>
      </c>
      <c r="C780" s="1" t="s">
        <v>876</v>
      </c>
      <c r="D780" s="4" t="s">
        <v>86</v>
      </c>
      <c r="E780" s="3" t="s">
        <v>1225</v>
      </c>
      <c r="F780" s="3" t="s">
        <v>102</v>
      </c>
      <c r="G780" s="4">
        <v>2</v>
      </c>
      <c r="H780" s="4">
        <v>2</v>
      </c>
      <c r="I780" s="4">
        <v>0</v>
      </c>
      <c r="J780" s="4" t="s">
        <v>8</v>
      </c>
      <c r="K780" s="4" t="s">
        <v>13</v>
      </c>
      <c r="L780" s="11" t="s">
        <v>1623</v>
      </c>
      <c r="M780" s="3"/>
      <c r="N780"/>
      <c r="O780" s="4"/>
      <c r="P780" s="1"/>
      <c r="Q780" s="22"/>
      <c r="R780"/>
      <c r="S780" s="11" t="s">
        <v>1588</v>
      </c>
    </row>
    <row r="781" spans="2:19" x14ac:dyDescent="0.25">
      <c r="B781" s="4">
        <v>30008668</v>
      </c>
      <c r="C781" s="1" t="s">
        <v>877</v>
      </c>
      <c r="D781" s="4" t="s">
        <v>86</v>
      </c>
      <c r="E781" s="3" t="s">
        <v>1225</v>
      </c>
      <c r="F781" s="3" t="s">
        <v>102</v>
      </c>
      <c r="G781" s="4">
        <v>2</v>
      </c>
      <c r="H781" s="4">
        <v>2</v>
      </c>
      <c r="I781" s="4">
        <v>0</v>
      </c>
      <c r="J781" s="4" t="s">
        <v>8</v>
      </c>
      <c r="K781" s="4" t="s">
        <v>13</v>
      </c>
      <c r="L781" s="11" t="s">
        <v>1623</v>
      </c>
      <c r="M781" s="3"/>
      <c r="N781"/>
      <c r="O781" s="4"/>
      <c r="P781" s="1"/>
      <c r="Q781" s="22"/>
      <c r="R781"/>
      <c r="S781" s="11" t="s">
        <v>1588</v>
      </c>
    </row>
    <row r="782" spans="2:19" x14ac:dyDescent="0.25">
      <c r="B782" s="4">
        <v>30008670</v>
      </c>
      <c r="C782" s="1" t="s">
        <v>844</v>
      </c>
      <c r="D782" s="4" t="s">
        <v>86</v>
      </c>
      <c r="E782" s="3"/>
      <c r="F782" s="3" t="s">
        <v>102</v>
      </c>
      <c r="G782" s="4">
        <v>16</v>
      </c>
      <c r="H782" s="4">
        <v>32</v>
      </c>
      <c r="I782" s="4">
        <v>30</v>
      </c>
      <c r="J782" s="4" t="s">
        <v>8</v>
      </c>
      <c r="K782" s="4" t="s">
        <v>7</v>
      </c>
      <c r="L782" s="11"/>
      <c r="M782" s="3"/>
      <c r="N782"/>
      <c r="O782" s="4"/>
      <c r="P782" s="1"/>
      <c r="Q782" s="22"/>
      <c r="R782"/>
      <c r="S782" s="11"/>
    </row>
    <row r="783" spans="2:19" x14ac:dyDescent="0.25">
      <c r="B783" s="4">
        <v>30008676</v>
      </c>
      <c r="C783" s="1" t="s">
        <v>845</v>
      </c>
      <c r="D783" s="4" t="s">
        <v>86</v>
      </c>
      <c r="E783" s="3"/>
      <c r="F783" s="3" t="s">
        <v>102</v>
      </c>
      <c r="G783" s="4">
        <v>3</v>
      </c>
      <c r="H783" s="4">
        <v>6</v>
      </c>
      <c r="I783" s="4">
        <v>3</v>
      </c>
      <c r="J783" s="4" t="s">
        <v>8</v>
      </c>
      <c r="K783" s="4" t="s">
        <v>7</v>
      </c>
      <c r="L783" s="11"/>
      <c r="M783" s="3"/>
      <c r="N783"/>
      <c r="O783" s="4"/>
      <c r="P783" s="1"/>
      <c r="Q783" s="22"/>
      <c r="R783"/>
      <c r="S783" s="11"/>
    </row>
    <row r="784" spans="2:19" x14ac:dyDescent="0.25">
      <c r="B784" s="4">
        <v>30008678</v>
      </c>
      <c r="C784" s="1" t="s">
        <v>878</v>
      </c>
      <c r="D784" s="4" t="s">
        <v>86</v>
      </c>
      <c r="E784" s="3" t="s">
        <v>1225</v>
      </c>
      <c r="F784" s="3" t="s">
        <v>102</v>
      </c>
      <c r="G784" s="4">
        <v>2</v>
      </c>
      <c r="H784" s="4">
        <v>2</v>
      </c>
      <c r="I784" s="4">
        <v>0</v>
      </c>
      <c r="J784" s="4" t="s">
        <v>8</v>
      </c>
      <c r="K784" s="4" t="s">
        <v>13</v>
      </c>
      <c r="L784" s="11" t="s">
        <v>1623</v>
      </c>
      <c r="M784" s="3"/>
      <c r="N784"/>
      <c r="O784" s="4"/>
      <c r="P784" s="1"/>
      <c r="Q784" s="22"/>
      <c r="R784"/>
      <c r="S784" s="11" t="s">
        <v>1591</v>
      </c>
    </row>
    <row r="785" spans="2:19" x14ac:dyDescent="0.25">
      <c r="B785" s="4">
        <v>30008682</v>
      </c>
      <c r="C785" s="1" t="s">
        <v>1143</v>
      </c>
      <c r="D785" s="4" t="s">
        <v>86</v>
      </c>
      <c r="E785" s="3"/>
      <c r="F785" s="3" t="s">
        <v>102</v>
      </c>
      <c r="G785" s="4">
        <v>4</v>
      </c>
      <c r="H785" s="4">
        <v>6</v>
      </c>
      <c r="I785" s="4">
        <v>6</v>
      </c>
      <c r="J785" s="4" t="s">
        <v>8</v>
      </c>
      <c r="K785" s="4" t="s">
        <v>7</v>
      </c>
      <c r="L785" s="11"/>
      <c r="M785" s="3"/>
      <c r="N785"/>
      <c r="O785" s="4"/>
      <c r="P785" s="1"/>
      <c r="Q785" s="22"/>
      <c r="R785"/>
      <c r="S785" s="11"/>
    </row>
    <row r="786" spans="2:19" x14ac:dyDescent="0.25">
      <c r="B786" s="4">
        <v>30008684</v>
      </c>
      <c r="C786" s="1" t="s">
        <v>879</v>
      </c>
      <c r="D786" s="4" t="s">
        <v>86</v>
      </c>
      <c r="E786" s="3" t="s">
        <v>1225</v>
      </c>
      <c r="F786" s="3" t="s">
        <v>102</v>
      </c>
      <c r="G786" s="4">
        <v>41</v>
      </c>
      <c r="H786" s="4">
        <v>40</v>
      </c>
      <c r="I786" s="4">
        <v>0</v>
      </c>
      <c r="J786" s="4" t="s">
        <v>8</v>
      </c>
      <c r="K786" s="4" t="s">
        <v>13</v>
      </c>
      <c r="L786" s="11" t="s">
        <v>1623</v>
      </c>
      <c r="M786" s="3"/>
      <c r="N786"/>
      <c r="O786" s="4"/>
      <c r="P786" s="1"/>
      <c r="Q786" s="22"/>
      <c r="R786"/>
      <c r="S786" s="11" t="s">
        <v>1588</v>
      </c>
    </row>
    <row r="787" spans="2:19" x14ac:dyDescent="0.25">
      <c r="B787" s="4">
        <v>30008685</v>
      </c>
      <c r="C787" s="1" t="s">
        <v>880</v>
      </c>
      <c r="D787" s="4" t="s">
        <v>86</v>
      </c>
      <c r="E787" s="3" t="s">
        <v>1225</v>
      </c>
      <c r="F787" s="3" t="s">
        <v>102</v>
      </c>
      <c r="G787" s="4">
        <v>21</v>
      </c>
      <c r="H787" s="4">
        <v>20</v>
      </c>
      <c r="I787" s="4">
        <v>0</v>
      </c>
      <c r="J787" s="4" t="s">
        <v>8</v>
      </c>
      <c r="K787" s="4" t="s">
        <v>13</v>
      </c>
      <c r="L787" s="11" t="s">
        <v>1623</v>
      </c>
      <c r="M787" s="3"/>
      <c r="N787"/>
      <c r="O787" s="4"/>
      <c r="P787" s="1"/>
      <c r="Q787" s="22"/>
      <c r="R787"/>
      <c r="S787" s="11" t="s">
        <v>1588</v>
      </c>
    </row>
    <row r="788" spans="2:19" x14ac:dyDescent="0.25">
      <c r="B788" s="4">
        <v>30008693</v>
      </c>
      <c r="C788" s="1" t="s">
        <v>1022</v>
      </c>
      <c r="D788" s="4" t="s">
        <v>86</v>
      </c>
      <c r="E788" s="3" t="s">
        <v>1225</v>
      </c>
      <c r="F788" s="3" t="s">
        <v>102</v>
      </c>
      <c r="G788" s="4">
        <v>13</v>
      </c>
      <c r="H788" s="4">
        <v>12</v>
      </c>
      <c r="I788" s="4">
        <v>14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</row>
    <row r="789" spans="2:19" x14ac:dyDescent="0.25">
      <c r="B789" s="4">
        <v>30008704</v>
      </c>
      <c r="C789" s="1" t="s">
        <v>1073</v>
      </c>
      <c r="D789" s="4" t="s">
        <v>86</v>
      </c>
      <c r="E789" s="3"/>
      <c r="F789" s="3" t="s">
        <v>102</v>
      </c>
      <c r="G789" s="4">
        <v>17</v>
      </c>
      <c r="H789" s="4">
        <v>16</v>
      </c>
      <c r="I789" s="4">
        <v>30</v>
      </c>
      <c r="J789" s="4" t="s">
        <v>8</v>
      </c>
      <c r="K789" s="4" t="s">
        <v>7</v>
      </c>
      <c r="L789" s="11"/>
      <c r="M789" s="3"/>
      <c r="N789"/>
      <c r="O789" s="4"/>
      <c r="P789" s="1"/>
      <c r="Q789" s="22"/>
      <c r="R789"/>
      <c r="S789" s="11"/>
    </row>
    <row r="790" spans="2:19" x14ac:dyDescent="0.25">
      <c r="B790" s="4">
        <v>30008705</v>
      </c>
      <c r="C790" s="1" t="s">
        <v>882</v>
      </c>
      <c r="D790" s="4" t="s">
        <v>86</v>
      </c>
      <c r="E790" s="3" t="s">
        <v>1225</v>
      </c>
      <c r="F790" s="3" t="s">
        <v>102</v>
      </c>
      <c r="G790" s="4">
        <v>2</v>
      </c>
      <c r="H790" s="4">
        <v>1</v>
      </c>
      <c r="I790" s="4">
        <v>0</v>
      </c>
      <c r="J790" s="4" t="s">
        <v>8</v>
      </c>
      <c r="K790" s="4" t="s">
        <v>13</v>
      </c>
      <c r="L790" s="11" t="s">
        <v>1623</v>
      </c>
      <c r="M790" s="3"/>
      <c r="N790"/>
      <c r="O790" s="4"/>
      <c r="P790" s="1"/>
      <c r="Q790" s="22"/>
      <c r="R790"/>
      <c r="S790" s="11" t="s">
        <v>1588</v>
      </c>
    </row>
    <row r="791" spans="2:19" x14ac:dyDescent="0.25">
      <c r="B791" s="4">
        <v>30008706</v>
      </c>
      <c r="C791" s="1" t="s">
        <v>846</v>
      </c>
      <c r="D791" s="4" t="s">
        <v>86</v>
      </c>
      <c r="E791" s="3"/>
      <c r="F791" s="3" t="s">
        <v>102</v>
      </c>
      <c r="G791" s="4">
        <v>1</v>
      </c>
      <c r="H791" s="4">
        <v>2</v>
      </c>
      <c r="I791" s="4">
        <v>3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</row>
    <row r="792" spans="2:19" x14ac:dyDescent="0.25">
      <c r="B792" s="4">
        <v>30008707</v>
      </c>
      <c r="C792" s="1" t="s">
        <v>1023</v>
      </c>
      <c r="D792" s="4" t="s">
        <v>86</v>
      </c>
      <c r="E792" s="3" t="s">
        <v>1225</v>
      </c>
      <c r="F792" s="3" t="s">
        <v>102</v>
      </c>
      <c r="G792" s="4">
        <v>2</v>
      </c>
      <c r="H792" s="4">
        <v>2</v>
      </c>
      <c r="I792" s="4">
        <v>2</v>
      </c>
      <c r="J792" s="4" t="s">
        <v>8</v>
      </c>
      <c r="K792" s="4" t="s">
        <v>7</v>
      </c>
      <c r="L792" s="11"/>
      <c r="M792" s="3"/>
      <c r="N792"/>
      <c r="O792" s="4"/>
      <c r="P792" s="1"/>
      <c r="Q792" s="22"/>
      <c r="R792"/>
      <c r="S792" s="11"/>
    </row>
    <row r="793" spans="2:19" x14ac:dyDescent="0.25">
      <c r="B793" s="4">
        <v>30008708</v>
      </c>
      <c r="C793" s="1" t="s">
        <v>883</v>
      </c>
      <c r="D793" s="4" t="s">
        <v>86</v>
      </c>
      <c r="E793" s="3" t="s">
        <v>1225</v>
      </c>
      <c r="F793" s="3" t="s">
        <v>102</v>
      </c>
      <c r="G793" s="4">
        <v>2</v>
      </c>
      <c r="H793" s="4">
        <v>2</v>
      </c>
      <c r="I793" s="4">
        <v>0</v>
      </c>
      <c r="J793" s="4" t="s">
        <v>8</v>
      </c>
      <c r="K793" s="4" t="s">
        <v>13</v>
      </c>
      <c r="L793" s="11" t="s">
        <v>1623</v>
      </c>
      <c r="M793" s="3"/>
      <c r="N793"/>
      <c r="O793" s="4"/>
      <c r="P793" s="1"/>
      <c r="Q793" s="22"/>
      <c r="R793"/>
      <c r="S793" s="11" t="s">
        <v>1588</v>
      </c>
    </row>
    <row r="794" spans="2:19" x14ac:dyDescent="0.25">
      <c r="B794" s="4">
        <v>30008713</v>
      </c>
      <c r="C794" s="1" t="s">
        <v>535</v>
      </c>
      <c r="D794" s="4" t="s">
        <v>86</v>
      </c>
      <c r="E794" s="3"/>
      <c r="F794" s="3" t="s">
        <v>68</v>
      </c>
      <c r="G794" s="4">
        <v>4</v>
      </c>
      <c r="H794" s="4">
        <v>4</v>
      </c>
      <c r="I794" s="4">
        <v>6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</row>
    <row r="795" spans="2:19" x14ac:dyDescent="0.25">
      <c r="B795" s="4">
        <v>30008714</v>
      </c>
      <c r="C795" s="1" t="s">
        <v>1524</v>
      </c>
      <c r="D795" s="4" t="s">
        <v>86</v>
      </c>
      <c r="E795" s="3"/>
      <c r="F795" s="3" t="s">
        <v>68</v>
      </c>
      <c r="G795" s="4">
        <v>4</v>
      </c>
      <c r="H795" s="4">
        <v>4</v>
      </c>
      <c r="I795" s="4">
        <v>4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</row>
    <row r="796" spans="2:19" x14ac:dyDescent="0.25">
      <c r="B796" s="4">
        <v>30008718</v>
      </c>
      <c r="C796" s="1" t="s">
        <v>1421</v>
      </c>
      <c r="D796" s="4" t="s">
        <v>86</v>
      </c>
      <c r="E796" s="3"/>
      <c r="F796" s="3" t="s">
        <v>68</v>
      </c>
      <c r="G796" s="4">
        <v>4</v>
      </c>
      <c r="H796" s="4">
        <v>4</v>
      </c>
      <c r="I796" s="4">
        <v>7</v>
      </c>
      <c r="J796" s="4" t="s">
        <v>8</v>
      </c>
      <c r="K796" s="4" t="s">
        <v>7</v>
      </c>
      <c r="L796" s="11"/>
      <c r="M796" s="3"/>
      <c r="N796"/>
      <c r="O796" s="4"/>
      <c r="P796" s="1"/>
      <c r="Q796" s="22"/>
      <c r="R796"/>
      <c r="S796" s="11"/>
    </row>
    <row r="797" spans="2:19" x14ac:dyDescent="0.25">
      <c r="B797" s="4">
        <v>30008726</v>
      </c>
      <c r="C797" s="1" t="s">
        <v>1024</v>
      </c>
      <c r="D797" s="4" t="s">
        <v>86</v>
      </c>
      <c r="E797" s="3" t="s">
        <v>1225</v>
      </c>
      <c r="F797" s="3" t="s">
        <v>102</v>
      </c>
      <c r="G797" s="4">
        <v>3</v>
      </c>
      <c r="H797" s="4">
        <v>2</v>
      </c>
      <c r="I797" s="4">
        <v>4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</row>
    <row r="798" spans="2:19" x14ac:dyDescent="0.25">
      <c r="B798" s="4">
        <v>30008728</v>
      </c>
      <c r="C798" s="1" t="s">
        <v>1074</v>
      </c>
      <c r="D798" s="4" t="s">
        <v>86</v>
      </c>
      <c r="E798" s="3"/>
      <c r="F798" s="3" t="s">
        <v>102</v>
      </c>
      <c r="G798" s="4">
        <v>3</v>
      </c>
      <c r="H798" s="4">
        <v>2</v>
      </c>
      <c r="I798" s="4">
        <v>3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</row>
    <row r="799" spans="2:19" x14ac:dyDescent="0.25">
      <c r="B799" s="4">
        <v>30008729</v>
      </c>
      <c r="C799" s="1" t="s">
        <v>1144</v>
      </c>
      <c r="D799" s="4" t="s">
        <v>86</v>
      </c>
      <c r="E799" s="3"/>
      <c r="F799" s="3" t="s">
        <v>102</v>
      </c>
      <c r="G799" s="4">
        <v>4</v>
      </c>
      <c r="H799" s="4">
        <v>6</v>
      </c>
      <c r="I799" s="4">
        <v>9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</row>
    <row r="800" spans="2:19" x14ac:dyDescent="0.25">
      <c r="B800" s="4">
        <v>30008730</v>
      </c>
      <c r="C800" s="1" t="s">
        <v>1025</v>
      </c>
      <c r="D800" s="4" t="s">
        <v>86</v>
      </c>
      <c r="E800" s="3" t="s">
        <v>1225</v>
      </c>
      <c r="F800" s="3" t="s">
        <v>102</v>
      </c>
      <c r="G800" s="4">
        <v>5</v>
      </c>
      <c r="H800" s="4">
        <v>4</v>
      </c>
      <c r="I800" s="4">
        <v>6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</row>
    <row r="801" spans="2:19" x14ac:dyDescent="0.25">
      <c r="B801" s="4">
        <v>30008759</v>
      </c>
      <c r="C801" s="1" t="s">
        <v>536</v>
      </c>
      <c r="D801" s="4" t="s">
        <v>86</v>
      </c>
      <c r="E801" s="3"/>
      <c r="F801" s="3" t="s">
        <v>68</v>
      </c>
      <c r="G801" s="4">
        <v>6</v>
      </c>
      <c r="H801" s="4">
        <v>6</v>
      </c>
      <c r="I801" s="4">
        <v>6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</row>
    <row r="802" spans="2:19" x14ac:dyDescent="0.25">
      <c r="B802" s="4">
        <v>30008760</v>
      </c>
      <c r="C802" s="1" t="s">
        <v>537</v>
      </c>
      <c r="D802" s="4" t="s">
        <v>86</v>
      </c>
      <c r="E802" s="74"/>
      <c r="F802" s="3" t="s">
        <v>68</v>
      </c>
      <c r="G802" s="4">
        <v>6</v>
      </c>
      <c r="H802" s="4">
        <v>6</v>
      </c>
      <c r="I802" s="4">
        <v>6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</row>
    <row r="803" spans="2:19" x14ac:dyDescent="0.25">
      <c r="B803" s="4">
        <v>30008761</v>
      </c>
      <c r="C803" s="1" t="s">
        <v>538</v>
      </c>
      <c r="D803" s="4" t="s">
        <v>86</v>
      </c>
      <c r="E803" s="3"/>
      <c r="F803" s="3" t="s">
        <v>68</v>
      </c>
      <c r="G803" s="4">
        <v>12</v>
      </c>
      <c r="H803" s="4">
        <v>12</v>
      </c>
      <c r="I803" s="4">
        <v>12</v>
      </c>
      <c r="J803" s="4" t="s">
        <v>8</v>
      </c>
      <c r="K803" s="4" t="s">
        <v>7</v>
      </c>
      <c r="L803" s="11"/>
      <c r="M803" s="67"/>
      <c r="N803"/>
      <c r="O803" s="4"/>
      <c r="P803" s="1"/>
      <c r="Q803" s="22"/>
      <c r="R803"/>
      <c r="S803" s="11"/>
    </row>
    <row r="804" spans="2:19" x14ac:dyDescent="0.25">
      <c r="B804" s="4">
        <v>30008765</v>
      </c>
      <c r="C804" s="1" t="s">
        <v>539</v>
      </c>
      <c r="D804" s="4" t="s">
        <v>86</v>
      </c>
      <c r="E804" s="3"/>
      <c r="F804" s="3" t="s">
        <v>68</v>
      </c>
      <c r="G804" s="4">
        <v>2</v>
      </c>
      <c r="H804" s="4">
        <v>2</v>
      </c>
      <c r="I804" s="4">
        <v>2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</row>
    <row r="805" spans="2:19" x14ac:dyDescent="0.25">
      <c r="B805" s="4">
        <v>30008773</v>
      </c>
      <c r="C805" s="1" t="s">
        <v>1026</v>
      </c>
      <c r="D805" s="4" t="s">
        <v>86</v>
      </c>
      <c r="E805" s="3"/>
      <c r="F805" s="3" t="s">
        <v>102</v>
      </c>
      <c r="G805" s="4">
        <v>33</v>
      </c>
      <c r="H805" s="4">
        <v>32</v>
      </c>
      <c r="I805" s="4">
        <v>39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 t="s">
        <v>1609</v>
      </c>
    </row>
    <row r="806" spans="2:19" x14ac:dyDescent="0.25">
      <c r="B806" s="4">
        <v>30008774</v>
      </c>
      <c r="C806" s="1" t="s">
        <v>1027</v>
      </c>
      <c r="D806" s="4" t="s">
        <v>86</v>
      </c>
      <c r="E806" s="3"/>
      <c r="F806" s="3" t="s">
        <v>102</v>
      </c>
      <c r="G806" s="4">
        <v>5</v>
      </c>
      <c r="H806" s="4">
        <v>4</v>
      </c>
      <c r="I806" s="4">
        <v>7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</row>
    <row r="807" spans="2:19" x14ac:dyDescent="0.25">
      <c r="B807" s="4">
        <v>30008776</v>
      </c>
      <c r="C807" s="1" t="s">
        <v>1075</v>
      </c>
      <c r="D807" s="4" t="s">
        <v>86</v>
      </c>
      <c r="E807" s="3" t="s">
        <v>1225</v>
      </c>
      <c r="F807" s="3" t="s">
        <v>102</v>
      </c>
      <c r="G807" s="4">
        <v>4</v>
      </c>
      <c r="H807" s="4">
        <v>4</v>
      </c>
      <c r="I807" s="4">
        <v>5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</row>
    <row r="808" spans="2:19" x14ac:dyDescent="0.25">
      <c r="B808" s="4">
        <v>30008779</v>
      </c>
      <c r="C808" s="1" t="s">
        <v>1028</v>
      </c>
      <c r="D808" s="4" t="s">
        <v>86</v>
      </c>
      <c r="E808" s="3" t="s">
        <v>1225</v>
      </c>
      <c r="F808" s="3" t="s">
        <v>102</v>
      </c>
      <c r="G808" s="4">
        <v>17</v>
      </c>
      <c r="H808" s="4">
        <v>16</v>
      </c>
      <c r="I808" s="4">
        <v>10</v>
      </c>
      <c r="J808" s="4" t="s">
        <v>8</v>
      </c>
      <c r="K808" s="4" t="s">
        <v>9</v>
      </c>
      <c r="L808" s="11" t="s">
        <v>1673</v>
      </c>
      <c r="M808" s="3">
        <v>16</v>
      </c>
      <c r="N808"/>
      <c r="O808" s="4"/>
      <c r="P808" s="1"/>
      <c r="Q808" s="22"/>
      <c r="R808"/>
      <c r="S808" s="11"/>
    </row>
    <row r="809" spans="2:19" x14ac:dyDescent="0.25">
      <c r="B809" s="4">
        <v>30008781</v>
      </c>
      <c r="C809" s="1" t="s">
        <v>1076</v>
      </c>
      <c r="D809" s="4" t="s">
        <v>86</v>
      </c>
      <c r="E809" s="3" t="s">
        <v>1225</v>
      </c>
      <c r="F809" s="3" t="s">
        <v>102</v>
      </c>
      <c r="G809" s="4">
        <v>9</v>
      </c>
      <c r="H809" s="4">
        <v>5</v>
      </c>
      <c r="I809" s="4">
        <v>4</v>
      </c>
      <c r="J809" s="4" t="s">
        <v>8</v>
      </c>
      <c r="K809" s="4" t="s">
        <v>9</v>
      </c>
      <c r="L809" s="11"/>
      <c r="M809" s="3"/>
      <c r="N809">
        <v>4502683988</v>
      </c>
      <c r="O809" s="4">
        <v>2</v>
      </c>
      <c r="P809" s="1" t="s">
        <v>1360</v>
      </c>
      <c r="Q809" s="22">
        <v>46371</v>
      </c>
      <c r="R809"/>
      <c r="S809" s="11"/>
    </row>
    <row r="810" spans="2:19" x14ac:dyDescent="0.25">
      <c r="B810" s="4">
        <v>30008782</v>
      </c>
      <c r="C810" s="1" t="s">
        <v>1077</v>
      </c>
      <c r="D810" s="4" t="s">
        <v>86</v>
      </c>
      <c r="E810" s="3" t="s">
        <v>1225</v>
      </c>
      <c r="F810" s="3" t="s">
        <v>102</v>
      </c>
      <c r="G810" s="4">
        <v>5</v>
      </c>
      <c r="H810" s="4">
        <v>4</v>
      </c>
      <c r="I810" s="4">
        <v>4</v>
      </c>
      <c r="J810" s="4" t="s">
        <v>8</v>
      </c>
      <c r="K810" s="4" t="s">
        <v>9</v>
      </c>
      <c r="L810" s="11" t="s">
        <v>1624</v>
      </c>
      <c r="M810" s="3"/>
      <c r="N810"/>
      <c r="O810" s="4"/>
      <c r="P810" s="1"/>
      <c r="Q810" s="22"/>
      <c r="R810"/>
      <c r="S810" s="11" t="s">
        <v>1580</v>
      </c>
    </row>
    <row r="811" spans="2:19" x14ac:dyDescent="0.25">
      <c r="B811" s="4">
        <v>30008788</v>
      </c>
      <c r="C811" s="1" t="s">
        <v>1029</v>
      </c>
      <c r="D811" s="4" t="s">
        <v>86</v>
      </c>
      <c r="E811" s="3"/>
      <c r="F811" s="3" t="s">
        <v>102</v>
      </c>
      <c r="G811" s="4">
        <v>5</v>
      </c>
      <c r="H811" s="4">
        <v>4</v>
      </c>
      <c r="I811" s="4">
        <v>6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</row>
    <row r="812" spans="2:19" x14ac:dyDescent="0.25">
      <c r="B812" s="4">
        <v>30008789</v>
      </c>
      <c r="C812" s="1" t="s">
        <v>1030</v>
      </c>
      <c r="D812" s="4" t="s">
        <v>86</v>
      </c>
      <c r="E812" s="3" t="s">
        <v>1225</v>
      </c>
      <c r="F812" s="3" t="s">
        <v>102</v>
      </c>
      <c r="G812" s="4">
        <v>5</v>
      </c>
      <c r="H812" s="4">
        <v>4</v>
      </c>
      <c r="I812" s="4">
        <v>6</v>
      </c>
      <c r="J812" s="4" t="s">
        <v>8</v>
      </c>
      <c r="K812" s="4" t="s">
        <v>7</v>
      </c>
      <c r="L812" s="11"/>
      <c r="M812" s="3"/>
      <c r="N812"/>
      <c r="O812" s="4"/>
      <c r="P812" s="1"/>
      <c r="Q812" s="22"/>
      <c r="R812"/>
      <c r="S812" s="11"/>
    </row>
    <row r="813" spans="2:19" x14ac:dyDescent="0.25">
      <c r="B813" s="4">
        <v>30008790</v>
      </c>
      <c r="C813" s="1" t="s">
        <v>1031</v>
      </c>
      <c r="D813" s="4" t="s">
        <v>86</v>
      </c>
      <c r="E813" s="3"/>
      <c r="F813" s="3" t="s">
        <v>102</v>
      </c>
      <c r="G813" s="4">
        <v>5</v>
      </c>
      <c r="H813" s="4">
        <v>4</v>
      </c>
      <c r="I813" s="4">
        <v>8</v>
      </c>
      <c r="J813" s="4" t="s">
        <v>8</v>
      </c>
      <c r="K813" s="4" t="s">
        <v>7</v>
      </c>
      <c r="L813" s="11"/>
      <c r="M813" s="3"/>
      <c r="N813"/>
      <c r="O813" s="4"/>
      <c r="P813" s="1"/>
      <c r="Q813" s="22"/>
      <c r="R813"/>
      <c r="S813" s="11"/>
    </row>
    <row r="814" spans="2:19" x14ac:dyDescent="0.25">
      <c r="B814" s="4">
        <v>30008791</v>
      </c>
      <c r="C814" s="1" t="s">
        <v>1032</v>
      </c>
      <c r="D814" s="4" t="s">
        <v>86</v>
      </c>
      <c r="E814" s="3"/>
      <c r="F814" s="3" t="s">
        <v>102</v>
      </c>
      <c r="G814" s="4">
        <v>5</v>
      </c>
      <c r="H814" s="4">
        <v>4</v>
      </c>
      <c r="I814" s="4">
        <v>4</v>
      </c>
      <c r="J814" s="4" t="s">
        <v>8</v>
      </c>
      <c r="K814" s="4" t="s">
        <v>9</v>
      </c>
      <c r="L814" s="11"/>
      <c r="M814" s="3"/>
      <c r="N814">
        <v>4502674396</v>
      </c>
      <c r="O814" s="4">
        <v>4</v>
      </c>
      <c r="P814" s="1" t="s">
        <v>1577</v>
      </c>
      <c r="Q814" s="22">
        <v>46248</v>
      </c>
      <c r="R814"/>
      <c r="S814" s="11"/>
    </row>
    <row r="815" spans="2:19" x14ac:dyDescent="0.25">
      <c r="B815" s="4">
        <v>30008792</v>
      </c>
      <c r="C815" s="1" t="s">
        <v>540</v>
      </c>
      <c r="D815" s="4" t="s">
        <v>86</v>
      </c>
      <c r="E815" s="3"/>
      <c r="F815" s="3" t="s">
        <v>68</v>
      </c>
      <c r="G815" s="4">
        <v>10</v>
      </c>
      <c r="H815" s="4">
        <v>10</v>
      </c>
      <c r="I815" s="4">
        <v>21</v>
      </c>
      <c r="J815" s="4" t="s">
        <v>8</v>
      </c>
      <c r="K815" s="4" t="s">
        <v>14</v>
      </c>
      <c r="L815" s="11"/>
      <c r="M815" s="3"/>
      <c r="N815"/>
      <c r="O815" s="4"/>
      <c r="P815" s="1"/>
      <c r="Q815" s="22"/>
      <c r="R815"/>
      <c r="S815" s="11"/>
    </row>
    <row r="816" spans="2:19" x14ac:dyDescent="0.25">
      <c r="B816" s="4">
        <v>30008795</v>
      </c>
      <c r="C816" s="1" t="s">
        <v>541</v>
      </c>
      <c r="D816" s="4" t="s">
        <v>86</v>
      </c>
      <c r="E816" s="3"/>
      <c r="F816" s="3" t="s">
        <v>68</v>
      </c>
      <c r="G816" s="4">
        <v>10</v>
      </c>
      <c r="H816" s="4">
        <v>10</v>
      </c>
      <c r="I816" s="4">
        <v>18</v>
      </c>
      <c r="J816" s="4" t="s">
        <v>8</v>
      </c>
      <c r="K816" s="4" t="s">
        <v>7</v>
      </c>
      <c r="L816" s="11"/>
      <c r="M816" s="3"/>
      <c r="N816"/>
      <c r="O816" s="4"/>
      <c r="P816" s="1"/>
      <c r="Q816" s="22"/>
      <c r="R816"/>
      <c r="S816" s="11"/>
    </row>
    <row r="817" spans="2:19" x14ac:dyDescent="0.25">
      <c r="B817" s="4">
        <v>30008796</v>
      </c>
      <c r="C817" s="1" t="s">
        <v>542</v>
      </c>
      <c r="D817" s="4" t="s">
        <v>86</v>
      </c>
      <c r="E817" s="3"/>
      <c r="F817" s="3" t="s">
        <v>68</v>
      </c>
      <c r="G817" s="4">
        <v>10</v>
      </c>
      <c r="H817" s="4">
        <v>10</v>
      </c>
      <c r="I817" s="4">
        <v>10</v>
      </c>
      <c r="J817" s="4" t="s">
        <v>8</v>
      </c>
      <c r="K817" s="4" t="s">
        <v>7</v>
      </c>
      <c r="L817" s="11"/>
      <c r="M817" s="3"/>
      <c r="N817"/>
      <c r="O817" s="4"/>
      <c r="P817" s="1"/>
      <c r="Q817" s="22"/>
      <c r="R817"/>
      <c r="S817" s="11"/>
    </row>
    <row r="818" spans="2:19" x14ac:dyDescent="0.25">
      <c r="B818" s="4">
        <v>30008798</v>
      </c>
      <c r="C818" s="1" t="s">
        <v>1033</v>
      </c>
      <c r="D818" s="4" t="s">
        <v>86</v>
      </c>
      <c r="E818" s="3"/>
      <c r="F818" s="3" t="s">
        <v>102</v>
      </c>
      <c r="G818" s="4">
        <v>18</v>
      </c>
      <c r="H818" s="4">
        <v>8</v>
      </c>
      <c r="I818" s="4">
        <v>24</v>
      </c>
      <c r="J818" s="4" t="s">
        <v>8</v>
      </c>
      <c r="K818" s="4" t="s">
        <v>7</v>
      </c>
      <c r="L818" s="11"/>
      <c r="M818" s="3"/>
      <c r="N818"/>
      <c r="O818" s="4"/>
      <c r="P818" s="1"/>
      <c r="Q818" s="22"/>
      <c r="R818"/>
      <c r="S818" s="11"/>
    </row>
    <row r="819" spans="2:19" x14ac:dyDescent="0.25">
      <c r="B819" s="4">
        <v>30008799</v>
      </c>
      <c r="C819" s="1" t="s">
        <v>1034</v>
      </c>
      <c r="D819" s="4" t="s">
        <v>86</v>
      </c>
      <c r="E819" s="3" t="s">
        <v>1225</v>
      </c>
      <c r="F819" s="3" t="s">
        <v>102</v>
      </c>
      <c r="G819" s="4">
        <v>18</v>
      </c>
      <c r="H819" s="4">
        <v>8</v>
      </c>
      <c r="I819" s="4">
        <v>24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</row>
    <row r="820" spans="2:19" x14ac:dyDescent="0.25">
      <c r="B820" s="4">
        <v>30008800</v>
      </c>
      <c r="C820" s="1" t="s">
        <v>1035</v>
      </c>
      <c r="D820" s="4" t="s">
        <v>86</v>
      </c>
      <c r="E820" s="3"/>
      <c r="F820" s="3" t="s">
        <v>102</v>
      </c>
      <c r="G820" s="4">
        <v>9</v>
      </c>
      <c r="H820" s="4">
        <v>16</v>
      </c>
      <c r="I820" s="4">
        <v>24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</row>
    <row r="821" spans="2:19" x14ac:dyDescent="0.25">
      <c r="B821" s="4">
        <v>30008801</v>
      </c>
      <c r="C821" s="1" t="s">
        <v>1036</v>
      </c>
      <c r="D821" s="4" t="s">
        <v>86</v>
      </c>
      <c r="E821" s="74" t="s">
        <v>1225</v>
      </c>
      <c r="F821" s="3" t="s">
        <v>102</v>
      </c>
      <c r="G821" s="4">
        <v>17</v>
      </c>
      <c r="H821" s="4">
        <v>16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</row>
    <row r="822" spans="2:19" x14ac:dyDescent="0.25">
      <c r="B822" s="4">
        <v>30008802</v>
      </c>
      <c r="C822" s="1" t="s">
        <v>1037</v>
      </c>
      <c r="D822" s="4" t="s">
        <v>86</v>
      </c>
      <c r="E822" s="3"/>
      <c r="F822" s="3" t="s">
        <v>102</v>
      </c>
      <c r="G822" s="4">
        <v>9</v>
      </c>
      <c r="H822" s="4">
        <v>16</v>
      </c>
      <c r="I822" s="4">
        <v>16</v>
      </c>
      <c r="J822" s="4" t="s">
        <v>8</v>
      </c>
      <c r="K822" s="4" t="s">
        <v>7</v>
      </c>
      <c r="L822" s="11"/>
      <c r="M822" s="3"/>
      <c r="N822"/>
      <c r="O822" s="4"/>
      <c r="P822" s="1"/>
      <c r="Q822" s="22"/>
      <c r="R822"/>
      <c r="S822" s="11"/>
    </row>
    <row r="823" spans="2:19" x14ac:dyDescent="0.25">
      <c r="B823" s="4">
        <v>30008803</v>
      </c>
      <c r="C823" s="1" t="s">
        <v>1078</v>
      </c>
      <c r="D823" s="4" t="s">
        <v>86</v>
      </c>
      <c r="E823" s="3" t="s">
        <v>1225</v>
      </c>
      <c r="F823" s="3" t="s">
        <v>102</v>
      </c>
      <c r="G823" s="4">
        <v>2</v>
      </c>
      <c r="H823" s="4">
        <v>1</v>
      </c>
      <c r="I823" s="4">
        <v>1</v>
      </c>
      <c r="J823" s="4" t="s">
        <v>8</v>
      </c>
      <c r="K823" s="4" t="s">
        <v>9</v>
      </c>
      <c r="L823" s="11"/>
      <c r="M823" s="3"/>
      <c r="N823">
        <v>4502611854</v>
      </c>
      <c r="O823" s="4">
        <v>1</v>
      </c>
      <c r="P823" s="1" t="s">
        <v>1360</v>
      </c>
      <c r="Q823" s="22">
        <v>46185</v>
      </c>
      <c r="R823"/>
      <c r="S823" s="11"/>
    </row>
    <row r="824" spans="2:19" x14ac:dyDescent="0.25">
      <c r="B824" s="4">
        <v>30008804</v>
      </c>
      <c r="C824" s="1" t="s">
        <v>1079</v>
      </c>
      <c r="D824" s="4" t="s">
        <v>86</v>
      </c>
      <c r="E824" s="3" t="s">
        <v>1225</v>
      </c>
      <c r="F824" s="3" t="s">
        <v>102</v>
      </c>
      <c r="G824" s="4">
        <v>2</v>
      </c>
      <c r="H824" s="4">
        <v>1</v>
      </c>
      <c r="I824" s="4">
        <v>1</v>
      </c>
      <c r="J824" s="4" t="s">
        <v>8</v>
      </c>
      <c r="K824" s="4" t="s">
        <v>9</v>
      </c>
      <c r="L824" s="11" t="s">
        <v>1624</v>
      </c>
      <c r="M824" s="3"/>
      <c r="N824"/>
      <c r="O824" s="4"/>
      <c r="P824" s="1"/>
      <c r="Q824" s="22"/>
      <c r="R824"/>
      <c r="S824" s="11" t="s">
        <v>1592</v>
      </c>
    </row>
    <row r="825" spans="2:19" x14ac:dyDescent="0.25">
      <c r="B825" s="4">
        <v>30008805</v>
      </c>
      <c r="C825" s="1" t="s">
        <v>1080</v>
      </c>
      <c r="D825" s="4" t="s">
        <v>86</v>
      </c>
      <c r="E825" s="3"/>
      <c r="F825" s="3" t="s">
        <v>102</v>
      </c>
      <c r="G825" s="4">
        <v>3</v>
      </c>
      <c r="H825" s="4">
        <v>2</v>
      </c>
      <c r="I825" s="4">
        <v>2</v>
      </c>
      <c r="J825" s="4" t="s">
        <v>8</v>
      </c>
      <c r="K825" s="4" t="s">
        <v>9</v>
      </c>
      <c r="L825" s="11"/>
      <c r="M825" s="3"/>
      <c r="N825">
        <v>4502575379</v>
      </c>
      <c r="O825" s="4">
        <v>1</v>
      </c>
      <c r="P825" s="1" t="s">
        <v>1360</v>
      </c>
      <c r="Q825" s="22">
        <v>46115</v>
      </c>
      <c r="R825"/>
      <c r="S825" s="11"/>
    </row>
    <row r="826" spans="2:19" x14ac:dyDescent="0.25">
      <c r="B826" s="4">
        <v>30008806</v>
      </c>
      <c r="C826" s="1" t="s">
        <v>543</v>
      </c>
      <c r="D826" s="4" t="s">
        <v>86</v>
      </c>
      <c r="E826" s="3"/>
      <c r="F826" s="3" t="s">
        <v>102</v>
      </c>
      <c r="G826" s="4">
        <v>5</v>
      </c>
      <c r="H826" s="4">
        <v>4</v>
      </c>
      <c r="I826" s="4">
        <v>23</v>
      </c>
      <c r="J826" s="4" t="s">
        <v>8</v>
      </c>
      <c r="K826" s="4" t="s">
        <v>14</v>
      </c>
      <c r="L826" s="11"/>
      <c r="M826" s="3"/>
      <c r="N826"/>
      <c r="O826" s="4"/>
      <c r="P826" s="1"/>
      <c r="Q826" s="22"/>
      <c r="R826"/>
      <c r="S826" s="11"/>
    </row>
    <row r="827" spans="2:19" x14ac:dyDescent="0.25">
      <c r="B827" s="4">
        <v>30008808</v>
      </c>
      <c r="C827" s="1" t="s">
        <v>1038</v>
      </c>
      <c r="D827" s="4" t="s">
        <v>86</v>
      </c>
      <c r="E827" s="3"/>
      <c r="F827" s="3" t="s">
        <v>102</v>
      </c>
      <c r="G827" s="4">
        <v>5</v>
      </c>
      <c r="H827" s="4">
        <v>4</v>
      </c>
      <c r="I827" s="4">
        <v>11</v>
      </c>
      <c r="J827" s="4" t="s">
        <v>8</v>
      </c>
      <c r="K827" s="4" t="s">
        <v>14</v>
      </c>
      <c r="L827" s="11"/>
      <c r="M827" s="3"/>
      <c r="N827"/>
      <c r="O827" s="4"/>
      <c r="P827" s="1"/>
      <c r="Q827" s="22"/>
      <c r="R827"/>
      <c r="S827" s="11"/>
    </row>
    <row r="828" spans="2:19" x14ac:dyDescent="0.25">
      <c r="B828" s="4">
        <v>30008809</v>
      </c>
      <c r="C828" s="1" t="s">
        <v>1081</v>
      </c>
      <c r="D828" s="4" t="s">
        <v>86</v>
      </c>
      <c r="E828" s="3"/>
      <c r="F828" s="3" t="s">
        <v>102</v>
      </c>
      <c r="G828" s="4">
        <v>5</v>
      </c>
      <c r="H828" s="4">
        <v>8</v>
      </c>
      <c r="I828" s="4">
        <v>13</v>
      </c>
      <c r="J828" s="4" t="s">
        <v>8</v>
      </c>
      <c r="K828" s="4" t="s">
        <v>7</v>
      </c>
      <c r="L828" s="11"/>
      <c r="M828" s="3"/>
      <c r="N828"/>
      <c r="O828" s="4"/>
      <c r="P828" s="1"/>
      <c r="Q828" s="22"/>
      <c r="R828"/>
      <c r="S828" s="11"/>
    </row>
    <row r="829" spans="2:19" x14ac:dyDescent="0.25">
      <c r="B829" s="4">
        <v>30008810</v>
      </c>
      <c r="C829" s="1" t="s">
        <v>1082</v>
      </c>
      <c r="D829" s="4" t="s">
        <v>86</v>
      </c>
      <c r="E829" s="3"/>
      <c r="F829" s="3" t="s">
        <v>102</v>
      </c>
      <c r="G829" s="4">
        <v>5</v>
      </c>
      <c r="H829" s="4">
        <v>4</v>
      </c>
      <c r="I829" s="4">
        <v>5</v>
      </c>
      <c r="J829" s="4" t="s">
        <v>8</v>
      </c>
      <c r="K829" s="4" t="s">
        <v>7</v>
      </c>
      <c r="L829" s="11"/>
      <c r="M829" s="3"/>
      <c r="N829"/>
      <c r="O829" s="4"/>
      <c r="P829" s="1"/>
      <c r="Q829" s="22"/>
      <c r="R829"/>
      <c r="S829" s="11"/>
    </row>
    <row r="830" spans="2:19" x14ac:dyDescent="0.25">
      <c r="B830" s="4">
        <v>30008811</v>
      </c>
      <c r="C830" s="1" t="s">
        <v>1039</v>
      </c>
      <c r="D830" s="4" t="s">
        <v>86</v>
      </c>
      <c r="E830" s="3" t="s">
        <v>1225</v>
      </c>
      <c r="F830" s="3" t="s">
        <v>102</v>
      </c>
      <c r="G830" s="4">
        <v>3</v>
      </c>
      <c r="H830" s="4">
        <v>2</v>
      </c>
      <c r="I830" s="4">
        <v>3</v>
      </c>
      <c r="J830" s="4" t="s">
        <v>8</v>
      </c>
      <c r="K830" s="4" t="s">
        <v>7</v>
      </c>
      <c r="L830" s="11"/>
      <c r="M830" s="3"/>
      <c r="N830"/>
      <c r="O830" s="4"/>
      <c r="P830" s="1"/>
      <c r="Q830" s="22"/>
      <c r="R830"/>
      <c r="S830" s="11"/>
    </row>
    <row r="831" spans="2:19" x14ac:dyDescent="0.25">
      <c r="B831" s="4">
        <v>30008812</v>
      </c>
      <c r="C831" s="1" t="s">
        <v>1040</v>
      </c>
      <c r="D831" s="4" t="s">
        <v>86</v>
      </c>
      <c r="E831" s="3" t="s">
        <v>1225</v>
      </c>
      <c r="F831" s="3" t="s">
        <v>102</v>
      </c>
      <c r="G831" s="4">
        <v>3</v>
      </c>
      <c r="H831" s="4">
        <v>2</v>
      </c>
      <c r="I831" s="4">
        <v>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</row>
    <row r="832" spans="2:19" x14ac:dyDescent="0.25">
      <c r="B832" s="4">
        <v>30008813</v>
      </c>
      <c r="C832" s="1" t="s">
        <v>1041</v>
      </c>
      <c r="D832" s="4" t="s">
        <v>86</v>
      </c>
      <c r="E832" s="3" t="s">
        <v>1225</v>
      </c>
      <c r="F832" s="3" t="s">
        <v>102</v>
      </c>
      <c r="G832" s="4">
        <v>3</v>
      </c>
      <c r="H832" s="4">
        <v>2</v>
      </c>
      <c r="I832" s="4">
        <v>3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</row>
    <row r="833" spans="2:19" x14ac:dyDescent="0.25">
      <c r="B833" s="4">
        <v>30008814</v>
      </c>
      <c r="C833" s="1" t="s">
        <v>1042</v>
      </c>
      <c r="D833" s="4" t="s">
        <v>86</v>
      </c>
      <c r="E833" s="3" t="s">
        <v>1225</v>
      </c>
      <c r="F833" s="3" t="s">
        <v>102</v>
      </c>
      <c r="G833" s="4">
        <v>5</v>
      </c>
      <c r="H833" s="4">
        <v>4</v>
      </c>
      <c r="I833" s="4">
        <v>6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</row>
    <row r="834" spans="2:19" x14ac:dyDescent="0.25">
      <c r="B834" s="4">
        <v>30008815</v>
      </c>
      <c r="C834" s="1" t="s">
        <v>1043</v>
      </c>
      <c r="D834" s="4" t="s">
        <v>86</v>
      </c>
      <c r="E834" s="3"/>
      <c r="F834" s="3" t="s">
        <v>102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</row>
    <row r="835" spans="2:19" x14ac:dyDescent="0.25">
      <c r="B835" s="4">
        <v>30008817</v>
      </c>
      <c r="C835" s="1" t="s">
        <v>1045</v>
      </c>
      <c r="D835" s="4" t="s">
        <v>86</v>
      </c>
      <c r="E835" s="3"/>
      <c r="F835" s="3" t="s">
        <v>102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</row>
    <row r="836" spans="2:19" x14ac:dyDescent="0.25">
      <c r="B836" s="4">
        <v>30008818</v>
      </c>
      <c r="C836" s="1" t="s">
        <v>544</v>
      </c>
      <c r="D836" s="4" t="s">
        <v>86</v>
      </c>
      <c r="E836" s="3"/>
      <c r="F836" s="3" t="s">
        <v>68</v>
      </c>
      <c r="G836" s="4">
        <v>8</v>
      </c>
      <c r="H836" s="4">
        <v>8</v>
      </c>
      <c r="I836" s="4">
        <v>8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</row>
    <row r="837" spans="2:19" x14ac:dyDescent="0.25">
      <c r="B837" s="4">
        <v>30008847</v>
      </c>
      <c r="C837" s="1" t="s">
        <v>545</v>
      </c>
      <c r="D837" s="4" t="s">
        <v>86</v>
      </c>
      <c r="E837" s="3"/>
      <c r="F837" s="3" t="s">
        <v>68</v>
      </c>
      <c r="G837" s="4">
        <v>4</v>
      </c>
      <c r="H837" s="4">
        <v>4</v>
      </c>
      <c r="I837" s="4">
        <v>10</v>
      </c>
      <c r="J837" s="4" t="s">
        <v>8</v>
      </c>
      <c r="K837" s="4" t="s">
        <v>14</v>
      </c>
      <c r="L837" s="11"/>
      <c r="M837" s="3"/>
      <c r="N837"/>
      <c r="O837" s="4"/>
      <c r="P837" s="1"/>
      <c r="Q837" s="22"/>
      <c r="R837"/>
      <c r="S837" s="11"/>
    </row>
    <row r="838" spans="2:19" x14ac:dyDescent="0.25">
      <c r="B838" s="4">
        <v>30008854</v>
      </c>
      <c r="C838" s="1" t="s">
        <v>546</v>
      </c>
      <c r="D838" s="4" t="s">
        <v>86</v>
      </c>
      <c r="E838" s="3"/>
      <c r="F838" s="3" t="s">
        <v>68</v>
      </c>
      <c r="G838" s="4">
        <v>32</v>
      </c>
      <c r="H838" s="4">
        <v>32</v>
      </c>
      <c r="I838" s="4">
        <v>32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</row>
    <row r="839" spans="2:19" x14ac:dyDescent="0.25">
      <c r="B839" s="4">
        <v>30008856</v>
      </c>
      <c r="C839" s="1" t="s">
        <v>1046</v>
      </c>
      <c r="D839" s="4" t="s">
        <v>86</v>
      </c>
      <c r="E839" s="3"/>
      <c r="F839" s="3" t="s">
        <v>102</v>
      </c>
      <c r="G839" s="4">
        <v>5</v>
      </c>
      <c r="H839" s="4">
        <v>4</v>
      </c>
      <c r="I839" s="4">
        <v>7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</row>
    <row r="840" spans="2:19" x14ac:dyDescent="0.25">
      <c r="B840" s="4">
        <v>30008857</v>
      </c>
      <c r="C840" s="1" t="s">
        <v>1047</v>
      </c>
      <c r="D840" s="4" t="s">
        <v>86</v>
      </c>
      <c r="E840" s="3"/>
      <c r="F840" s="3" t="s">
        <v>102</v>
      </c>
      <c r="G840" s="4">
        <v>5</v>
      </c>
      <c r="H840" s="4">
        <v>4</v>
      </c>
      <c r="I840" s="4">
        <v>8</v>
      </c>
      <c r="J840" s="4" t="s">
        <v>8</v>
      </c>
      <c r="K840" s="4" t="s">
        <v>7</v>
      </c>
      <c r="L840" s="11"/>
      <c r="M840" s="3"/>
      <c r="N840"/>
      <c r="O840" s="4"/>
      <c r="P840" s="1"/>
      <c r="Q840" s="22"/>
      <c r="R840"/>
      <c r="S840" s="11"/>
    </row>
    <row r="841" spans="2:19" x14ac:dyDescent="0.25">
      <c r="B841" s="4">
        <v>30008858</v>
      </c>
      <c r="C841" s="1" t="s">
        <v>1048</v>
      </c>
      <c r="D841" s="4" t="s">
        <v>86</v>
      </c>
      <c r="E841" s="3"/>
      <c r="F841" s="3" t="s">
        <v>102</v>
      </c>
      <c r="G841" s="4">
        <v>5</v>
      </c>
      <c r="H841" s="4">
        <v>4</v>
      </c>
      <c r="I841" s="4">
        <v>17</v>
      </c>
      <c r="J841" s="4" t="s">
        <v>8</v>
      </c>
      <c r="K841" s="4" t="s">
        <v>14</v>
      </c>
      <c r="L841" s="11"/>
      <c r="M841" s="3"/>
      <c r="N841"/>
      <c r="O841" s="4"/>
      <c r="P841" s="1"/>
      <c r="Q841" s="22"/>
      <c r="R841"/>
      <c r="S841" s="11"/>
    </row>
    <row r="842" spans="2:19" x14ac:dyDescent="0.25">
      <c r="B842" s="4">
        <v>30008859</v>
      </c>
      <c r="C842" s="1" t="s">
        <v>1049</v>
      </c>
      <c r="D842" s="4" t="s">
        <v>86</v>
      </c>
      <c r="E842" s="3"/>
      <c r="F842" s="3" t="s">
        <v>102</v>
      </c>
      <c r="G842" s="4">
        <v>5</v>
      </c>
      <c r="H842" s="4">
        <v>4</v>
      </c>
      <c r="I842" s="4">
        <v>13</v>
      </c>
      <c r="J842" s="4" t="s">
        <v>8</v>
      </c>
      <c r="K842" s="4" t="s">
        <v>14</v>
      </c>
      <c r="L842" s="11"/>
      <c r="M842" s="3"/>
      <c r="N842"/>
      <c r="O842" s="4"/>
      <c r="P842" s="1"/>
      <c r="Q842" s="22"/>
      <c r="R842"/>
      <c r="S842" s="11"/>
    </row>
    <row r="843" spans="2:19" x14ac:dyDescent="0.25">
      <c r="B843" s="4">
        <v>30008931</v>
      </c>
      <c r="C843" s="1" t="s">
        <v>547</v>
      </c>
      <c r="D843" s="4" t="s">
        <v>86</v>
      </c>
      <c r="E843" s="3"/>
      <c r="F843" s="3" t="s">
        <v>68</v>
      </c>
      <c r="G843" s="4">
        <v>20</v>
      </c>
      <c r="H843" s="4">
        <v>6</v>
      </c>
      <c r="I843" s="4">
        <v>24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</row>
    <row r="844" spans="2:19" x14ac:dyDescent="0.25">
      <c r="B844" s="4">
        <v>30008973</v>
      </c>
      <c r="C844" s="1" t="s">
        <v>548</v>
      </c>
      <c r="D844" s="4" t="s">
        <v>86</v>
      </c>
      <c r="E844" s="3"/>
      <c r="F844" s="3" t="s">
        <v>68</v>
      </c>
      <c r="G844" s="4">
        <v>8</v>
      </c>
      <c r="H844" s="4">
        <v>10</v>
      </c>
      <c r="I844" s="4">
        <v>12</v>
      </c>
      <c r="J844" s="4" t="s">
        <v>8</v>
      </c>
      <c r="K844" s="4" t="s">
        <v>7</v>
      </c>
      <c r="L844" s="11"/>
      <c r="M844" s="3"/>
      <c r="N844"/>
      <c r="O844" s="4"/>
      <c r="P844" s="1"/>
      <c r="Q844" s="22"/>
      <c r="R844"/>
      <c r="S844" s="11"/>
    </row>
    <row r="845" spans="2:19" x14ac:dyDescent="0.25">
      <c r="B845" s="4">
        <v>30009365</v>
      </c>
      <c r="C845" s="1" t="s">
        <v>1486</v>
      </c>
      <c r="D845" s="4" t="s">
        <v>86</v>
      </c>
      <c r="E845" s="3"/>
      <c r="F845" s="3" t="s">
        <v>68</v>
      </c>
      <c r="G845" s="4">
        <v>5</v>
      </c>
      <c r="H845" s="4">
        <v>2</v>
      </c>
      <c r="I845" s="4">
        <v>2</v>
      </c>
      <c r="J845" s="4" t="s">
        <v>8</v>
      </c>
      <c r="K845" s="4" t="s">
        <v>9</v>
      </c>
      <c r="L845" s="11" t="s">
        <v>1670</v>
      </c>
      <c r="M845" s="3">
        <v>4</v>
      </c>
      <c r="N845"/>
      <c r="O845" s="4"/>
      <c r="P845" s="1"/>
      <c r="Q845" s="22"/>
      <c r="R845"/>
      <c r="S845" s="11"/>
    </row>
    <row r="846" spans="2:19" x14ac:dyDescent="0.25">
      <c r="B846" s="4">
        <v>30009410</v>
      </c>
      <c r="C846" s="1" t="s">
        <v>46</v>
      </c>
      <c r="D846" s="4" t="s">
        <v>86</v>
      </c>
      <c r="E846" s="3"/>
      <c r="F846" s="3" t="s">
        <v>68</v>
      </c>
      <c r="G846" s="4">
        <v>20</v>
      </c>
      <c r="H846" s="4">
        <v>50</v>
      </c>
      <c r="I846" s="4">
        <v>39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</row>
    <row r="847" spans="2:19" x14ac:dyDescent="0.25">
      <c r="B847" s="4">
        <v>30009554</v>
      </c>
      <c r="C847" s="1" t="s">
        <v>549</v>
      </c>
      <c r="D847" s="4" t="s">
        <v>86</v>
      </c>
      <c r="E847" s="3"/>
      <c r="F847" s="3" t="s">
        <v>68</v>
      </c>
      <c r="G847" s="4">
        <v>3</v>
      </c>
      <c r="H847" s="4">
        <v>4</v>
      </c>
      <c r="I847" s="4">
        <v>3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</row>
    <row r="848" spans="2:19" x14ac:dyDescent="0.25">
      <c r="B848" s="4">
        <v>30010099</v>
      </c>
      <c r="C848" s="1" t="s">
        <v>1496</v>
      </c>
      <c r="D848" s="4" t="s">
        <v>86</v>
      </c>
      <c r="E848" s="3"/>
      <c r="F848" s="3" t="s">
        <v>68</v>
      </c>
      <c r="G848" s="4">
        <v>3</v>
      </c>
      <c r="H848" s="4">
        <v>2</v>
      </c>
      <c r="I848" s="4">
        <v>0</v>
      </c>
      <c r="J848" s="4" t="s">
        <v>8</v>
      </c>
      <c r="K848" s="4" t="s">
        <v>13</v>
      </c>
      <c r="L848" s="11" t="s">
        <v>1623</v>
      </c>
      <c r="M848" s="3"/>
      <c r="N848"/>
      <c r="O848" s="4"/>
      <c r="P848" s="1"/>
      <c r="Q848" s="22"/>
      <c r="R848"/>
      <c r="S848" s="11" t="s">
        <v>1593</v>
      </c>
    </row>
    <row r="849" spans="2:19" x14ac:dyDescent="0.25">
      <c r="B849" s="4">
        <v>30010232</v>
      </c>
      <c r="C849" s="1" t="s">
        <v>550</v>
      </c>
      <c r="D849" s="4" t="s">
        <v>86</v>
      </c>
      <c r="E849" s="3"/>
      <c r="F849" s="3" t="s">
        <v>68</v>
      </c>
      <c r="G849" s="4">
        <v>15</v>
      </c>
      <c r="H849" s="4">
        <v>6</v>
      </c>
      <c r="I849" s="4">
        <v>15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</row>
    <row r="850" spans="2:19" x14ac:dyDescent="0.25">
      <c r="B850" s="4">
        <v>30010233</v>
      </c>
      <c r="C850" s="1" t="s">
        <v>551</v>
      </c>
      <c r="D850" s="4" t="s">
        <v>86</v>
      </c>
      <c r="E850" s="3"/>
      <c r="F850" s="3" t="s">
        <v>68</v>
      </c>
      <c r="G850" s="4">
        <v>6</v>
      </c>
      <c r="H850" s="4">
        <v>10</v>
      </c>
      <c r="I850" s="4">
        <v>16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</row>
    <row r="851" spans="2:19" x14ac:dyDescent="0.25">
      <c r="B851" s="4">
        <v>30010272</v>
      </c>
      <c r="C851" s="1" t="s">
        <v>1493</v>
      </c>
      <c r="D851" s="4" t="s">
        <v>86</v>
      </c>
      <c r="E851" s="3"/>
      <c r="F851" s="3" t="s">
        <v>68</v>
      </c>
      <c r="G851" s="4">
        <v>6</v>
      </c>
      <c r="H851" s="4">
        <v>3</v>
      </c>
      <c r="I851" s="4">
        <v>1</v>
      </c>
      <c r="J851" s="4" t="s">
        <v>8</v>
      </c>
      <c r="K851" s="4" t="s">
        <v>9</v>
      </c>
      <c r="L851" s="11"/>
      <c r="M851" s="3"/>
      <c r="N851">
        <v>4502682207</v>
      </c>
      <c r="O851" s="4">
        <v>5</v>
      </c>
      <c r="P851" s="1" t="s">
        <v>1620</v>
      </c>
      <c r="Q851" s="22">
        <v>46315</v>
      </c>
      <c r="R851"/>
      <c r="S851" s="11" t="s">
        <v>1594</v>
      </c>
    </row>
    <row r="852" spans="2:19" x14ac:dyDescent="0.25">
      <c r="B852" s="4">
        <v>30010878</v>
      </c>
      <c r="C852" s="1" t="s">
        <v>552</v>
      </c>
      <c r="D852" s="4" t="s">
        <v>86</v>
      </c>
      <c r="E852" s="3"/>
      <c r="F852" s="3" t="s">
        <v>68</v>
      </c>
      <c r="G852" s="4">
        <v>21</v>
      </c>
      <c r="H852" s="4">
        <v>20</v>
      </c>
      <c r="I852" s="4">
        <v>21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</row>
    <row r="853" spans="2:19" x14ac:dyDescent="0.25">
      <c r="B853" s="4">
        <v>30010879</v>
      </c>
      <c r="C853" s="1" t="s">
        <v>1644</v>
      </c>
      <c r="D853" s="4" t="s">
        <v>86</v>
      </c>
      <c r="E853" s="3"/>
      <c r="F853" s="3" t="s">
        <v>102</v>
      </c>
      <c r="G853" s="4">
        <v>7</v>
      </c>
      <c r="H853" s="4">
        <v>12</v>
      </c>
      <c r="I853" s="4">
        <v>15</v>
      </c>
      <c r="J853" s="4" t="s">
        <v>8</v>
      </c>
      <c r="K853" s="4" t="s">
        <v>7</v>
      </c>
      <c r="L853" s="11"/>
      <c r="M853" s="3"/>
      <c r="N853"/>
      <c r="O853" s="4"/>
      <c r="P853" s="1"/>
      <c r="Q853" s="22"/>
      <c r="R853"/>
      <c r="S853" s="11" t="e">
        <v>#N/A</v>
      </c>
    </row>
    <row r="854" spans="2:19" x14ac:dyDescent="0.25">
      <c r="B854" s="4">
        <v>30010881</v>
      </c>
      <c r="C854" s="1" t="s">
        <v>553</v>
      </c>
      <c r="D854" s="4" t="s">
        <v>86</v>
      </c>
      <c r="E854" s="3"/>
      <c r="F854" s="3" t="s">
        <v>68</v>
      </c>
      <c r="G854" s="4">
        <v>16</v>
      </c>
      <c r="H854" s="4">
        <v>20</v>
      </c>
      <c r="I854" s="4">
        <v>25</v>
      </c>
      <c r="J854" s="4" t="s">
        <v>8</v>
      </c>
      <c r="K854" s="4" t="s">
        <v>7</v>
      </c>
      <c r="L854" s="11"/>
      <c r="M854" s="3"/>
      <c r="N854"/>
      <c r="O854" s="4"/>
      <c r="P854" s="1"/>
      <c r="Q854" s="22"/>
      <c r="R854"/>
      <c r="S854" s="11"/>
    </row>
    <row r="855" spans="2:19" x14ac:dyDescent="0.25">
      <c r="B855" s="4">
        <v>30010885</v>
      </c>
      <c r="C855" s="1" t="s">
        <v>790</v>
      </c>
      <c r="D855" s="4" t="s">
        <v>86</v>
      </c>
      <c r="E855" s="3"/>
      <c r="F855" s="3" t="s">
        <v>68</v>
      </c>
      <c r="G855" s="4">
        <v>20</v>
      </c>
      <c r="H855" s="4">
        <v>6</v>
      </c>
      <c r="I855" s="4">
        <v>42</v>
      </c>
      <c r="J855" s="4" t="s">
        <v>8</v>
      </c>
      <c r="K855" s="4" t="s">
        <v>14</v>
      </c>
      <c r="L855" s="11"/>
      <c r="M855" s="3"/>
      <c r="N855"/>
      <c r="O855" s="4"/>
      <c r="P855" s="1"/>
      <c r="Q855" s="22"/>
      <c r="R855"/>
      <c r="S855" s="11"/>
    </row>
    <row r="856" spans="2:19" x14ac:dyDescent="0.25">
      <c r="B856" s="4">
        <v>30010898</v>
      </c>
      <c r="C856" s="1" t="s">
        <v>554</v>
      </c>
      <c r="D856" s="4" t="s">
        <v>86</v>
      </c>
      <c r="E856" s="3"/>
      <c r="F856" s="3" t="s">
        <v>68</v>
      </c>
      <c r="G856" s="4">
        <v>15</v>
      </c>
      <c r="H856" s="4">
        <v>20</v>
      </c>
      <c r="I856" s="4">
        <v>45</v>
      </c>
      <c r="J856" s="4" t="s">
        <v>8</v>
      </c>
      <c r="K856" s="4" t="s">
        <v>14</v>
      </c>
      <c r="L856" s="11"/>
      <c r="M856" s="3"/>
      <c r="N856"/>
      <c r="O856" s="4"/>
      <c r="P856" s="1"/>
      <c r="Q856" s="22"/>
      <c r="R856"/>
      <c r="S856" s="11"/>
    </row>
    <row r="857" spans="2:19" x14ac:dyDescent="0.25">
      <c r="B857" s="4">
        <v>30010902</v>
      </c>
      <c r="C857" s="1" t="s">
        <v>1522</v>
      </c>
      <c r="D857" s="4" t="s">
        <v>86</v>
      </c>
      <c r="E857" s="3"/>
      <c r="F857" s="3" t="s">
        <v>68</v>
      </c>
      <c r="G857" s="4">
        <v>12</v>
      </c>
      <c r="H857" s="4">
        <v>12</v>
      </c>
      <c r="I857" s="4">
        <v>11</v>
      </c>
      <c r="J857" s="4" t="s">
        <v>8</v>
      </c>
      <c r="K857" s="4" t="s">
        <v>9</v>
      </c>
      <c r="L857" s="11">
        <v>1002674974</v>
      </c>
      <c r="M857" s="3">
        <v>12</v>
      </c>
      <c r="N857"/>
      <c r="O857" s="4"/>
      <c r="P857" s="1"/>
      <c r="Q857" s="22"/>
      <c r="R857"/>
      <c r="S857" s="11"/>
    </row>
    <row r="858" spans="2:19" x14ac:dyDescent="0.25">
      <c r="B858" s="4">
        <v>30010905</v>
      </c>
      <c r="C858" s="1" t="s">
        <v>555</v>
      </c>
      <c r="D858" s="4" t="s">
        <v>86</v>
      </c>
      <c r="E858" s="3"/>
      <c r="F858" s="3" t="s">
        <v>68</v>
      </c>
      <c r="G858" s="4">
        <v>12</v>
      </c>
      <c r="H858" s="4">
        <v>4</v>
      </c>
      <c r="I858" s="4">
        <v>10</v>
      </c>
      <c r="J858" s="4" t="s">
        <v>8</v>
      </c>
      <c r="K858" s="4" t="s">
        <v>9</v>
      </c>
      <c r="L858" s="11">
        <v>1002671116</v>
      </c>
      <c r="M858" s="3">
        <v>6</v>
      </c>
      <c r="N858"/>
      <c r="O858" s="4"/>
      <c r="P858" s="1"/>
      <c r="Q858" s="22"/>
      <c r="R858"/>
      <c r="S858" s="11"/>
    </row>
    <row r="859" spans="2:19" x14ac:dyDescent="0.25">
      <c r="B859" s="4">
        <v>30010908</v>
      </c>
      <c r="C859" s="1" t="s">
        <v>1457</v>
      </c>
      <c r="D859" s="4" t="s">
        <v>86</v>
      </c>
      <c r="E859" s="3"/>
      <c r="F859" s="3" t="s">
        <v>68</v>
      </c>
      <c r="G859" s="4">
        <v>4</v>
      </c>
      <c r="H859" s="4">
        <v>2</v>
      </c>
      <c r="I859" s="4">
        <v>7</v>
      </c>
      <c r="J859" s="4" t="s">
        <v>8</v>
      </c>
      <c r="K859" s="4" t="s">
        <v>14</v>
      </c>
      <c r="L859" s="11"/>
      <c r="M859" s="3"/>
      <c r="N859"/>
      <c r="O859" s="4"/>
      <c r="P859" s="1"/>
      <c r="Q859" s="22"/>
      <c r="R859"/>
      <c r="S859" s="11"/>
    </row>
    <row r="860" spans="2:19" x14ac:dyDescent="0.25">
      <c r="B860" s="4">
        <v>30010915</v>
      </c>
      <c r="C860" s="1" t="s">
        <v>1083</v>
      </c>
      <c r="D860" s="4" t="s">
        <v>86</v>
      </c>
      <c r="E860" s="3"/>
      <c r="F860" s="3" t="s">
        <v>68</v>
      </c>
      <c r="G860" s="4">
        <v>30</v>
      </c>
      <c r="H860" s="4">
        <v>30</v>
      </c>
      <c r="I860" s="4">
        <v>25</v>
      </c>
      <c r="J860" s="4" t="s">
        <v>8</v>
      </c>
      <c r="K860" s="4" t="s">
        <v>9</v>
      </c>
      <c r="L860" s="11" t="s">
        <v>1668</v>
      </c>
      <c r="M860" s="3">
        <v>30</v>
      </c>
      <c r="N860"/>
      <c r="O860" s="4"/>
      <c r="P860" s="1"/>
      <c r="Q860" s="22"/>
      <c r="R860"/>
      <c r="S860" s="11"/>
    </row>
    <row r="861" spans="2:19" x14ac:dyDescent="0.25">
      <c r="B861" s="4">
        <v>30010919</v>
      </c>
      <c r="C861" s="1" t="s">
        <v>1458</v>
      </c>
      <c r="D861" s="4" t="s">
        <v>86</v>
      </c>
      <c r="E861" s="3"/>
      <c r="F861" s="3" t="s">
        <v>68</v>
      </c>
      <c r="G861" s="4">
        <v>9</v>
      </c>
      <c r="H861" s="4">
        <v>3</v>
      </c>
      <c r="I861" s="4">
        <v>11</v>
      </c>
      <c r="J861" s="4" t="s">
        <v>8</v>
      </c>
      <c r="K861" s="4" t="s">
        <v>7</v>
      </c>
      <c r="L861" s="11"/>
      <c r="M861" s="3"/>
      <c r="N861"/>
      <c r="O861" s="4"/>
      <c r="P861" s="1"/>
      <c r="Q861" s="22"/>
      <c r="R861"/>
      <c r="S861" s="11"/>
    </row>
    <row r="862" spans="2:19" x14ac:dyDescent="0.25">
      <c r="B862" s="4">
        <v>30010929</v>
      </c>
      <c r="C862" s="1" t="s">
        <v>556</v>
      </c>
      <c r="D862" s="4" t="s">
        <v>86</v>
      </c>
      <c r="E862" s="3"/>
      <c r="F862" s="3" t="s">
        <v>68</v>
      </c>
      <c r="G862" s="4">
        <v>35</v>
      </c>
      <c r="H862" s="4">
        <v>15</v>
      </c>
      <c r="I862" s="4">
        <v>12</v>
      </c>
      <c r="J862" s="4" t="s">
        <v>8</v>
      </c>
      <c r="K862" s="4" t="s">
        <v>9</v>
      </c>
      <c r="L862" s="11"/>
      <c r="M862" s="3"/>
      <c r="N862">
        <v>4502699097</v>
      </c>
      <c r="O862" s="4">
        <v>30</v>
      </c>
      <c r="P862" s="1" t="s">
        <v>1452</v>
      </c>
      <c r="Q862" s="22">
        <v>46252</v>
      </c>
      <c r="R862"/>
      <c r="S862" s="11"/>
    </row>
    <row r="863" spans="2:19" x14ac:dyDescent="0.25">
      <c r="B863" s="4">
        <v>30010930</v>
      </c>
      <c r="C863" s="1" t="s">
        <v>1459</v>
      </c>
      <c r="D863" s="4" t="s">
        <v>86</v>
      </c>
      <c r="E863" s="3"/>
      <c r="F863" s="3" t="s">
        <v>68</v>
      </c>
      <c r="G863" s="4">
        <v>6</v>
      </c>
      <c r="H863" s="4">
        <v>2</v>
      </c>
      <c r="I863" s="4">
        <v>6</v>
      </c>
      <c r="J863" s="4" t="s">
        <v>8</v>
      </c>
      <c r="K863" s="4" t="s">
        <v>7</v>
      </c>
      <c r="L863" s="11"/>
      <c r="M863" s="3"/>
      <c r="N863"/>
      <c r="O863" s="4"/>
      <c r="P863" s="1"/>
      <c r="Q863" s="22"/>
      <c r="R863"/>
      <c r="S863" s="11"/>
    </row>
    <row r="864" spans="2:19" x14ac:dyDescent="0.25">
      <c r="B864" s="4">
        <v>30010931</v>
      </c>
      <c r="C864" s="1" t="s">
        <v>557</v>
      </c>
      <c r="D864" s="4" t="s">
        <v>86</v>
      </c>
      <c r="E864" s="3"/>
      <c r="F864" s="3" t="s">
        <v>68</v>
      </c>
      <c r="G864" s="4">
        <v>15</v>
      </c>
      <c r="H864" s="4">
        <v>10</v>
      </c>
      <c r="I864" s="4">
        <v>1</v>
      </c>
      <c r="J864" s="4" t="s">
        <v>8</v>
      </c>
      <c r="K864" s="4" t="s">
        <v>9</v>
      </c>
      <c r="L864" s="11"/>
      <c r="M864" s="3"/>
      <c r="N864">
        <v>4502699103</v>
      </c>
      <c r="O864" s="4">
        <v>15</v>
      </c>
      <c r="P864" s="1" t="s">
        <v>1452</v>
      </c>
      <c r="Q864" s="22">
        <v>46259</v>
      </c>
      <c r="R864"/>
      <c r="S864" s="11"/>
    </row>
    <row r="865" spans="2:19" x14ac:dyDescent="0.25">
      <c r="B865" s="4">
        <v>30010933</v>
      </c>
      <c r="C865" s="1" t="s">
        <v>558</v>
      </c>
      <c r="D865" s="4" t="s">
        <v>86</v>
      </c>
      <c r="E865" s="3"/>
      <c r="F865" s="3" t="s">
        <v>68</v>
      </c>
      <c r="G865" s="4">
        <v>20</v>
      </c>
      <c r="H865" s="4">
        <v>6</v>
      </c>
      <c r="I865" s="4">
        <v>21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</row>
    <row r="866" spans="2:19" x14ac:dyDescent="0.25">
      <c r="B866" s="4">
        <v>30010934</v>
      </c>
      <c r="C866" s="1" t="s">
        <v>559</v>
      </c>
      <c r="D866" s="4" t="s">
        <v>86</v>
      </c>
      <c r="E866" s="3"/>
      <c r="F866" s="3" t="s">
        <v>68</v>
      </c>
      <c r="G866" s="4">
        <v>12</v>
      </c>
      <c r="H866" s="4">
        <v>4</v>
      </c>
      <c r="I866" s="4">
        <v>10</v>
      </c>
      <c r="J866" s="4" t="s">
        <v>8</v>
      </c>
      <c r="K866" s="4" t="s">
        <v>9</v>
      </c>
      <c r="L866" s="11" t="s">
        <v>1670</v>
      </c>
      <c r="M866" s="3">
        <v>4</v>
      </c>
      <c r="N866"/>
      <c r="O866" s="4"/>
      <c r="P866" s="1"/>
      <c r="Q866" s="22"/>
      <c r="R866"/>
      <c r="S866" s="11"/>
    </row>
    <row r="867" spans="2:19" x14ac:dyDescent="0.25">
      <c r="B867" s="4">
        <v>30010935</v>
      </c>
      <c r="C867" s="1" t="s">
        <v>560</v>
      </c>
      <c r="D867" s="4" t="s">
        <v>86</v>
      </c>
      <c r="E867" s="3"/>
      <c r="F867" s="3" t="s">
        <v>68</v>
      </c>
      <c r="G867" s="4">
        <v>8</v>
      </c>
      <c r="H867" s="4">
        <v>10</v>
      </c>
      <c r="I867" s="4">
        <v>18</v>
      </c>
      <c r="J867" s="4" t="s">
        <v>8</v>
      </c>
      <c r="K867" s="4" t="s">
        <v>7</v>
      </c>
      <c r="L867" s="11"/>
      <c r="M867" s="3"/>
      <c r="N867"/>
      <c r="O867" s="4"/>
      <c r="P867" s="1"/>
      <c r="Q867" s="22"/>
      <c r="R867"/>
      <c r="S867" s="11"/>
    </row>
    <row r="868" spans="2:19" x14ac:dyDescent="0.25">
      <c r="B868" s="4">
        <v>30010938</v>
      </c>
      <c r="C868" s="1" t="s">
        <v>561</v>
      </c>
      <c r="D868" s="4" t="s">
        <v>86</v>
      </c>
      <c r="E868" s="3"/>
      <c r="F868" s="3" t="s">
        <v>68</v>
      </c>
      <c r="G868" s="4">
        <v>2</v>
      </c>
      <c r="H868" s="4">
        <v>4</v>
      </c>
      <c r="I868" s="4">
        <v>32</v>
      </c>
      <c r="J868" s="4" t="s">
        <v>8</v>
      </c>
      <c r="K868" s="4" t="s">
        <v>14</v>
      </c>
      <c r="L868" s="11"/>
      <c r="M868" s="3"/>
      <c r="N868"/>
      <c r="O868" s="4"/>
      <c r="P868" s="1"/>
      <c r="Q868" s="22"/>
      <c r="R868"/>
      <c r="S868" s="11"/>
    </row>
    <row r="869" spans="2:19" x14ac:dyDescent="0.25">
      <c r="B869" s="4">
        <v>30010939</v>
      </c>
      <c r="C869" s="1" t="s">
        <v>562</v>
      </c>
      <c r="D869" s="4" t="s">
        <v>86</v>
      </c>
      <c r="E869" s="3"/>
      <c r="F869" s="3" t="s">
        <v>68</v>
      </c>
      <c r="G869" s="4">
        <v>28</v>
      </c>
      <c r="H869" s="4">
        <v>10</v>
      </c>
      <c r="I869" s="4">
        <v>12</v>
      </c>
      <c r="J869" s="4" t="s">
        <v>8</v>
      </c>
      <c r="K869" s="4" t="s">
        <v>9</v>
      </c>
      <c r="L869" s="11"/>
      <c r="M869" s="3"/>
      <c r="N869">
        <v>4502699097</v>
      </c>
      <c r="O869" s="4">
        <v>30</v>
      </c>
      <c r="P869" s="1" t="s">
        <v>1452</v>
      </c>
      <c r="Q869" s="22">
        <v>46252</v>
      </c>
      <c r="R869"/>
      <c r="S869" s="11"/>
    </row>
    <row r="870" spans="2:19" x14ac:dyDescent="0.25">
      <c r="B870" s="4">
        <v>30010940</v>
      </c>
      <c r="C870" s="1" t="s">
        <v>563</v>
      </c>
      <c r="D870" s="4" t="s">
        <v>86</v>
      </c>
      <c r="E870" s="3"/>
      <c r="F870" s="3" t="s">
        <v>68</v>
      </c>
      <c r="G870" s="4">
        <v>4</v>
      </c>
      <c r="H870" s="4">
        <v>8</v>
      </c>
      <c r="I870" s="4">
        <v>0</v>
      </c>
      <c r="J870" s="4" t="s">
        <v>8</v>
      </c>
      <c r="K870" s="4" t="s">
        <v>13</v>
      </c>
      <c r="L870" s="11"/>
      <c r="M870" s="3"/>
      <c r="N870">
        <v>4502699097</v>
      </c>
      <c r="O870" s="4">
        <v>20</v>
      </c>
      <c r="P870" s="1" t="s">
        <v>1452</v>
      </c>
      <c r="Q870" s="22">
        <v>46252</v>
      </c>
      <c r="R870"/>
      <c r="S870" s="11"/>
    </row>
    <row r="871" spans="2:19" x14ac:dyDescent="0.25">
      <c r="B871" s="4">
        <v>30010941</v>
      </c>
      <c r="C871" s="1" t="s">
        <v>564</v>
      </c>
      <c r="D871" s="4" t="s">
        <v>86</v>
      </c>
      <c r="E871" s="3"/>
      <c r="F871" s="3" t="s">
        <v>68</v>
      </c>
      <c r="G871" s="4">
        <v>10</v>
      </c>
      <c r="H871" s="4">
        <v>15</v>
      </c>
      <c r="I871" s="4">
        <v>27</v>
      </c>
      <c r="J871" s="4" t="s">
        <v>8</v>
      </c>
      <c r="K871" s="4" t="s">
        <v>14</v>
      </c>
      <c r="L871" s="11"/>
      <c r="M871" s="3"/>
      <c r="N871"/>
      <c r="O871" s="4"/>
      <c r="P871" s="1"/>
      <c r="Q871" s="22"/>
      <c r="R871"/>
      <c r="S871" s="11"/>
    </row>
    <row r="872" spans="2:19" x14ac:dyDescent="0.25">
      <c r="B872" s="4">
        <v>30010942</v>
      </c>
      <c r="C872" s="1" t="s">
        <v>565</v>
      </c>
      <c r="D872" s="4" t="s">
        <v>86</v>
      </c>
      <c r="E872" s="3"/>
      <c r="F872" s="3" t="s">
        <v>68</v>
      </c>
      <c r="G872" s="4">
        <v>30</v>
      </c>
      <c r="H872" s="4">
        <v>10</v>
      </c>
      <c r="I872" s="4">
        <v>13</v>
      </c>
      <c r="J872" s="4" t="s">
        <v>8</v>
      </c>
      <c r="K872" s="4" t="s">
        <v>9</v>
      </c>
      <c r="L872" s="11"/>
      <c r="M872" s="3"/>
      <c r="N872">
        <v>4502699097</v>
      </c>
      <c r="O872" s="4">
        <v>30</v>
      </c>
      <c r="P872" s="1" t="s">
        <v>1452</v>
      </c>
      <c r="Q872" s="22">
        <v>46252</v>
      </c>
      <c r="R872"/>
      <c r="S872" s="11"/>
    </row>
    <row r="873" spans="2:19" x14ac:dyDescent="0.25">
      <c r="B873" s="4">
        <v>30010944</v>
      </c>
      <c r="C873" s="1" t="s">
        <v>1460</v>
      </c>
      <c r="D873" s="4" t="s">
        <v>86</v>
      </c>
      <c r="E873" s="3"/>
      <c r="F873" s="3" t="s">
        <v>68</v>
      </c>
      <c r="G873" s="4">
        <v>5</v>
      </c>
      <c r="H873" s="4">
        <v>2</v>
      </c>
      <c r="I873" s="4">
        <v>7</v>
      </c>
      <c r="J873" s="4" t="s">
        <v>8</v>
      </c>
      <c r="K873" s="4" t="s">
        <v>7</v>
      </c>
      <c r="L873" s="11"/>
      <c r="M873" s="3"/>
      <c r="N873"/>
      <c r="O873" s="4"/>
      <c r="P873" s="1"/>
      <c r="Q873" s="22"/>
      <c r="R873"/>
      <c r="S873" s="11"/>
    </row>
    <row r="874" spans="2:19" x14ac:dyDescent="0.25">
      <c r="B874" s="4">
        <v>30010949</v>
      </c>
      <c r="C874" s="1" t="s">
        <v>566</v>
      </c>
      <c r="D874" s="4" t="s">
        <v>86</v>
      </c>
      <c r="E874" s="3"/>
      <c r="F874" s="3" t="s">
        <v>68</v>
      </c>
      <c r="G874" s="4">
        <v>10</v>
      </c>
      <c r="H874" s="4">
        <v>15</v>
      </c>
      <c r="I874" s="4">
        <v>21</v>
      </c>
      <c r="J874" s="4" t="s">
        <v>8</v>
      </c>
      <c r="K874" s="4" t="s">
        <v>7</v>
      </c>
      <c r="L874" s="11"/>
      <c r="M874" s="3"/>
      <c r="N874"/>
      <c r="O874" s="4"/>
      <c r="P874" s="1"/>
      <c r="Q874" s="22"/>
      <c r="R874"/>
      <c r="S874" s="11"/>
    </row>
    <row r="875" spans="2:19" x14ac:dyDescent="0.25">
      <c r="B875" s="4">
        <v>30010955</v>
      </c>
      <c r="C875" s="1" t="s">
        <v>1461</v>
      </c>
      <c r="D875" s="4" t="s">
        <v>86</v>
      </c>
      <c r="E875" s="3"/>
      <c r="F875" s="3" t="s">
        <v>68</v>
      </c>
      <c r="G875" s="4">
        <v>13</v>
      </c>
      <c r="H875" s="4">
        <v>8</v>
      </c>
      <c r="I875" s="4">
        <v>3</v>
      </c>
      <c r="J875" s="4" t="s">
        <v>8</v>
      </c>
      <c r="K875" s="4" t="s">
        <v>9</v>
      </c>
      <c r="L875" s="11">
        <v>1002673993</v>
      </c>
      <c r="M875" s="3">
        <v>10</v>
      </c>
      <c r="N875"/>
      <c r="O875" s="4"/>
      <c r="P875" s="1"/>
      <c r="Q875" s="22"/>
      <c r="R875"/>
      <c r="S875" s="11"/>
    </row>
    <row r="876" spans="2:19" x14ac:dyDescent="0.25">
      <c r="B876" s="4">
        <v>30010966</v>
      </c>
      <c r="C876" s="1" t="s">
        <v>1462</v>
      </c>
      <c r="D876" s="4" t="s">
        <v>86</v>
      </c>
      <c r="E876" s="3"/>
      <c r="F876" s="3" t="s">
        <v>68</v>
      </c>
      <c r="G876" s="4">
        <v>13</v>
      </c>
      <c r="H876" s="4">
        <v>15</v>
      </c>
      <c r="I876" s="4">
        <v>6</v>
      </c>
      <c r="J876" s="4" t="s">
        <v>8</v>
      </c>
      <c r="K876" s="4" t="s">
        <v>9</v>
      </c>
      <c r="L876" s="11">
        <v>1002673993</v>
      </c>
      <c r="M876" s="3">
        <v>28</v>
      </c>
      <c r="N876"/>
      <c r="O876" s="4"/>
      <c r="P876" s="1"/>
      <c r="Q876" s="22"/>
      <c r="R876"/>
      <c r="S876" s="11"/>
    </row>
    <row r="877" spans="2:19" x14ac:dyDescent="0.25">
      <c r="B877" s="4">
        <v>30010968</v>
      </c>
      <c r="C877" s="1" t="s">
        <v>1463</v>
      </c>
      <c r="D877" s="4" t="s">
        <v>86</v>
      </c>
      <c r="E877" s="3"/>
      <c r="F877" s="3" t="s">
        <v>68</v>
      </c>
      <c r="G877" s="4">
        <v>10</v>
      </c>
      <c r="H877" s="4">
        <v>4</v>
      </c>
      <c r="I877" s="4">
        <v>1</v>
      </c>
      <c r="J877" s="4" t="s">
        <v>8</v>
      </c>
      <c r="K877" s="4" t="s">
        <v>9</v>
      </c>
      <c r="L877" s="11">
        <v>1002673993</v>
      </c>
      <c r="M877" s="3">
        <v>12</v>
      </c>
      <c r="N877"/>
      <c r="O877" s="4"/>
      <c r="P877" s="1"/>
      <c r="Q877" s="22"/>
      <c r="R877"/>
      <c r="S877" s="11"/>
    </row>
    <row r="878" spans="2:19" x14ac:dyDescent="0.25">
      <c r="B878" s="4">
        <v>30010971</v>
      </c>
      <c r="C878" s="1" t="s">
        <v>1464</v>
      </c>
      <c r="D878" s="4" t="s">
        <v>86</v>
      </c>
      <c r="E878" s="3"/>
      <c r="F878" s="3" t="s">
        <v>68</v>
      </c>
      <c r="G878" s="4">
        <v>10</v>
      </c>
      <c r="H878" s="4">
        <v>10</v>
      </c>
      <c r="I878" s="4">
        <v>20</v>
      </c>
      <c r="J878" s="4" t="s">
        <v>8</v>
      </c>
      <c r="K878" s="4" t="s">
        <v>7</v>
      </c>
      <c r="L878" s="11"/>
      <c r="M878" s="3"/>
      <c r="N878">
        <v>4502699097</v>
      </c>
      <c r="O878" s="4">
        <v>20</v>
      </c>
      <c r="P878" s="1" t="s">
        <v>1452</v>
      </c>
      <c r="Q878" s="22">
        <v>46252</v>
      </c>
      <c r="R878"/>
      <c r="S878" s="11"/>
    </row>
    <row r="879" spans="2:19" x14ac:dyDescent="0.25">
      <c r="B879" s="4">
        <v>30010974</v>
      </c>
      <c r="C879" s="1" t="s">
        <v>1084</v>
      </c>
      <c r="D879" s="4" t="s">
        <v>86</v>
      </c>
      <c r="E879" s="3"/>
      <c r="F879" s="3" t="s">
        <v>68</v>
      </c>
      <c r="G879" s="4">
        <v>30</v>
      </c>
      <c r="H879" s="4">
        <v>30</v>
      </c>
      <c r="I879" s="4">
        <v>56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</row>
    <row r="880" spans="2:19" x14ac:dyDescent="0.25">
      <c r="B880" s="4">
        <v>30010977</v>
      </c>
      <c r="C880" s="1" t="s">
        <v>1550</v>
      </c>
      <c r="D880" s="4" t="s">
        <v>86</v>
      </c>
      <c r="E880" s="3"/>
      <c r="F880" s="3" t="s">
        <v>68</v>
      </c>
      <c r="G880" s="4">
        <v>6</v>
      </c>
      <c r="H880" s="4">
        <v>6</v>
      </c>
      <c r="I880" s="4">
        <v>13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</row>
    <row r="881" spans="2:19" x14ac:dyDescent="0.25">
      <c r="B881" s="4">
        <v>30010982</v>
      </c>
      <c r="C881" s="1" t="s">
        <v>567</v>
      </c>
      <c r="D881" s="4" t="s">
        <v>86</v>
      </c>
      <c r="E881" s="3"/>
      <c r="F881" s="3" t="s">
        <v>68</v>
      </c>
      <c r="G881" s="4">
        <v>20</v>
      </c>
      <c r="H881" s="4">
        <v>50</v>
      </c>
      <c r="I881" s="4">
        <v>34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</row>
    <row r="882" spans="2:19" x14ac:dyDescent="0.25">
      <c r="B882" s="4">
        <v>30010984</v>
      </c>
      <c r="C882" s="1" t="s">
        <v>1553</v>
      </c>
      <c r="D882" s="4" t="s">
        <v>86</v>
      </c>
      <c r="E882" s="3"/>
      <c r="F882" s="3" t="s">
        <v>68</v>
      </c>
      <c r="G882" s="4">
        <v>2</v>
      </c>
      <c r="H882" s="4">
        <v>2</v>
      </c>
      <c r="I882" s="4">
        <v>4</v>
      </c>
      <c r="J882" s="4" t="s">
        <v>8</v>
      </c>
      <c r="K882" s="4" t="s">
        <v>7</v>
      </c>
      <c r="L882" s="11"/>
      <c r="M882" s="3"/>
      <c r="N882"/>
      <c r="O882" s="4"/>
      <c r="P882" s="1"/>
      <c r="Q882" s="22"/>
      <c r="R882"/>
      <c r="S882" s="11"/>
    </row>
    <row r="883" spans="2:19" x14ac:dyDescent="0.25">
      <c r="B883" s="4">
        <v>30010985</v>
      </c>
      <c r="C883" s="1" t="s">
        <v>1395</v>
      </c>
      <c r="D883" s="4" t="s">
        <v>86</v>
      </c>
      <c r="E883" s="3"/>
      <c r="F883" s="3" t="s">
        <v>68</v>
      </c>
      <c r="G883" s="4">
        <v>10</v>
      </c>
      <c r="H883" s="4">
        <v>30</v>
      </c>
      <c r="I883" s="4">
        <v>21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</row>
    <row r="884" spans="2:19" x14ac:dyDescent="0.25">
      <c r="B884" s="4">
        <v>30010989</v>
      </c>
      <c r="C884" s="1" t="s">
        <v>1465</v>
      </c>
      <c r="D884" s="4" t="s">
        <v>86</v>
      </c>
      <c r="E884" s="3"/>
      <c r="F884" s="3" t="s">
        <v>68</v>
      </c>
      <c r="G884" s="4">
        <v>5</v>
      </c>
      <c r="H884" s="4">
        <v>2</v>
      </c>
      <c r="I884" s="4">
        <v>6</v>
      </c>
      <c r="J884" s="4" t="s">
        <v>8</v>
      </c>
      <c r="K884" s="4" t="s">
        <v>7</v>
      </c>
      <c r="L884" s="11"/>
      <c r="M884" s="3"/>
      <c r="N884">
        <v>4502655014</v>
      </c>
      <c r="O884" s="4">
        <v>4</v>
      </c>
      <c r="P884" s="1" t="s">
        <v>1452</v>
      </c>
      <c r="Q884" s="22">
        <v>46140</v>
      </c>
      <c r="R884"/>
      <c r="S884" s="11"/>
    </row>
    <row r="885" spans="2:19" x14ac:dyDescent="0.25">
      <c r="B885" s="4">
        <v>30011129</v>
      </c>
      <c r="C885" s="1" t="s">
        <v>1288</v>
      </c>
      <c r="D885" s="4" t="s">
        <v>86</v>
      </c>
      <c r="E885" s="3"/>
      <c r="F885" s="3" t="s">
        <v>68</v>
      </c>
      <c r="G885" s="4">
        <v>5</v>
      </c>
      <c r="H885" s="4">
        <v>5</v>
      </c>
      <c r="I885" s="4">
        <v>7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 t="s">
        <v>1634</v>
      </c>
    </row>
    <row r="886" spans="2:19" x14ac:dyDescent="0.25">
      <c r="B886" s="4">
        <v>30011130</v>
      </c>
      <c r="C886" s="1" t="s">
        <v>1309</v>
      </c>
      <c r="D886" s="4" t="s">
        <v>86</v>
      </c>
      <c r="E886" s="3"/>
      <c r="F886" s="3" t="s">
        <v>68</v>
      </c>
      <c r="G886" s="4">
        <v>5</v>
      </c>
      <c r="H886" s="4">
        <v>15</v>
      </c>
      <c r="I886" s="4">
        <v>15</v>
      </c>
      <c r="J886" s="4" t="s">
        <v>8</v>
      </c>
      <c r="K886" s="4" t="s">
        <v>7</v>
      </c>
      <c r="L886" s="11"/>
      <c r="M886" s="3"/>
      <c r="N886"/>
      <c r="O886" s="4"/>
      <c r="P886" s="1"/>
      <c r="Q886" s="22"/>
      <c r="R886"/>
      <c r="S886" s="11"/>
    </row>
    <row r="887" spans="2:19" x14ac:dyDescent="0.25">
      <c r="B887" s="4">
        <v>30011131</v>
      </c>
      <c r="C887" s="1" t="s">
        <v>1333</v>
      </c>
      <c r="D887" s="4" t="s">
        <v>86</v>
      </c>
      <c r="E887" s="3"/>
      <c r="F887" s="3" t="s">
        <v>68</v>
      </c>
      <c r="G887" s="4">
        <v>5</v>
      </c>
      <c r="H887" s="4">
        <v>10</v>
      </c>
      <c r="I887" s="4">
        <v>6</v>
      </c>
      <c r="J887" s="4" t="s">
        <v>8</v>
      </c>
      <c r="K887" s="4" t="s">
        <v>7</v>
      </c>
      <c r="L887" s="69"/>
      <c r="M887" s="3"/>
      <c r="N887"/>
      <c r="O887" s="4"/>
      <c r="P887" s="1"/>
      <c r="Q887" s="22"/>
      <c r="R887"/>
      <c r="S887" s="11"/>
    </row>
    <row r="888" spans="2:19" x14ac:dyDescent="0.25">
      <c r="B888" s="4">
        <v>30011261</v>
      </c>
      <c r="C888" s="1" t="s">
        <v>1310</v>
      </c>
      <c r="D888" s="4" t="s">
        <v>86</v>
      </c>
      <c r="E888" s="3"/>
      <c r="F888" s="3" t="s">
        <v>68</v>
      </c>
      <c r="G888" s="4">
        <v>2</v>
      </c>
      <c r="H888" s="4">
        <v>2</v>
      </c>
      <c r="I888" s="4">
        <v>3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</row>
    <row r="889" spans="2:19" x14ac:dyDescent="0.25">
      <c r="B889" s="4">
        <v>30011572</v>
      </c>
      <c r="C889" s="1" t="s">
        <v>568</v>
      </c>
      <c r="D889" s="4" t="s">
        <v>86</v>
      </c>
      <c r="E889" s="3"/>
      <c r="F889" s="3" t="s">
        <v>102</v>
      </c>
      <c r="G889" s="4">
        <v>5</v>
      </c>
      <c r="H889" s="4">
        <v>4</v>
      </c>
      <c r="I889" s="4">
        <v>7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</row>
    <row r="890" spans="2:19" x14ac:dyDescent="0.25">
      <c r="B890" s="4">
        <v>30011756</v>
      </c>
      <c r="C890" s="1" t="s">
        <v>1050</v>
      </c>
      <c r="D890" s="4" t="s">
        <v>86</v>
      </c>
      <c r="E890" s="3" t="s">
        <v>1225</v>
      </c>
      <c r="F890" s="3" t="s">
        <v>102</v>
      </c>
      <c r="G890" s="4">
        <v>5</v>
      </c>
      <c r="H890" s="4">
        <v>4</v>
      </c>
      <c r="I890" s="4">
        <v>8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 t="s">
        <v>1580</v>
      </c>
    </row>
    <row r="891" spans="2:19" x14ac:dyDescent="0.25">
      <c r="B891" s="4">
        <v>30012032</v>
      </c>
      <c r="C891" s="1" t="s">
        <v>1369</v>
      </c>
      <c r="D891" s="4" t="s">
        <v>86</v>
      </c>
      <c r="E891" s="3"/>
      <c r="F891" s="3" t="s">
        <v>68</v>
      </c>
      <c r="G891" s="4">
        <v>3</v>
      </c>
      <c r="H891" s="4">
        <v>6</v>
      </c>
      <c r="I891" s="4">
        <v>5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</row>
    <row r="892" spans="2:19" x14ac:dyDescent="0.25">
      <c r="B892" s="4">
        <v>30012569</v>
      </c>
      <c r="C892" s="1" t="s">
        <v>569</v>
      </c>
      <c r="D892" s="4" t="s">
        <v>86</v>
      </c>
      <c r="E892" s="3"/>
      <c r="F892" s="3" t="s">
        <v>68</v>
      </c>
      <c r="G892" s="4">
        <v>100</v>
      </c>
      <c r="H892" s="4">
        <v>300</v>
      </c>
      <c r="I892" s="4">
        <v>120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/>
    </row>
    <row r="893" spans="2:19" x14ac:dyDescent="0.25">
      <c r="B893" s="4">
        <v>30013011</v>
      </c>
      <c r="C893" s="1" t="s">
        <v>1504</v>
      </c>
      <c r="D893" s="4" t="s">
        <v>86</v>
      </c>
      <c r="E893" s="3"/>
      <c r="F893" s="3" t="s">
        <v>68</v>
      </c>
      <c r="G893" s="4">
        <v>4</v>
      </c>
      <c r="H893" s="4">
        <v>4</v>
      </c>
      <c r="I893" s="4">
        <v>5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</row>
    <row r="894" spans="2:19" x14ac:dyDescent="0.25">
      <c r="B894" s="4">
        <v>30013936</v>
      </c>
      <c r="C894" s="1" t="s">
        <v>884</v>
      </c>
      <c r="D894" s="4" t="s">
        <v>86</v>
      </c>
      <c r="E894" s="3"/>
      <c r="F894" s="3" t="s">
        <v>102</v>
      </c>
      <c r="G894" s="4">
        <v>1</v>
      </c>
      <c r="H894" s="4">
        <v>2</v>
      </c>
      <c r="I894" s="4">
        <v>2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</row>
    <row r="895" spans="2:19" x14ac:dyDescent="0.25">
      <c r="B895" s="4">
        <v>30014008</v>
      </c>
      <c r="C895" s="1" t="s">
        <v>570</v>
      </c>
      <c r="D895" s="4" t="s">
        <v>86</v>
      </c>
      <c r="E895" s="3"/>
      <c r="F895" s="3" t="s">
        <v>68</v>
      </c>
      <c r="G895" s="4">
        <v>6</v>
      </c>
      <c r="H895" s="4">
        <v>10</v>
      </c>
      <c r="I895" s="4">
        <v>19</v>
      </c>
      <c r="J895" s="4" t="s">
        <v>8</v>
      </c>
      <c r="K895" s="4" t="s">
        <v>14</v>
      </c>
      <c r="L895" s="11"/>
      <c r="M895" s="3"/>
      <c r="N895"/>
      <c r="O895" s="4"/>
      <c r="P895" s="1"/>
      <c r="Q895" s="22"/>
      <c r="R895"/>
      <c r="S895" s="11"/>
    </row>
    <row r="896" spans="2:19" x14ac:dyDescent="0.25">
      <c r="B896" s="4">
        <v>30014442</v>
      </c>
      <c r="C896" s="1" t="s">
        <v>571</v>
      </c>
      <c r="D896" s="4" t="s">
        <v>86</v>
      </c>
      <c r="E896" s="3"/>
      <c r="F896" s="3" t="s">
        <v>68</v>
      </c>
      <c r="G896" s="4">
        <v>2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</row>
    <row r="897" spans="2:19" x14ac:dyDescent="0.25">
      <c r="B897" s="4">
        <v>30014899</v>
      </c>
      <c r="C897" s="1" t="s">
        <v>572</v>
      </c>
      <c r="D897" s="4" t="s">
        <v>86</v>
      </c>
      <c r="E897" s="3"/>
      <c r="F897" s="3" t="s">
        <v>68</v>
      </c>
      <c r="G897" s="4">
        <v>2</v>
      </c>
      <c r="H897" s="4">
        <v>2</v>
      </c>
      <c r="I897" s="4">
        <v>2</v>
      </c>
      <c r="J897" s="4" t="s">
        <v>8</v>
      </c>
      <c r="K897" s="4" t="s">
        <v>7</v>
      </c>
      <c r="L897" s="11"/>
      <c r="M897" s="3"/>
      <c r="N897"/>
      <c r="O897" s="4"/>
      <c r="P897" s="1"/>
      <c r="Q897" s="22"/>
      <c r="R897"/>
      <c r="S897" s="11"/>
    </row>
    <row r="898" spans="2:19" x14ac:dyDescent="0.25">
      <c r="B898" s="4">
        <v>30014925</v>
      </c>
      <c r="C898" s="1" t="s">
        <v>1567</v>
      </c>
      <c r="D898" s="4" t="s">
        <v>86</v>
      </c>
      <c r="E898" s="3"/>
      <c r="F898" s="3" t="s">
        <v>68</v>
      </c>
      <c r="G898" s="4">
        <v>46</v>
      </c>
      <c r="H898" s="4">
        <v>91</v>
      </c>
      <c r="I898" s="4">
        <v>91</v>
      </c>
      <c r="J898" s="4" t="s">
        <v>25</v>
      </c>
      <c r="K898" s="4" t="s">
        <v>7</v>
      </c>
      <c r="L898" s="11"/>
      <c r="M898" s="3"/>
      <c r="N898"/>
      <c r="O898" s="4"/>
      <c r="P898" s="1"/>
      <c r="Q898" s="22"/>
      <c r="R898"/>
      <c r="S898" s="11"/>
    </row>
    <row r="899" spans="2:19" x14ac:dyDescent="0.25">
      <c r="B899" s="4">
        <v>30015346</v>
      </c>
      <c r="C899" s="1" t="s">
        <v>1334</v>
      </c>
      <c r="D899" s="4" t="s">
        <v>86</v>
      </c>
      <c r="E899" s="3"/>
      <c r="F899" s="3" t="s">
        <v>68</v>
      </c>
      <c r="G899" s="4">
        <v>3</v>
      </c>
      <c r="H899" s="4">
        <v>6</v>
      </c>
      <c r="I899" s="4">
        <v>6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</row>
    <row r="900" spans="2:19" x14ac:dyDescent="0.25">
      <c r="B900" s="4">
        <v>30016730</v>
      </c>
      <c r="C900" s="1" t="s">
        <v>573</v>
      </c>
      <c r="D900" s="4" t="s">
        <v>86</v>
      </c>
      <c r="E900" s="3"/>
      <c r="F900" s="3" t="s">
        <v>68</v>
      </c>
      <c r="G900" s="4">
        <v>2</v>
      </c>
      <c r="H900" s="4">
        <v>1</v>
      </c>
      <c r="I900" s="4">
        <v>3</v>
      </c>
      <c r="J900" s="4" t="s">
        <v>8</v>
      </c>
      <c r="K900" s="4" t="s">
        <v>7</v>
      </c>
      <c r="L900" s="11"/>
      <c r="M900" s="3"/>
      <c r="N900"/>
      <c r="O900" s="4"/>
      <c r="P900" s="1"/>
      <c r="Q900" s="22"/>
      <c r="R900"/>
      <c r="S900" s="11"/>
    </row>
    <row r="901" spans="2:19" x14ac:dyDescent="0.25">
      <c r="B901" s="4">
        <v>30016955</v>
      </c>
      <c r="C901" s="1" t="s">
        <v>885</v>
      </c>
      <c r="D901" s="4" t="s">
        <v>86</v>
      </c>
      <c r="E901" s="3" t="s">
        <v>1225</v>
      </c>
      <c r="F901" s="3" t="s">
        <v>102</v>
      </c>
      <c r="G901" s="4">
        <v>7</v>
      </c>
      <c r="H901" s="4">
        <v>6</v>
      </c>
      <c r="I901" s="4">
        <v>9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</row>
    <row r="902" spans="2:19" x14ac:dyDescent="0.25">
      <c r="B902" s="4">
        <v>30017121</v>
      </c>
      <c r="C902" s="1" t="s">
        <v>1145</v>
      </c>
      <c r="D902" s="4" t="s">
        <v>86</v>
      </c>
      <c r="E902" s="3" t="s">
        <v>1225</v>
      </c>
      <c r="F902" s="3" t="s">
        <v>102</v>
      </c>
      <c r="G902" s="4">
        <v>21</v>
      </c>
      <c r="H902" s="4">
        <v>20</v>
      </c>
      <c r="I902" s="4">
        <v>20</v>
      </c>
      <c r="J902" s="4" t="s">
        <v>8</v>
      </c>
      <c r="K902" s="4" t="s">
        <v>9</v>
      </c>
      <c r="L902" s="11">
        <v>1002671085</v>
      </c>
      <c r="M902" s="3">
        <v>20</v>
      </c>
      <c r="N902"/>
      <c r="O902" s="4"/>
      <c r="P902" s="1"/>
      <c r="Q902" s="22"/>
      <c r="R902"/>
      <c r="S902" s="11"/>
    </row>
    <row r="903" spans="2:19" x14ac:dyDescent="0.25">
      <c r="B903" s="4">
        <v>30017146</v>
      </c>
      <c r="C903" s="1" t="s">
        <v>1146</v>
      </c>
      <c r="D903" s="4" t="s">
        <v>86</v>
      </c>
      <c r="E903" s="3"/>
      <c r="F903" s="3" t="s">
        <v>102</v>
      </c>
      <c r="G903" s="4">
        <v>3</v>
      </c>
      <c r="H903" s="4">
        <v>2</v>
      </c>
      <c r="I903" s="4">
        <v>21</v>
      </c>
      <c r="J903" s="4" t="s">
        <v>8</v>
      </c>
      <c r="K903" s="4" t="s">
        <v>14</v>
      </c>
      <c r="L903" s="11"/>
      <c r="M903" s="3"/>
      <c r="N903"/>
      <c r="O903" s="4"/>
      <c r="P903" s="1"/>
      <c r="Q903" s="22"/>
      <c r="R903"/>
      <c r="S903" s="11"/>
    </row>
    <row r="904" spans="2:19" x14ac:dyDescent="0.25">
      <c r="B904" s="4">
        <v>30017155</v>
      </c>
      <c r="C904" s="1" t="s">
        <v>1147</v>
      </c>
      <c r="D904" s="4" t="s">
        <v>86</v>
      </c>
      <c r="E904" s="3"/>
      <c r="F904" s="3" t="s">
        <v>102</v>
      </c>
      <c r="G904" s="4">
        <v>3</v>
      </c>
      <c r="H904" s="4">
        <v>2</v>
      </c>
      <c r="I904" s="4">
        <v>6</v>
      </c>
      <c r="J904" s="4" t="s">
        <v>8</v>
      </c>
      <c r="K904" s="4" t="s">
        <v>14</v>
      </c>
      <c r="L904" s="11"/>
      <c r="M904" s="3"/>
      <c r="N904"/>
      <c r="O904" s="4"/>
      <c r="P904" s="1"/>
      <c r="Q904" s="22"/>
      <c r="R904"/>
      <c r="S904" s="11"/>
    </row>
    <row r="905" spans="2:19" x14ac:dyDescent="0.25">
      <c r="B905" s="4">
        <v>30017156</v>
      </c>
      <c r="C905" s="1" t="s">
        <v>886</v>
      </c>
      <c r="D905" s="4" t="s">
        <v>86</v>
      </c>
      <c r="E905" s="3"/>
      <c r="F905" s="3" t="s">
        <v>102</v>
      </c>
      <c r="G905" s="4">
        <v>5</v>
      </c>
      <c r="H905" s="4">
        <v>4</v>
      </c>
      <c r="I905" s="4">
        <v>6</v>
      </c>
      <c r="J905" s="4" t="s">
        <v>8</v>
      </c>
      <c r="K905" s="4" t="s">
        <v>7</v>
      </c>
      <c r="L905" s="11"/>
      <c r="M905" s="3"/>
      <c r="N905"/>
      <c r="O905" s="4"/>
      <c r="P905" s="1"/>
      <c r="Q905" s="22"/>
      <c r="R905"/>
      <c r="S905" s="11"/>
    </row>
    <row r="906" spans="2:19" x14ac:dyDescent="0.25">
      <c r="B906" s="4">
        <v>30017165</v>
      </c>
      <c r="C906" s="1" t="s">
        <v>1148</v>
      </c>
      <c r="D906" s="4" t="s">
        <v>86</v>
      </c>
      <c r="E906" s="3"/>
      <c r="F906" s="3" t="s">
        <v>102</v>
      </c>
      <c r="G906" s="4">
        <v>3</v>
      </c>
      <c r="H906" s="4">
        <v>2</v>
      </c>
      <c r="I906" s="4">
        <v>14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</row>
    <row r="907" spans="2:19" x14ac:dyDescent="0.25">
      <c r="B907" s="4">
        <v>30017166</v>
      </c>
      <c r="C907" s="1" t="s">
        <v>1149</v>
      </c>
      <c r="D907" s="4" t="s">
        <v>86</v>
      </c>
      <c r="E907" s="3"/>
      <c r="F907" s="3" t="s">
        <v>102</v>
      </c>
      <c r="G907" s="4">
        <v>25</v>
      </c>
      <c r="H907" s="4">
        <v>24</v>
      </c>
      <c r="I907" s="4">
        <v>27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</row>
    <row r="908" spans="2:19" x14ac:dyDescent="0.25">
      <c r="B908" s="4">
        <v>30017311</v>
      </c>
      <c r="C908" s="1" t="s">
        <v>1150</v>
      </c>
      <c r="D908" s="4" t="s">
        <v>86</v>
      </c>
      <c r="E908" s="3"/>
      <c r="F908" s="3" t="s">
        <v>102</v>
      </c>
      <c r="G908" s="4">
        <v>25</v>
      </c>
      <c r="H908" s="4">
        <v>24</v>
      </c>
      <c r="I908" s="4">
        <v>27</v>
      </c>
      <c r="J908" s="4" t="s">
        <v>8</v>
      </c>
      <c r="K908" s="4" t="s">
        <v>7</v>
      </c>
      <c r="L908" s="11"/>
      <c r="M908" s="3"/>
      <c r="N908"/>
      <c r="O908" s="4"/>
      <c r="P908" s="1"/>
      <c r="Q908" s="22"/>
      <c r="R908"/>
      <c r="S908" s="11"/>
    </row>
    <row r="909" spans="2:19" x14ac:dyDescent="0.25">
      <c r="B909" s="4">
        <v>30017315</v>
      </c>
      <c r="C909" s="1" t="s">
        <v>887</v>
      </c>
      <c r="D909" s="4" t="s">
        <v>86</v>
      </c>
      <c r="E909" s="3"/>
      <c r="F909" s="3" t="s">
        <v>102</v>
      </c>
      <c r="G909" s="4">
        <v>3</v>
      </c>
      <c r="H909" s="4">
        <v>2</v>
      </c>
      <c r="I909" s="4">
        <v>4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</row>
    <row r="910" spans="2:19" x14ac:dyDescent="0.25">
      <c r="B910" s="4">
        <v>30017347</v>
      </c>
      <c r="C910" s="1" t="s">
        <v>1151</v>
      </c>
      <c r="D910" s="4" t="s">
        <v>86</v>
      </c>
      <c r="E910" s="3"/>
      <c r="F910" s="3" t="s">
        <v>102</v>
      </c>
      <c r="G910" s="4">
        <v>3</v>
      </c>
      <c r="H910" s="4">
        <v>2</v>
      </c>
      <c r="I910" s="4">
        <v>24</v>
      </c>
      <c r="J910" s="4" t="s">
        <v>8</v>
      </c>
      <c r="K910" s="4" t="s">
        <v>14</v>
      </c>
      <c r="L910" s="11"/>
      <c r="M910" s="3"/>
      <c r="N910"/>
      <c r="O910" s="4"/>
      <c r="P910" s="1"/>
      <c r="Q910" s="22"/>
      <c r="R910"/>
      <c r="S910" s="11"/>
    </row>
    <row r="911" spans="2:19" x14ac:dyDescent="0.25">
      <c r="B911" s="4">
        <v>30017440</v>
      </c>
      <c r="C911" s="1" t="s">
        <v>574</v>
      </c>
      <c r="D911" s="4" t="s">
        <v>86</v>
      </c>
      <c r="E911" s="3"/>
      <c r="F911" s="3" t="s">
        <v>68</v>
      </c>
      <c r="G911" s="4">
        <v>4</v>
      </c>
      <c r="H911" s="4">
        <v>4</v>
      </c>
      <c r="I911" s="4">
        <v>4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</row>
    <row r="912" spans="2:19" x14ac:dyDescent="0.25">
      <c r="B912" s="4">
        <v>30017563</v>
      </c>
      <c r="C912" s="1" t="s">
        <v>1152</v>
      </c>
      <c r="D912" s="4" t="s">
        <v>86</v>
      </c>
      <c r="E912" s="3"/>
      <c r="F912" s="3" t="s">
        <v>102</v>
      </c>
      <c r="G912" s="4">
        <v>25</v>
      </c>
      <c r="H912" s="4">
        <v>24</v>
      </c>
      <c r="I912" s="4">
        <v>34</v>
      </c>
      <c r="J912" s="4" t="s">
        <v>8</v>
      </c>
      <c r="K912" s="4" t="s">
        <v>7</v>
      </c>
      <c r="L912" s="11"/>
      <c r="M912" s="3"/>
      <c r="N912"/>
      <c r="O912" s="4"/>
      <c r="P912" s="1"/>
      <c r="Q912" s="22"/>
      <c r="R912"/>
      <c r="S912" s="11"/>
    </row>
    <row r="913" spans="2:19" x14ac:dyDescent="0.25">
      <c r="B913" s="4">
        <v>30017564</v>
      </c>
      <c r="C913" s="1" t="s">
        <v>847</v>
      </c>
      <c r="D913" s="4" t="s">
        <v>86</v>
      </c>
      <c r="E913" s="3"/>
      <c r="F913" s="3" t="s">
        <v>102</v>
      </c>
      <c r="G913" s="4">
        <v>1</v>
      </c>
      <c r="H913" s="4">
        <v>2</v>
      </c>
      <c r="I913" s="4">
        <v>1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</row>
    <row r="914" spans="2:19" x14ac:dyDescent="0.25">
      <c r="B914" s="4">
        <v>30017566</v>
      </c>
      <c r="C914" s="1" t="s">
        <v>888</v>
      </c>
      <c r="D914" s="4" t="s">
        <v>86</v>
      </c>
      <c r="E914" s="3"/>
      <c r="F914" s="3" t="s">
        <v>102</v>
      </c>
      <c r="G914" s="4">
        <v>2</v>
      </c>
      <c r="H914" s="4">
        <v>2</v>
      </c>
      <c r="I914" s="4">
        <v>5</v>
      </c>
      <c r="J914" s="4" t="s">
        <v>8</v>
      </c>
      <c r="K914" s="4" t="s">
        <v>14</v>
      </c>
      <c r="L914" s="11"/>
      <c r="M914" s="3"/>
      <c r="N914"/>
      <c r="O914" s="4"/>
      <c r="P914" s="1"/>
      <c r="Q914" s="22"/>
      <c r="R914"/>
      <c r="S914" s="11"/>
    </row>
    <row r="915" spans="2:19" x14ac:dyDescent="0.25">
      <c r="B915" s="4">
        <v>30017580</v>
      </c>
      <c r="C915" s="1" t="s">
        <v>1153</v>
      </c>
      <c r="D915" s="4" t="s">
        <v>86</v>
      </c>
      <c r="E915" s="3"/>
      <c r="F915" s="3" t="s">
        <v>102</v>
      </c>
      <c r="G915" s="4">
        <v>3</v>
      </c>
      <c r="H915" s="4">
        <v>2</v>
      </c>
      <c r="I915" s="4">
        <v>10</v>
      </c>
      <c r="J915" s="4" t="s">
        <v>8</v>
      </c>
      <c r="K915" s="4" t="s">
        <v>14</v>
      </c>
      <c r="L915" s="11"/>
      <c r="M915" s="3"/>
      <c r="N915"/>
      <c r="O915" s="4"/>
      <c r="P915" s="1"/>
      <c r="Q915" s="22"/>
      <c r="R915"/>
      <c r="S915" s="11"/>
    </row>
    <row r="916" spans="2:19" x14ac:dyDescent="0.25">
      <c r="B916" s="4">
        <v>30017646</v>
      </c>
      <c r="C916" s="1" t="s">
        <v>1311</v>
      </c>
      <c r="D916" s="4" t="s">
        <v>86</v>
      </c>
      <c r="E916" s="3"/>
      <c r="F916" s="3" t="s">
        <v>68</v>
      </c>
      <c r="G916" s="4">
        <v>4</v>
      </c>
      <c r="H916" s="4">
        <v>8</v>
      </c>
      <c r="I916" s="4">
        <v>10</v>
      </c>
      <c r="J916" s="4" t="s">
        <v>8</v>
      </c>
      <c r="K916" s="4" t="s">
        <v>7</v>
      </c>
      <c r="L916" s="11"/>
      <c r="M916" s="3"/>
      <c r="N916"/>
      <c r="O916" s="4"/>
      <c r="P916" s="1"/>
      <c r="Q916" s="22"/>
      <c r="R916"/>
      <c r="S916" s="11"/>
    </row>
    <row r="917" spans="2:19" x14ac:dyDescent="0.25">
      <c r="B917" s="4">
        <v>30017727</v>
      </c>
      <c r="C917" s="1" t="s">
        <v>848</v>
      </c>
      <c r="D917" s="4" t="s">
        <v>86</v>
      </c>
      <c r="E917" s="3"/>
      <c r="F917" s="3" t="s">
        <v>68</v>
      </c>
      <c r="G917" s="4">
        <v>2</v>
      </c>
      <c r="H917" s="4">
        <v>1</v>
      </c>
      <c r="I917" s="4">
        <v>2</v>
      </c>
      <c r="J917" s="4" t="s">
        <v>8</v>
      </c>
      <c r="K917" s="4" t="s">
        <v>7</v>
      </c>
      <c r="L917" s="11"/>
      <c r="M917" s="3"/>
      <c r="N917"/>
      <c r="O917" s="4"/>
      <c r="P917" s="1"/>
      <c r="Q917" s="22"/>
      <c r="R917"/>
      <c r="S917" s="11"/>
    </row>
    <row r="918" spans="2:19" x14ac:dyDescent="0.25">
      <c r="B918" s="4">
        <v>30017822</v>
      </c>
      <c r="C918" s="1" t="s">
        <v>1111</v>
      </c>
      <c r="D918" s="4" t="s">
        <v>86</v>
      </c>
      <c r="E918" s="3"/>
      <c r="F918" s="3" t="s">
        <v>68</v>
      </c>
      <c r="G918" s="4">
        <v>4</v>
      </c>
      <c r="H918" s="4">
        <v>2</v>
      </c>
      <c r="I918" s="4">
        <v>5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</row>
    <row r="919" spans="2:19" x14ac:dyDescent="0.25">
      <c r="B919" s="4">
        <v>30017887</v>
      </c>
      <c r="C919" s="1" t="s">
        <v>575</v>
      </c>
      <c r="D919" s="4" t="s">
        <v>86</v>
      </c>
      <c r="E919" s="3"/>
      <c r="F919" s="3" t="s">
        <v>68</v>
      </c>
      <c r="G919" s="4">
        <v>1</v>
      </c>
      <c r="H919" s="4">
        <v>1</v>
      </c>
      <c r="I919" s="4">
        <v>17</v>
      </c>
      <c r="J919" s="4" t="s">
        <v>8</v>
      </c>
      <c r="K919" s="4" t="s">
        <v>14</v>
      </c>
      <c r="L919" s="11"/>
      <c r="M919" s="3"/>
      <c r="N919"/>
      <c r="O919" s="4"/>
      <c r="P919" s="1"/>
      <c r="Q919" s="22"/>
      <c r="R919"/>
      <c r="S919" s="11"/>
    </row>
    <row r="920" spans="2:19" x14ac:dyDescent="0.25">
      <c r="B920" s="4">
        <v>30018097</v>
      </c>
      <c r="C920" s="1" t="s">
        <v>576</v>
      </c>
      <c r="D920" s="4" t="s">
        <v>86</v>
      </c>
      <c r="E920" s="3"/>
      <c r="F920" s="3" t="s">
        <v>68</v>
      </c>
      <c r="G920" s="4">
        <v>2</v>
      </c>
      <c r="H920" s="4">
        <v>3</v>
      </c>
      <c r="I920" s="4">
        <v>1</v>
      </c>
      <c r="J920" s="4" t="s">
        <v>8</v>
      </c>
      <c r="K920" s="4" t="s">
        <v>9</v>
      </c>
      <c r="L920" s="11"/>
      <c r="M920" s="3"/>
      <c r="N920">
        <v>4502698822</v>
      </c>
      <c r="O920" s="4">
        <v>3</v>
      </c>
      <c r="P920" s="1" t="s">
        <v>1452</v>
      </c>
      <c r="Q920" s="22">
        <v>46216</v>
      </c>
      <c r="R920"/>
      <c r="S920" s="11"/>
    </row>
    <row r="921" spans="2:19" x14ac:dyDescent="0.25">
      <c r="B921" s="4">
        <v>30018133</v>
      </c>
      <c r="C921" s="1" t="s">
        <v>1425</v>
      </c>
      <c r="D921" s="4" t="s">
        <v>86</v>
      </c>
      <c r="E921" s="3"/>
      <c r="F921" s="3" t="s">
        <v>68</v>
      </c>
      <c r="G921" s="4">
        <v>10</v>
      </c>
      <c r="H921" s="4">
        <v>10</v>
      </c>
      <c r="I921" s="4">
        <v>7</v>
      </c>
      <c r="J921" s="4" t="s">
        <v>8</v>
      </c>
      <c r="K921" s="4" t="s">
        <v>9</v>
      </c>
      <c r="L921" s="11">
        <v>1002667096</v>
      </c>
      <c r="M921" s="3">
        <v>10</v>
      </c>
      <c r="N921"/>
      <c r="O921" s="4"/>
      <c r="P921" s="1"/>
      <c r="Q921" s="22"/>
      <c r="R921"/>
      <c r="S921" s="11"/>
    </row>
    <row r="922" spans="2:19" x14ac:dyDescent="0.25">
      <c r="B922" s="4">
        <v>30018283</v>
      </c>
      <c r="C922" s="1" t="s">
        <v>889</v>
      </c>
      <c r="D922" s="4" t="s">
        <v>86</v>
      </c>
      <c r="E922" s="3"/>
      <c r="F922" s="3" t="s">
        <v>102</v>
      </c>
      <c r="G922" s="4">
        <v>5</v>
      </c>
      <c r="H922" s="4">
        <v>4</v>
      </c>
      <c r="I922" s="4">
        <v>14</v>
      </c>
      <c r="J922" s="4" t="s">
        <v>8</v>
      </c>
      <c r="K922" s="4" t="s">
        <v>14</v>
      </c>
      <c r="L922" s="11"/>
      <c r="M922" s="3"/>
      <c r="N922"/>
      <c r="O922" s="4"/>
      <c r="P922" s="1"/>
      <c r="Q922" s="22"/>
      <c r="R922"/>
      <c r="S922" s="11"/>
    </row>
    <row r="923" spans="2:19" x14ac:dyDescent="0.25">
      <c r="B923" s="4">
        <v>30018529</v>
      </c>
      <c r="C923" s="1" t="s">
        <v>577</v>
      </c>
      <c r="D923" s="4" t="s">
        <v>86</v>
      </c>
      <c r="E923" s="3"/>
      <c r="F923" s="3" t="s">
        <v>68</v>
      </c>
      <c r="G923" s="4">
        <v>10</v>
      </c>
      <c r="H923" s="4">
        <v>12</v>
      </c>
      <c r="I923" s="4">
        <v>12</v>
      </c>
      <c r="J923" s="4" t="s">
        <v>8</v>
      </c>
      <c r="K923" s="4" t="s">
        <v>7</v>
      </c>
      <c r="L923" s="11"/>
      <c r="M923" s="3"/>
      <c r="N923"/>
      <c r="O923" s="4"/>
      <c r="P923" s="1"/>
      <c r="Q923" s="22"/>
      <c r="R923"/>
      <c r="S923" s="11"/>
    </row>
    <row r="924" spans="2:19" x14ac:dyDescent="0.25">
      <c r="B924" s="4">
        <v>30020001</v>
      </c>
      <c r="C924" s="1" t="s">
        <v>578</v>
      </c>
      <c r="D924" s="4" t="s">
        <v>86</v>
      </c>
      <c r="E924" s="3"/>
      <c r="F924" s="3" t="s">
        <v>68</v>
      </c>
      <c r="G924" s="4">
        <v>4</v>
      </c>
      <c r="H924" s="4">
        <v>2</v>
      </c>
      <c r="I924" s="4">
        <v>6</v>
      </c>
      <c r="J924" s="4" t="s">
        <v>8</v>
      </c>
      <c r="K924" s="4" t="s">
        <v>7</v>
      </c>
      <c r="L924" s="11"/>
      <c r="M924" s="3"/>
      <c r="N924"/>
      <c r="O924" s="4"/>
      <c r="P924" s="1"/>
      <c r="Q924" s="22"/>
      <c r="R924"/>
      <c r="S924" s="11"/>
    </row>
    <row r="925" spans="2:19" x14ac:dyDescent="0.25">
      <c r="B925" s="4">
        <v>30020217</v>
      </c>
      <c r="C925" s="1" t="s">
        <v>579</v>
      </c>
      <c r="D925" s="4" t="s">
        <v>86</v>
      </c>
      <c r="E925" s="3"/>
      <c r="F925" s="3" t="s">
        <v>68</v>
      </c>
      <c r="G925" s="4">
        <v>2</v>
      </c>
      <c r="H925" s="4">
        <v>2</v>
      </c>
      <c r="I925" s="4">
        <v>3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</row>
    <row r="926" spans="2:19" x14ac:dyDescent="0.25">
      <c r="B926" s="4">
        <v>30020483</v>
      </c>
      <c r="C926" s="1" t="s">
        <v>580</v>
      </c>
      <c r="D926" s="4" t="s">
        <v>86</v>
      </c>
      <c r="E926" s="3"/>
      <c r="F926" s="3" t="s">
        <v>68</v>
      </c>
      <c r="G926" s="4">
        <v>120</v>
      </c>
      <c r="H926" s="4">
        <v>200</v>
      </c>
      <c r="I926" s="4">
        <v>180</v>
      </c>
      <c r="J926" s="4" t="s">
        <v>24</v>
      </c>
      <c r="K926" s="4" t="s">
        <v>7</v>
      </c>
      <c r="L926" s="11"/>
      <c r="M926" s="3"/>
      <c r="N926"/>
      <c r="O926" s="4"/>
      <c r="P926" s="1"/>
      <c r="Q926" s="22"/>
      <c r="R926"/>
      <c r="S926" s="11"/>
    </row>
    <row r="927" spans="2:19" x14ac:dyDescent="0.25">
      <c r="B927" s="4">
        <v>30020488</v>
      </c>
      <c r="C927" s="1" t="s">
        <v>849</v>
      </c>
      <c r="D927" s="4" t="s">
        <v>86</v>
      </c>
      <c r="E927" s="3"/>
      <c r="F927" s="3" t="s">
        <v>68</v>
      </c>
      <c r="G927" s="4">
        <v>8</v>
      </c>
      <c r="H927" s="4">
        <v>4</v>
      </c>
      <c r="I927" s="4">
        <v>0</v>
      </c>
      <c r="J927" s="4" t="s">
        <v>8</v>
      </c>
      <c r="K927" s="4" t="s">
        <v>13</v>
      </c>
      <c r="L927" s="11">
        <v>1002648063</v>
      </c>
      <c r="M927" s="3">
        <v>8</v>
      </c>
      <c r="N927"/>
      <c r="O927" s="4"/>
      <c r="P927" s="1"/>
      <c r="Q927" s="22"/>
      <c r="R927"/>
      <c r="S927" s="11"/>
    </row>
    <row r="928" spans="2:19" x14ac:dyDescent="0.25">
      <c r="B928" s="4">
        <v>30020723</v>
      </c>
      <c r="C928" s="1" t="s">
        <v>1312</v>
      </c>
      <c r="D928" s="4" t="s">
        <v>86</v>
      </c>
      <c r="E928" s="3"/>
      <c r="F928" s="3" t="s">
        <v>68</v>
      </c>
      <c r="G928" s="4">
        <v>10</v>
      </c>
      <c r="H928" s="4">
        <v>20</v>
      </c>
      <c r="I928" s="4">
        <v>77</v>
      </c>
      <c r="J928" s="4" t="s">
        <v>10</v>
      </c>
      <c r="K928" s="4" t="s">
        <v>14</v>
      </c>
      <c r="L928" s="11"/>
      <c r="M928" s="3"/>
      <c r="N928"/>
      <c r="O928" s="4"/>
      <c r="P928" s="1"/>
      <c r="Q928" s="22"/>
      <c r="R928"/>
      <c r="S928" s="11"/>
    </row>
    <row r="929" spans="2:19" x14ac:dyDescent="0.25">
      <c r="B929" s="4">
        <v>30021141</v>
      </c>
      <c r="C929" s="1" t="s">
        <v>1051</v>
      </c>
      <c r="D929" s="4" t="s">
        <v>86</v>
      </c>
      <c r="E929" s="3"/>
      <c r="F929" s="3" t="s">
        <v>102</v>
      </c>
      <c r="G929" s="4">
        <v>3</v>
      </c>
      <c r="H929" s="4">
        <v>4</v>
      </c>
      <c r="I929" s="4">
        <v>4</v>
      </c>
      <c r="J929" s="4" t="s">
        <v>8</v>
      </c>
      <c r="K929" s="4" t="s">
        <v>7</v>
      </c>
      <c r="L929" s="11"/>
      <c r="M929" s="3"/>
      <c r="N929"/>
      <c r="O929" s="4"/>
      <c r="P929" s="1"/>
      <c r="Q929" s="22"/>
      <c r="R929"/>
      <c r="S929" s="11"/>
    </row>
    <row r="930" spans="2:19" x14ac:dyDescent="0.25">
      <c r="B930" s="4">
        <v>30021143</v>
      </c>
      <c r="C930" s="1" t="s">
        <v>1085</v>
      </c>
      <c r="D930" s="4" t="s">
        <v>86</v>
      </c>
      <c r="E930" s="3"/>
      <c r="F930" s="3" t="s">
        <v>102</v>
      </c>
      <c r="G930" s="4">
        <v>5</v>
      </c>
      <c r="H930" s="4">
        <v>4</v>
      </c>
      <c r="I930" s="4">
        <v>4</v>
      </c>
      <c r="J930" s="4" t="s">
        <v>8</v>
      </c>
      <c r="K930" s="4" t="s">
        <v>9</v>
      </c>
      <c r="L930" s="11"/>
      <c r="M930" s="3"/>
      <c r="N930">
        <v>4502640423</v>
      </c>
      <c r="O930" s="4">
        <v>2</v>
      </c>
      <c r="P930" s="1" t="s">
        <v>1360</v>
      </c>
      <c r="Q930" s="22">
        <v>46241</v>
      </c>
      <c r="R930"/>
      <c r="S930" s="11"/>
    </row>
    <row r="931" spans="2:19" x14ac:dyDescent="0.25">
      <c r="B931" s="4">
        <v>30021204</v>
      </c>
      <c r="C931" s="1" t="s">
        <v>581</v>
      </c>
      <c r="D931" s="4" t="s">
        <v>86</v>
      </c>
      <c r="E931" s="3"/>
      <c r="F931" s="3" t="s">
        <v>68</v>
      </c>
      <c r="G931" s="4">
        <v>2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</row>
    <row r="932" spans="2:19" x14ac:dyDescent="0.25">
      <c r="B932" s="4">
        <v>30021359</v>
      </c>
      <c r="C932" s="1" t="s">
        <v>890</v>
      </c>
      <c r="D932" s="4" t="s">
        <v>86</v>
      </c>
      <c r="E932" s="3" t="s">
        <v>1225</v>
      </c>
      <c r="F932" s="3" t="s">
        <v>102</v>
      </c>
      <c r="G932" s="4">
        <v>201</v>
      </c>
      <c r="H932" s="4">
        <v>200</v>
      </c>
      <c r="I932" s="4">
        <v>289</v>
      </c>
      <c r="J932" s="4" t="s">
        <v>8</v>
      </c>
      <c r="K932" s="4" t="s">
        <v>7</v>
      </c>
      <c r="L932" s="11"/>
      <c r="M932" s="3"/>
      <c r="N932"/>
      <c r="O932" s="4"/>
      <c r="P932" s="1"/>
      <c r="Q932" s="22"/>
      <c r="R932"/>
      <c r="S932" s="11"/>
    </row>
    <row r="933" spans="2:19" x14ac:dyDescent="0.25">
      <c r="B933" s="4">
        <v>30021873</v>
      </c>
      <c r="C933" s="1" t="s">
        <v>1263</v>
      </c>
      <c r="D933" s="4" t="s">
        <v>86</v>
      </c>
      <c r="E933" s="3"/>
      <c r="F933" s="3" t="s">
        <v>68</v>
      </c>
      <c r="G933" s="4">
        <v>10</v>
      </c>
      <c r="H933" s="4">
        <v>30</v>
      </c>
      <c r="I933" s="4">
        <v>35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</row>
    <row r="934" spans="2:19" x14ac:dyDescent="0.25">
      <c r="B934" s="4">
        <v>30022995</v>
      </c>
      <c r="C934" s="1" t="s">
        <v>850</v>
      </c>
      <c r="D934" s="4" t="s">
        <v>86</v>
      </c>
      <c r="E934" s="3"/>
      <c r="F934" s="3" t="s">
        <v>102</v>
      </c>
      <c r="G934" s="4">
        <v>1</v>
      </c>
      <c r="H934" s="4">
        <v>2</v>
      </c>
      <c r="I934" s="4">
        <v>1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</row>
    <row r="935" spans="2:19" x14ac:dyDescent="0.25">
      <c r="B935" s="4">
        <v>30023347</v>
      </c>
      <c r="C935" s="1" t="s">
        <v>851</v>
      </c>
      <c r="D935" s="4" t="s">
        <v>86</v>
      </c>
      <c r="E935" s="3" t="s">
        <v>1225</v>
      </c>
      <c r="F935" s="3" t="s">
        <v>102</v>
      </c>
      <c r="G935" s="4">
        <v>3</v>
      </c>
      <c r="H935" s="4">
        <v>2</v>
      </c>
      <c r="I935" s="4">
        <v>6</v>
      </c>
      <c r="J935" s="4" t="s">
        <v>8</v>
      </c>
      <c r="K935" s="4" t="s">
        <v>14</v>
      </c>
      <c r="L935" s="11">
        <v>1002671083</v>
      </c>
      <c r="M935" s="3">
        <v>1</v>
      </c>
      <c r="N935"/>
      <c r="O935" s="4"/>
      <c r="P935" s="1"/>
      <c r="Q935" s="22"/>
      <c r="R935"/>
      <c r="S935" s="11"/>
    </row>
    <row r="936" spans="2:19" x14ac:dyDescent="0.25">
      <c r="B936" s="4">
        <v>30023355</v>
      </c>
      <c r="C936" s="1" t="s">
        <v>582</v>
      </c>
      <c r="D936" s="4" t="s">
        <v>86</v>
      </c>
      <c r="E936" s="3"/>
      <c r="F936" s="3" t="s">
        <v>68</v>
      </c>
      <c r="G936" s="4">
        <v>20</v>
      </c>
      <c r="H936" s="4">
        <v>6</v>
      </c>
      <c r="I936" s="4">
        <v>20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</row>
    <row r="937" spans="2:19" x14ac:dyDescent="0.25">
      <c r="B937" s="4">
        <v>30023357</v>
      </c>
      <c r="C937" s="1" t="s">
        <v>583</v>
      </c>
      <c r="D937" s="4" t="s">
        <v>86</v>
      </c>
      <c r="E937" s="3"/>
      <c r="F937" s="3" t="s">
        <v>68</v>
      </c>
      <c r="G937" s="4">
        <v>10</v>
      </c>
      <c r="H937" s="4">
        <v>10</v>
      </c>
      <c r="I937" s="4">
        <v>17</v>
      </c>
      <c r="J937" s="4" t="s">
        <v>8</v>
      </c>
      <c r="K937" s="4" t="s">
        <v>7</v>
      </c>
      <c r="L937" s="11"/>
      <c r="M937" s="3"/>
      <c r="N937"/>
      <c r="O937" s="4"/>
      <c r="P937" s="1"/>
      <c r="Q937" s="22"/>
      <c r="R937"/>
      <c r="S937" s="11"/>
    </row>
    <row r="938" spans="2:19" x14ac:dyDescent="0.25">
      <c r="B938" s="4">
        <v>30023359</v>
      </c>
      <c r="C938" s="1" t="s">
        <v>584</v>
      </c>
      <c r="D938" s="4" t="s">
        <v>86</v>
      </c>
      <c r="E938" s="3"/>
      <c r="F938" s="3" t="s">
        <v>68</v>
      </c>
      <c r="G938" s="4">
        <v>10</v>
      </c>
      <c r="H938" s="4">
        <v>4</v>
      </c>
      <c r="I938" s="4">
        <v>12</v>
      </c>
      <c r="J938" s="4" t="s">
        <v>8</v>
      </c>
      <c r="K938" s="4" t="s">
        <v>7</v>
      </c>
      <c r="L938" s="11"/>
      <c r="M938" s="3"/>
      <c r="N938">
        <v>4502699097</v>
      </c>
      <c r="O938" s="4">
        <v>20</v>
      </c>
      <c r="P938" s="1" t="s">
        <v>1452</v>
      </c>
      <c r="Q938" s="22">
        <v>46252</v>
      </c>
      <c r="R938"/>
      <c r="S938" s="11"/>
    </row>
    <row r="939" spans="2:19" x14ac:dyDescent="0.25">
      <c r="B939" s="4">
        <v>30023360</v>
      </c>
      <c r="C939" s="1" t="s">
        <v>1466</v>
      </c>
      <c r="D939" s="4" t="s">
        <v>86</v>
      </c>
      <c r="E939" s="3"/>
      <c r="F939" s="3" t="s">
        <v>68</v>
      </c>
      <c r="G939" s="4">
        <v>5</v>
      </c>
      <c r="H939" s="4">
        <v>2</v>
      </c>
      <c r="I939" s="4">
        <v>4</v>
      </c>
      <c r="J939" s="4" t="s">
        <v>8</v>
      </c>
      <c r="K939" s="4" t="s">
        <v>9</v>
      </c>
      <c r="L939" s="11" t="s">
        <v>1670</v>
      </c>
      <c r="M939" s="3">
        <v>5</v>
      </c>
      <c r="N939"/>
      <c r="O939" s="4"/>
      <c r="P939" s="1"/>
      <c r="Q939" s="22"/>
      <c r="R939"/>
      <c r="S939" s="11"/>
    </row>
    <row r="940" spans="2:19" x14ac:dyDescent="0.25">
      <c r="B940" s="4">
        <v>30023361</v>
      </c>
      <c r="C940" s="1" t="s">
        <v>585</v>
      </c>
      <c r="D940" s="4" t="s">
        <v>86</v>
      </c>
      <c r="E940" s="3"/>
      <c r="F940" s="3" t="s">
        <v>68</v>
      </c>
      <c r="G940" s="4">
        <v>6</v>
      </c>
      <c r="H940" s="4">
        <v>2</v>
      </c>
      <c r="I940" s="4">
        <v>0</v>
      </c>
      <c r="J940" s="4" t="s">
        <v>8</v>
      </c>
      <c r="K940" s="4" t="s">
        <v>13</v>
      </c>
      <c r="L940" s="11" t="s">
        <v>1670</v>
      </c>
      <c r="M940" s="3">
        <v>8</v>
      </c>
      <c r="N940"/>
      <c r="O940" s="4"/>
      <c r="P940" s="1"/>
      <c r="Q940" s="22"/>
      <c r="R940"/>
      <c r="S940" s="11"/>
    </row>
    <row r="941" spans="2:19" x14ac:dyDescent="0.25">
      <c r="B941" s="4">
        <v>30023362</v>
      </c>
      <c r="C941" s="1" t="s">
        <v>1467</v>
      </c>
      <c r="D941" s="4" t="s">
        <v>86</v>
      </c>
      <c r="E941" s="3"/>
      <c r="F941" s="3" t="s">
        <v>68</v>
      </c>
      <c r="G941" s="4">
        <v>6</v>
      </c>
      <c r="H941" s="4">
        <v>6</v>
      </c>
      <c r="I941" s="4">
        <v>11</v>
      </c>
      <c r="J941" s="4" t="s">
        <v>8</v>
      </c>
      <c r="K941" s="4" t="s">
        <v>7</v>
      </c>
      <c r="L941" s="11"/>
      <c r="M941" s="3"/>
      <c r="N941"/>
      <c r="O941" s="4"/>
      <c r="P941" s="1"/>
      <c r="Q941" s="22"/>
      <c r="R941"/>
      <c r="S941" s="11"/>
    </row>
    <row r="942" spans="2:19" x14ac:dyDescent="0.25">
      <c r="B942" s="4">
        <v>30023375</v>
      </c>
      <c r="C942" s="1" t="s">
        <v>586</v>
      </c>
      <c r="D942" s="4" t="s">
        <v>86</v>
      </c>
      <c r="E942" s="3"/>
      <c r="F942" s="3" t="s">
        <v>68</v>
      </c>
      <c r="G942" s="4">
        <v>20</v>
      </c>
      <c r="H942" s="4">
        <v>6</v>
      </c>
      <c r="I942" s="4">
        <v>21</v>
      </c>
      <c r="J942" s="4" t="s">
        <v>8</v>
      </c>
      <c r="K942" s="4" t="s">
        <v>7</v>
      </c>
      <c r="L942" s="11"/>
      <c r="M942" s="3"/>
      <c r="N942"/>
      <c r="O942" s="4"/>
      <c r="P942" s="1"/>
      <c r="Q942" s="22"/>
      <c r="R942"/>
      <c r="S942" s="11"/>
    </row>
    <row r="943" spans="2:19" x14ac:dyDescent="0.25">
      <c r="B943" s="4">
        <v>30023376</v>
      </c>
      <c r="C943" s="1" t="s">
        <v>587</v>
      </c>
      <c r="D943" s="4" t="s">
        <v>86</v>
      </c>
      <c r="E943" s="3"/>
      <c r="F943" s="3" t="s">
        <v>68</v>
      </c>
      <c r="G943" s="4">
        <v>2</v>
      </c>
      <c r="H943" s="4">
        <v>4</v>
      </c>
      <c r="I943" s="4">
        <v>49</v>
      </c>
      <c r="J943" s="4" t="s">
        <v>8</v>
      </c>
      <c r="K943" s="4" t="s">
        <v>14</v>
      </c>
      <c r="L943" s="11"/>
      <c r="M943" s="3"/>
      <c r="N943"/>
      <c r="O943" s="4"/>
      <c r="P943" s="1"/>
      <c r="Q943" s="22"/>
      <c r="R943"/>
      <c r="S943" s="11"/>
    </row>
    <row r="944" spans="2:19" x14ac:dyDescent="0.25">
      <c r="B944" s="4">
        <v>30023377</v>
      </c>
      <c r="C944" s="1" t="s">
        <v>588</v>
      </c>
      <c r="D944" s="4" t="s">
        <v>86</v>
      </c>
      <c r="E944" s="3"/>
      <c r="F944" s="3" t="s">
        <v>68</v>
      </c>
      <c r="G944" s="4">
        <v>6</v>
      </c>
      <c r="H944" s="4">
        <v>10</v>
      </c>
      <c r="I944" s="4">
        <v>28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</row>
    <row r="945" spans="2:19" x14ac:dyDescent="0.25">
      <c r="B945" s="4">
        <v>30023379</v>
      </c>
      <c r="C945" s="1" t="s">
        <v>589</v>
      </c>
      <c r="D945" s="4" t="s">
        <v>86</v>
      </c>
      <c r="E945" s="3"/>
      <c r="F945" s="3" t="s">
        <v>68</v>
      </c>
      <c r="G945" s="4">
        <v>10</v>
      </c>
      <c r="H945" s="4">
        <v>4</v>
      </c>
      <c r="I945" s="4">
        <v>9</v>
      </c>
      <c r="J945" s="4" t="s">
        <v>8</v>
      </c>
      <c r="K945" s="4" t="s">
        <v>9</v>
      </c>
      <c r="L945" s="11"/>
      <c r="M945" s="3"/>
      <c r="N945">
        <v>4502699097</v>
      </c>
      <c r="O945" s="4">
        <v>20</v>
      </c>
      <c r="P945" s="1" t="s">
        <v>1452</v>
      </c>
      <c r="Q945" s="22">
        <v>46252</v>
      </c>
      <c r="R945"/>
      <c r="S945" s="11"/>
    </row>
    <row r="946" spans="2:19" x14ac:dyDescent="0.25">
      <c r="B946" s="4">
        <v>30023381</v>
      </c>
      <c r="C946" s="1" t="s">
        <v>1468</v>
      </c>
      <c r="D946" s="4" t="s">
        <v>86</v>
      </c>
      <c r="E946" s="3"/>
      <c r="F946" s="3" t="s">
        <v>68</v>
      </c>
      <c r="G946" s="4">
        <v>10</v>
      </c>
      <c r="H946" s="4">
        <v>10</v>
      </c>
      <c r="I946" s="4">
        <v>12</v>
      </c>
      <c r="J946" s="4" t="s">
        <v>8</v>
      </c>
      <c r="K946" s="4" t="s">
        <v>7</v>
      </c>
      <c r="L946" s="11"/>
      <c r="M946" s="3"/>
      <c r="N946"/>
      <c r="O946" s="4"/>
      <c r="P946" s="1"/>
      <c r="Q946" s="22"/>
      <c r="R946"/>
      <c r="S946" s="11"/>
    </row>
    <row r="947" spans="2:19" x14ac:dyDescent="0.25">
      <c r="B947" s="4">
        <v>30023382</v>
      </c>
      <c r="C947" s="1" t="s">
        <v>1469</v>
      </c>
      <c r="D947" s="4" t="s">
        <v>86</v>
      </c>
      <c r="E947" s="3"/>
      <c r="F947" s="3" t="s">
        <v>68</v>
      </c>
      <c r="G947" s="4">
        <v>5</v>
      </c>
      <c r="H947" s="4">
        <v>2</v>
      </c>
      <c r="I947" s="4">
        <v>7</v>
      </c>
      <c r="J947" s="4" t="s">
        <v>8</v>
      </c>
      <c r="K947" s="4" t="s">
        <v>7</v>
      </c>
      <c r="L947" s="11"/>
      <c r="M947" s="3"/>
      <c r="N947"/>
      <c r="O947" s="4"/>
      <c r="P947" s="1"/>
      <c r="Q947" s="22"/>
      <c r="R947"/>
      <c r="S947" s="11"/>
    </row>
    <row r="948" spans="2:19" x14ac:dyDescent="0.25">
      <c r="B948" s="4">
        <v>30023407</v>
      </c>
      <c r="C948" s="1" t="s">
        <v>590</v>
      </c>
      <c r="D948" s="4" t="s">
        <v>86</v>
      </c>
      <c r="E948" s="3"/>
      <c r="F948" s="3" t="s">
        <v>68</v>
      </c>
      <c r="G948" s="4">
        <v>200</v>
      </c>
      <c r="H948" s="4">
        <v>200</v>
      </c>
      <c r="I948" s="4">
        <v>575</v>
      </c>
      <c r="J948" s="4" t="s">
        <v>25</v>
      </c>
      <c r="K948" s="4" t="s">
        <v>14</v>
      </c>
      <c r="L948" s="11">
        <v>1002667096</v>
      </c>
      <c r="M948" s="3">
        <v>200</v>
      </c>
      <c r="N948"/>
      <c r="O948" s="4"/>
      <c r="P948" s="1"/>
      <c r="Q948" s="22"/>
      <c r="R948"/>
      <c r="S948" s="11"/>
    </row>
    <row r="949" spans="2:19" x14ac:dyDescent="0.25">
      <c r="B949" s="4">
        <v>30023557</v>
      </c>
      <c r="C949" s="1" t="s">
        <v>591</v>
      </c>
      <c r="D949" s="4" t="s">
        <v>86</v>
      </c>
      <c r="E949" s="3" t="s">
        <v>1225</v>
      </c>
      <c r="F949" s="3" t="s">
        <v>102</v>
      </c>
      <c r="G949" s="4">
        <v>27</v>
      </c>
      <c r="H949" s="4">
        <v>26</v>
      </c>
      <c r="I949" s="4">
        <v>41</v>
      </c>
      <c r="J949" s="4" t="s">
        <v>8</v>
      </c>
      <c r="K949" s="4" t="s">
        <v>7</v>
      </c>
      <c r="L949" s="11"/>
      <c r="M949" s="3"/>
      <c r="N949"/>
      <c r="O949" s="4"/>
      <c r="P949" s="1"/>
      <c r="Q949" s="22"/>
      <c r="R949"/>
      <c r="S949" s="11"/>
    </row>
    <row r="950" spans="2:19" x14ac:dyDescent="0.25">
      <c r="B950" s="4">
        <v>30023656</v>
      </c>
      <c r="C950" s="1" t="s">
        <v>592</v>
      </c>
      <c r="D950" s="4" t="s">
        <v>86</v>
      </c>
      <c r="E950" s="3"/>
      <c r="F950" s="3" t="s">
        <v>68</v>
      </c>
      <c r="G950" s="4">
        <v>23</v>
      </c>
      <c r="H950" s="4">
        <v>32</v>
      </c>
      <c r="I950" s="4">
        <v>0</v>
      </c>
      <c r="J950" s="4" t="s">
        <v>8</v>
      </c>
      <c r="K950" s="4" t="s">
        <v>13</v>
      </c>
      <c r="L950" s="11" t="s">
        <v>1667</v>
      </c>
      <c r="M950" s="3">
        <v>55</v>
      </c>
      <c r="N950"/>
      <c r="O950" s="4"/>
      <c r="P950" s="1"/>
      <c r="Q950" s="22"/>
      <c r="R950"/>
      <c r="S950" s="11"/>
    </row>
    <row r="951" spans="2:19" x14ac:dyDescent="0.25">
      <c r="B951" s="4">
        <v>30023784</v>
      </c>
      <c r="C951" s="1" t="s">
        <v>593</v>
      </c>
      <c r="D951" s="4" t="s">
        <v>86</v>
      </c>
      <c r="E951" s="3"/>
      <c r="F951" s="3" t="s">
        <v>68</v>
      </c>
      <c r="G951" s="4">
        <v>32</v>
      </c>
      <c r="H951" s="4">
        <v>32</v>
      </c>
      <c r="I951" s="4">
        <v>44</v>
      </c>
      <c r="J951" s="4" t="s">
        <v>24</v>
      </c>
      <c r="K951" s="4" t="s">
        <v>7</v>
      </c>
      <c r="L951" s="11"/>
      <c r="M951" s="3"/>
      <c r="N951"/>
      <c r="O951" s="4"/>
      <c r="P951" s="1"/>
      <c r="Q951" s="22"/>
      <c r="R951"/>
      <c r="S951" s="11"/>
    </row>
    <row r="952" spans="2:19" x14ac:dyDescent="0.25">
      <c r="B952" s="4">
        <v>30023839</v>
      </c>
      <c r="C952" s="1" t="s">
        <v>594</v>
      </c>
      <c r="D952" s="4" t="s">
        <v>86</v>
      </c>
      <c r="E952" s="74"/>
      <c r="F952" s="3" t="s">
        <v>68</v>
      </c>
      <c r="G952" s="4">
        <v>6</v>
      </c>
      <c r="H952" s="4">
        <v>4</v>
      </c>
      <c r="I952" s="4">
        <v>4</v>
      </c>
      <c r="J952" s="4" t="s">
        <v>8</v>
      </c>
      <c r="K952" s="4" t="s">
        <v>9</v>
      </c>
      <c r="L952" s="11"/>
      <c r="M952" s="3"/>
      <c r="N952">
        <v>4502631216</v>
      </c>
      <c r="O952" s="4">
        <v>4</v>
      </c>
      <c r="P952" s="1" t="s">
        <v>1558</v>
      </c>
      <c r="Q952" s="22">
        <v>46142</v>
      </c>
      <c r="R952"/>
      <c r="S952" s="11"/>
    </row>
    <row r="953" spans="2:19" x14ac:dyDescent="0.25">
      <c r="B953" s="4">
        <v>30023840</v>
      </c>
      <c r="C953" s="1" t="s">
        <v>595</v>
      </c>
      <c r="D953" s="4" t="s">
        <v>86</v>
      </c>
      <c r="E953" s="3"/>
      <c r="F953" s="3" t="s">
        <v>68</v>
      </c>
      <c r="G953" s="4">
        <v>10</v>
      </c>
      <c r="H953" s="4">
        <v>15</v>
      </c>
      <c r="I953" s="4">
        <v>13</v>
      </c>
      <c r="J953" s="4" t="s">
        <v>8</v>
      </c>
      <c r="K953" s="4" t="s">
        <v>7</v>
      </c>
      <c r="L953" s="11"/>
      <c r="M953" s="3"/>
      <c r="N953"/>
      <c r="O953" s="4"/>
      <c r="P953" s="1"/>
      <c r="Q953" s="22"/>
      <c r="R953"/>
      <c r="S953" s="11"/>
    </row>
    <row r="954" spans="2:19" x14ac:dyDescent="0.25">
      <c r="B954" s="4">
        <v>30023907</v>
      </c>
      <c r="C954" s="1" t="s">
        <v>596</v>
      </c>
      <c r="D954" s="4" t="s">
        <v>86</v>
      </c>
      <c r="E954" s="3"/>
      <c r="F954" s="3" t="s">
        <v>102</v>
      </c>
      <c r="G954" s="4">
        <v>13</v>
      </c>
      <c r="H954" s="4">
        <v>12</v>
      </c>
      <c r="I954" s="4">
        <v>41</v>
      </c>
      <c r="J954" s="4" t="s">
        <v>8</v>
      </c>
      <c r="K954" s="4" t="s">
        <v>14</v>
      </c>
      <c r="L954" s="11"/>
      <c r="M954" s="3"/>
      <c r="N954"/>
      <c r="O954" s="4"/>
      <c r="P954" s="1"/>
      <c r="Q954" s="22"/>
      <c r="R954"/>
      <c r="S954" s="11"/>
    </row>
    <row r="955" spans="2:19" x14ac:dyDescent="0.25">
      <c r="B955" s="4">
        <v>30023956</v>
      </c>
      <c r="C955" s="1" t="s">
        <v>1154</v>
      </c>
      <c r="D955" s="4" t="s">
        <v>86</v>
      </c>
      <c r="E955" s="3" t="s">
        <v>1225</v>
      </c>
      <c r="F955" s="3" t="s">
        <v>102</v>
      </c>
      <c r="G955" s="4">
        <v>2</v>
      </c>
      <c r="H955" s="4">
        <v>1</v>
      </c>
      <c r="I955" s="4">
        <v>2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 t="s">
        <v>1609</v>
      </c>
    </row>
    <row r="956" spans="2:19" x14ac:dyDescent="0.25">
      <c r="B956" s="4">
        <v>30023958</v>
      </c>
      <c r="C956" s="1" t="s">
        <v>1155</v>
      </c>
      <c r="D956" s="4" t="s">
        <v>86</v>
      </c>
      <c r="E956" s="3" t="s">
        <v>1225</v>
      </c>
      <c r="F956" s="3" t="s">
        <v>102</v>
      </c>
      <c r="G956" s="4">
        <v>9</v>
      </c>
      <c r="H956" s="4">
        <v>8</v>
      </c>
      <c r="I956" s="4">
        <v>9</v>
      </c>
      <c r="J956" s="4" t="s">
        <v>8</v>
      </c>
      <c r="K956" s="4" t="s">
        <v>7</v>
      </c>
      <c r="L956" s="11"/>
      <c r="M956" s="3"/>
      <c r="N956"/>
      <c r="O956" s="4"/>
      <c r="P956" s="1"/>
      <c r="Q956" s="22"/>
      <c r="R956"/>
      <c r="S956" s="11"/>
    </row>
    <row r="957" spans="2:19" x14ac:dyDescent="0.25">
      <c r="B957" s="4">
        <v>30023959</v>
      </c>
      <c r="C957" s="1" t="s">
        <v>1156</v>
      </c>
      <c r="D957" s="4" t="s">
        <v>86</v>
      </c>
      <c r="E957" s="3" t="s">
        <v>1225</v>
      </c>
      <c r="F957" s="3" t="s">
        <v>102</v>
      </c>
      <c r="G957" s="4">
        <v>3</v>
      </c>
      <c r="H957" s="4">
        <v>2</v>
      </c>
      <c r="I957" s="4">
        <v>4</v>
      </c>
      <c r="J957" s="4" t="s">
        <v>8</v>
      </c>
      <c r="K957" s="4" t="s">
        <v>7</v>
      </c>
      <c r="L957" s="11"/>
      <c r="M957" s="3"/>
      <c r="N957"/>
      <c r="O957" s="4"/>
      <c r="P957" s="1"/>
      <c r="Q957" s="22"/>
      <c r="R957"/>
      <c r="S957" s="11"/>
    </row>
    <row r="958" spans="2:19" x14ac:dyDescent="0.25">
      <c r="B958" s="4">
        <v>30023962</v>
      </c>
      <c r="C958" s="1" t="s">
        <v>1157</v>
      </c>
      <c r="D958" s="4" t="s">
        <v>86</v>
      </c>
      <c r="E958" s="3"/>
      <c r="F958" s="3" t="s">
        <v>102</v>
      </c>
      <c r="G958" s="4">
        <v>2</v>
      </c>
      <c r="H958" s="4">
        <v>1</v>
      </c>
      <c r="I958" s="4">
        <v>3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</row>
    <row r="959" spans="2:19" x14ac:dyDescent="0.25">
      <c r="B959" s="4">
        <v>30023963</v>
      </c>
      <c r="C959" s="1" t="s">
        <v>1158</v>
      </c>
      <c r="D959" s="4" t="s">
        <v>86</v>
      </c>
      <c r="E959" s="3" t="s">
        <v>1225</v>
      </c>
      <c r="F959" s="3" t="s">
        <v>102</v>
      </c>
      <c r="G959" s="4">
        <v>12</v>
      </c>
      <c r="H959" s="4">
        <v>11</v>
      </c>
      <c r="I959" s="4">
        <v>13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</row>
    <row r="960" spans="2:19" x14ac:dyDescent="0.25">
      <c r="B960" s="4">
        <v>30023965</v>
      </c>
      <c r="C960" s="1" t="s">
        <v>1159</v>
      </c>
      <c r="D960" s="4" t="s">
        <v>86</v>
      </c>
      <c r="E960" s="3" t="s">
        <v>1225</v>
      </c>
      <c r="F960" s="3" t="s">
        <v>102</v>
      </c>
      <c r="G960" s="4">
        <v>6</v>
      </c>
      <c r="H960" s="4">
        <v>5</v>
      </c>
      <c r="I960" s="4">
        <v>6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</row>
    <row r="961" spans="2:19" x14ac:dyDescent="0.25">
      <c r="B961" s="4">
        <v>30024092</v>
      </c>
      <c r="C961" s="1" t="s">
        <v>1361</v>
      </c>
      <c r="D961" s="4" t="s">
        <v>86</v>
      </c>
      <c r="E961" s="3"/>
      <c r="F961" s="3" t="s">
        <v>68</v>
      </c>
      <c r="G961" s="4">
        <v>33</v>
      </c>
      <c r="H961" s="4">
        <v>54</v>
      </c>
      <c r="I961" s="4">
        <v>127</v>
      </c>
      <c r="J961" s="4" t="s">
        <v>8</v>
      </c>
      <c r="K961" s="4" t="s">
        <v>14</v>
      </c>
      <c r="L961" s="11"/>
      <c r="M961" s="3"/>
      <c r="N961"/>
      <c r="O961" s="4"/>
      <c r="P961" s="1"/>
      <c r="Q961" s="22"/>
      <c r="R961"/>
      <c r="S961" s="11"/>
    </row>
    <row r="962" spans="2:19" x14ac:dyDescent="0.25">
      <c r="B962" s="4">
        <v>30024775</v>
      </c>
      <c r="C962" s="1" t="s">
        <v>891</v>
      </c>
      <c r="D962" s="4" t="s">
        <v>86</v>
      </c>
      <c r="E962" s="3"/>
      <c r="F962" s="3" t="s">
        <v>102</v>
      </c>
      <c r="G962" s="4">
        <v>5</v>
      </c>
      <c r="H962" s="4">
        <v>4</v>
      </c>
      <c r="I962" s="4">
        <v>16</v>
      </c>
      <c r="J962" s="4" t="s">
        <v>8</v>
      </c>
      <c r="K962" s="4" t="s">
        <v>14</v>
      </c>
      <c r="L962" s="11"/>
      <c r="M962" s="3"/>
      <c r="N962"/>
      <c r="O962" s="4"/>
      <c r="P962" s="1"/>
      <c r="Q962" s="22"/>
      <c r="R962"/>
      <c r="S962" s="11"/>
    </row>
    <row r="963" spans="2:19" x14ac:dyDescent="0.25">
      <c r="B963" s="4">
        <v>30024776</v>
      </c>
      <c r="C963" s="1" t="s">
        <v>892</v>
      </c>
      <c r="D963" s="4" t="s">
        <v>86</v>
      </c>
      <c r="E963" s="3"/>
      <c r="F963" s="3" t="s">
        <v>102</v>
      </c>
      <c r="G963" s="4">
        <v>5</v>
      </c>
      <c r="H963" s="4">
        <v>4</v>
      </c>
      <c r="I963" s="4">
        <v>10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</row>
    <row r="964" spans="2:19" x14ac:dyDescent="0.25">
      <c r="B964" s="4">
        <v>30024780</v>
      </c>
      <c r="C964" s="1" t="s">
        <v>852</v>
      </c>
      <c r="D964" s="4" t="s">
        <v>86</v>
      </c>
      <c r="E964" s="3"/>
      <c r="F964" s="3" t="s">
        <v>102</v>
      </c>
      <c r="G964" s="4">
        <v>5</v>
      </c>
      <c r="H964" s="4">
        <v>4</v>
      </c>
      <c r="I964" s="4">
        <v>11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</row>
    <row r="965" spans="2:19" x14ac:dyDescent="0.25">
      <c r="B965" s="4">
        <v>30024781</v>
      </c>
      <c r="C965" s="1" t="s">
        <v>893</v>
      </c>
      <c r="D965" s="4" t="s">
        <v>86</v>
      </c>
      <c r="E965" s="3"/>
      <c r="F965" s="3" t="s">
        <v>102</v>
      </c>
      <c r="G965" s="4">
        <v>5</v>
      </c>
      <c r="H965" s="4">
        <v>4</v>
      </c>
      <c r="I965" s="4">
        <v>6</v>
      </c>
      <c r="J965" s="4" t="s">
        <v>8</v>
      </c>
      <c r="K965" s="4" t="s">
        <v>7</v>
      </c>
      <c r="L965" s="11"/>
      <c r="M965" s="3"/>
      <c r="N965"/>
      <c r="O965" s="4"/>
      <c r="P965" s="1"/>
      <c r="Q965" s="22"/>
      <c r="R965"/>
      <c r="S965" s="11"/>
    </row>
    <row r="966" spans="2:19" x14ac:dyDescent="0.25">
      <c r="B966" s="4">
        <v>30024782</v>
      </c>
      <c r="C966" s="1" t="s">
        <v>853</v>
      </c>
      <c r="D966" s="4" t="s">
        <v>86</v>
      </c>
      <c r="E966" s="3"/>
      <c r="F966" s="3" t="s">
        <v>102</v>
      </c>
      <c r="G966" s="4">
        <v>5</v>
      </c>
      <c r="H966" s="4">
        <v>4</v>
      </c>
      <c r="I966" s="4">
        <v>6</v>
      </c>
      <c r="J966" s="4" t="s">
        <v>8</v>
      </c>
      <c r="K966" s="4" t="s">
        <v>7</v>
      </c>
      <c r="L966" s="11"/>
      <c r="M966" s="3"/>
      <c r="N966"/>
      <c r="O966" s="4"/>
      <c r="P966" s="1"/>
      <c r="Q966" s="22"/>
      <c r="R966"/>
      <c r="S966" s="11"/>
    </row>
    <row r="967" spans="2:19" x14ac:dyDescent="0.25">
      <c r="B967" s="4">
        <v>30024783</v>
      </c>
      <c r="C967" s="1" t="s">
        <v>597</v>
      </c>
      <c r="D967" s="4" t="s">
        <v>86</v>
      </c>
      <c r="E967" s="3"/>
      <c r="F967" s="3" t="s">
        <v>68</v>
      </c>
      <c r="G967" s="4">
        <v>1</v>
      </c>
      <c r="H967" s="4">
        <v>1</v>
      </c>
      <c r="I967" s="4">
        <v>26</v>
      </c>
      <c r="J967" s="4" t="s">
        <v>8</v>
      </c>
      <c r="K967" s="4" t="s">
        <v>14</v>
      </c>
      <c r="L967" s="11"/>
      <c r="M967" s="3"/>
      <c r="N967"/>
      <c r="O967" s="4"/>
      <c r="P967" s="1"/>
      <c r="Q967" s="22"/>
      <c r="R967"/>
      <c r="S967" s="11"/>
    </row>
    <row r="968" spans="2:19" x14ac:dyDescent="0.25">
      <c r="B968" s="4">
        <v>30024784</v>
      </c>
      <c r="C968" s="1" t="s">
        <v>1160</v>
      </c>
      <c r="D968" s="4" t="s">
        <v>86</v>
      </c>
      <c r="E968" s="3"/>
      <c r="F968" s="3" t="s">
        <v>102</v>
      </c>
      <c r="G968" s="4">
        <v>3</v>
      </c>
      <c r="H968" s="4">
        <v>2</v>
      </c>
      <c r="I968" s="4">
        <v>4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</row>
    <row r="969" spans="2:19" x14ac:dyDescent="0.25">
      <c r="B969" s="4">
        <v>30024785</v>
      </c>
      <c r="C969" s="1" t="s">
        <v>894</v>
      </c>
      <c r="D969" s="4" t="s">
        <v>86</v>
      </c>
      <c r="E969" s="3"/>
      <c r="F969" s="3" t="s">
        <v>102</v>
      </c>
      <c r="G969" s="4">
        <v>5</v>
      </c>
      <c r="H969" s="4">
        <v>4</v>
      </c>
      <c r="I969" s="4">
        <v>16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</row>
    <row r="970" spans="2:19" x14ac:dyDescent="0.25">
      <c r="B970" s="4">
        <v>30024786</v>
      </c>
      <c r="C970" s="1" t="s">
        <v>895</v>
      </c>
      <c r="D970" s="4" t="s">
        <v>86</v>
      </c>
      <c r="E970" s="3" t="s">
        <v>1225</v>
      </c>
      <c r="F970" s="3" t="s">
        <v>102</v>
      </c>
      <c r="G970" s="4">
        <v>5</v>
      </c>
      <c r="H970" s="4">
        <v>4</v>
      </c>
      <c r="I970" s="4">
        <v>7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</row>
    <row r="971" spans="2:19" x14ac:dyDescent="0.25">
      <c r="B971" s="4">
        <v>30024787</v>
      </c>
      <c r="C971" s="1" t="s">
        <v>896</v>
      </c>
      <c r="D971" s="4" t="s">
        <v>86</v>
      </c>
      <c r="E971" s="3" t="s">
        <v>1225</v>
      </c>
      <c r="F971" s="3" t="s">
        <v>102</v>
      </c>
      <c r="G971" s="4">
        <v>5</v>
      </c>
      <c r="H971" s="4">
        <v>4</v>
      </c>
      <c r="I971" s="4">
        <v>7</v>
      </c>
      <c r="J971" s="4" t="s">
        <v>8</v>
      </c>
      <c r="K971" s="4" t="s">
        <v>7</v>
      </c>
      <c r="L971" s="11"/>
      <c r="M971" s="3"/>
      <c r="N971"/>
      <c r="O971" s="4"/>
      <c r="P971" s="1"/>
      <c r="Q971" s="22"/>
      <c r="R971"/>
      <c r="S971" s="11"/>
    </row>
    <row r="972" spans="2:19" x14ac:dyDescent="0.25">
      <c r="B972" s="4">
        <v>30024790</v>
      </c>
      <c r="C972" s="1" t="s">
        <v>854</v>
      </c>
      <c r="D972" s="4" t="s">
        <v>86</v>
      </c>
      <c r="E972" s="3" t="s">
        <v>1225</v>
      </c>
      <c r="F972" s="3" t="s">
        <v>102</v>
      </c>
      <c r="G972" s="4">
        <v>5</v>
      </c>
      <c r="H972" s="4">
        <v>4</v>
      </c>
      <c r="I972" s="4">
        <v>14</v>
      </c>
      <c r="J972" s="4" t="s">
        <v>8</v>
      </c>
      <c r="K972" s="4" t="s">
        <v>14</v>
      </c>
      <c r="L972" s="11"/>
      <c r="M972" s="3"/>
      <c r="N972"/>
      <c r="O972" s="4"/>
      <c r="P972" s="1"/>
      <c r="Q972" s="22"/>
      <c r="R972"/>
      <c r="S972" s="11"/>
    </row>
    <row r="973" spans="2:19" x14ac:dyDescent="0.25">
      <c r="B973" s="4">
        <v>30024791</v>
      </c>
      <c r="C973" s="1" t="s">
        <v>897</v>
      </c>
      <c r="D973" s="4" t="s">
        <v>86</v>
      </c>
      <c r="E973" s="3"/>
      <c r="F973" s="3" t="s">
        <v>102</v>
      </c>
      <c r="G973" s="4">
        <v>5</v>
      </c>
      <c r="H973" s="4">
        <v>4</v>
      </c>
      <c r="I973" s="4">
        <v>8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</row>
    <row r="974" spans="2:19" x14ac:dyDescent="0.25">
      <c r="B974" s="4">
        <v>30024792</v>
      </c>
      <c r="C974" s="1" t="s">
        <v>855</v>
      </c>
      <c r="D974" s="4" t="s">
        <v>86</v>
      </c>
      <c r="E974" s="3"/>
      <c r="F974" s="3" t="s">
        <v>102</v>
      </c>
      <c r="G974" s="4">
        <v>5</v>
      </c>
      <c r="H974" s="4">
        <v>4</v>
      </c>
      <c r="I974" s="4">
        <v>10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</row>
    <row r="975" spans="2:19" x14ac:dyDescent="0.25">
      <c r="B975" s="4">
        <v>30024794</v>
      </c>
      <c r="C975" s="1" t="s">
        <v>1161</v>
      </c>
      <c r="D975" s="4" t="s">
        <v>86</v>
      </c>
      <c r="E975" s="3" t="s">
        <v>1225</v>
      </c>
      <c r="F975" s="3" t="s">
        <v>102</v>
      </c>
      <c r="G975" s="4">
        <v>3</v>
      </c>
      <c r="H975" s="4">
        <v>2</v>
      </c>
      <c r="I975" s="4">
        <v>5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</row>
    <row r="976" spans="2:19" x14ac:dyDescent="0.25">
      <c r="B976" s="4">
        <v>30024795</v>
      </c>
      <c r="C976" s="1" t="s">
        <v>1645</v>
      </c>
      <c r="D976" s="4" t="s">
        <v>86</v>
      </c>
      <c r="E976" s="3"/>
      <c r="F976" s="3" t="s">
        <v>102</v>
      </c>
      <c r="G976" s="4">
        <v>5</v>
      </c>
      <c r="H976" s="4">
        <v>4</v>
      </c>
      <c r="I976" s="4">
        <v>9</v>
      </c>
      <c r="J976" s="4" t="s">
        <v>8</v>
      </c>
      <c r="K976" s="4" t="s">
        <v>7</v>
      </c>
      <c r="L976" s="11"/>
      <c r="M976" s="3"/>
      <c r="N976"/>
      <c r="O976" s="4"/>
      <c r="P976" s="1"/>
      <c r="Q976" s="22"/>
      <c r="R976"/>
      <c r="S976" s="11" t="s">
        <v>1610</v>
      </c>
    </row>
    <row r="977" spans="2:19" x14ac:dyDescent="0.25">
      <c r="B977" s="4">
        <v>30024796</v>
      </c>
      <c r="C977" s="1" t="s">
        <v>1061</v>
      </c>
      <c r="D977" s="4" t="s">
        <v>86</v>
      </c>
      <c r="E977" s="3"/>
      <c r="F977" s="3" t="s">
        <v>102</v>
      </c>
      <c r="G977" s="4">
        <v>5</v>
      </c>
      <c r="H977" s="4">
        <v>4</v>
      </c>
      <c r="I977" s="4">
        <v>10</v>
      </c>
      <c r="J977" s="4" t="s">
        <v>8</v>
      </c>
      <c r="K977" s="4" t="s">
        <v>14</v>
      </c>
      <c r="L977" s="11"/>
      <c r="M977" s="3"/>
      <c r="N977"/>
      <c r="O977" s="4"/>
      <c r="P977" s="1"/>
      <c r="Q977" s="22"/>
      <c r="R977"/>
      <c r="S977" s="11"/>
    </row>
    <row r="978" spans="2:19" x14ac:dyDescent="0.25">
      <c r="B978" s="4">
        <v>30024855</v>
      </c>
      <c r="C978" s="1" t="s">
        <v>898</v>
      </c>
      <c r="D978" s="4" t="s">
        <v>86</v>
      </c>
      <c r="E978" s="3" t="s">
        <v>1225</v>
      </c>
      <c r="F978" s="3" t="s">
        <v>102</v>
      </c>
      <c r="G978" s="4">
        <v>2</v>
      </c>
      <c r="H978" s="4">
        <v>2</v>
      </c>
      <c r="I978" s="4">
        <v>3</v>
      </c>
      <c r="J978" s="4" t="s">
        <v>8</v>
      </c>
      <c r="K978" s="4" t="s">
        <v>7</v>
      </c>
      <c r="L978" s="11"/>
      <c r="M978" s="3"/>
      <c r="N978"/>
      <c r="O978" s="4"/>
      <c r="P978" s="1"/>
      <c r="Q978" s="22"/>
      <c r="R978"/>
      <c r="S978" s="11"/>
    </row>
    <row r="979" spans="2:19" x14ac:dyDescent="0.25">
      <c r="B979" s="4">
        <v>30024865</v>
      </c>
      <c r="C979" s="1" t="s">
        <v>899</v>
      </c>
      <c r="D979" s="4" t="s">
        <v>86</v>
      </c>
      <c r="E979" s="3" t="s">
        <v>1225</v>
      </c>
      <c r="F979" s="3" t="s">
        <v>102</v>
      </c>
      <c r="G979" s="4">
        <v>2</v>
      </c>
      <c r="H979" s="4">
        <v>2</v>
      </c>
      <c r="I979" s="4">
        <v>2</v>
      </c>
      <c r="J979" s="4" t="s">
        <v>8</v>
      </c>
      <c r="K979" s="4" t="s">
        <v>7</v>
      </c>
      <c r="L979" s="11"/>
      <c r="M979" s="3"/>
      <c r="N979"/>
      <c r="O979" s="4"/>
      <c r="P979" s="1"/>
      <c r="Q979" s="22"/>
      <c r="R979"/>
      <c r="S979" s="11"/>
    </row>
    <row r="980" spans="2:19" x14ac:dyDescent="0.25">
      <c r="B980" s="4">
        <v>30024867</v>
      </c>
      <c r="C980" s="1" t="s">
        <v>598</v>
      </c>
      <c r="D980" s="4" t="s">
        <v>86</v>
      </c>
      <c r="E980" s="3"/>
      <c r="F980" s="3" t="s">
        <v>68</v>
      </c>
      <c r="G980" s="4">
        <v>1</v>
      </c>
      <c r="H980" s="4">
        <v>1</v>
      </c>
      <c r="I980" s="4">
        <v>7</v>
      </c>
      <c r="J980" s="4" t="s">
        <v>8</v>
      </c>
      <c r="K980" s="4" t="s">
        <v>14</v>
      </c>
      <c r="L980" s="11"/>
      <c r="M980" s="3"/>
      <c r="N980"/>
      <c r="O980" s="4"/>
      <c r="P980" s="1"/>
      <c r="Q980" s="22"/>
      <c r="R980"/>
      <c r="S980" s="11"/>
    </row>
    <row r="981" spans="2:19" x14ac:dyDescent="0.25">
      <c r="B981" s="4">
        <v>30024868</v>
      </c>
      <c r="C981" s="1" t="s">
        <v>900</v>
      </c>
      <c r="D981" s="4" t="s">
        <v>86</v>
      </c>
      <c r="E981" s="3"/>
      <c r="F981" s="3" t="s">
        <v>102</v>
      </c>
      <c r="G981" s="4">
        <v>2</v>
      </c>
      <c r="H981" s="4">
        <v>2</v>
      </c>
      <c r="I981" s="4">
        <v>4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</row>
    <row r="982" spans="2:19" x14ac:dyDescent="0.25">
      <c r="B982" s="4">
        <v>30024869</v>
      </c>
      <c r="C982" s="1" t="s">
        <v>857</v>
      </c>
      <c r="D982" s="4" t="s">
        <v>86</v>
      </c>
      <c r="E982" s="3"/>
      <c r="F982" s="3" t="s">
        <v>102</v>
      </c>
      <c r="G982" s="4">
        <v>5</v>
      </c>
      <c r="H982" s="4">
        <v>4</v>
      </c>
      <c r="I982" s="4">
        <v>6</v>
      </c>
      <c r="J982" s="4" t="s">
        <v>8</v>
      </c>
      <c r="K982" s="4" t="s">
        <v>7</v>
      </c>
      <c r="L982" s="11"/>
      <c r="M982" s="3"/>
      <c r="N982"/>
      <c r="O982" s="4"/>
      <c r="P982" s="1"/>
      <c r="Q982" s="22"/>
      <c r="R982"/>
      <c r="S982" s="11"/>
    </row>
    <row r="983" spans="2:19" x14ac:dyDescent="0.25">
      <c r="B983" s="4">
        <v>30024870</v>
      </c>
      <c r="C983" s="1" t="s">
        <v>901</v>
      </c>
      <c r="D983" s="4" t="s">
        <v>86</v>
      </c>
      <c r="E983" s="3"/>
      <c r="F983" s="3" t="s">
        <v>102</v>
      </c>
      <c r="G983" s="4">
        <v>9</v>
      </c>
      <c r="H983" s="4">
        <v>8</v>
      </c>
      <c r="I983" s="4">
        <v>49</v>
      </c>
      <c r="J983" s="4" t="s">
        <v>8</v>
      </c>
      <c r="K983" s="4" t="s">
        <v>14</v>
      </c>
      <c r="L983" s="11"/>
      <c r="M983" s="3"/>
      <c r="N983"/>
      <c r="O983" s="4"/>
      <c r="P983" s="1"/>
      <c r="Q983" s="22"/>
      <c r="R983"/>
      <c r="S983" s="11"/>
    </row>
    <row r="984" spans="2:19" x14ac:dyDescent="0.25">
      <c r="B984" s="4">
        <v>30024881</v>
      </c>
      <c r="C984" s="1" t="s">
        <v>599</v>
      </c>
      <c r="D984" s="4" t="s">
        <v>86</v>
      </c>
      <c r="E984" s="3"/>
      <c r="F984" s="3" t="s">
        <v>68</v>
      </c>
      <c r="G984" s="4">
        <v>4</v>
      </c>
      <c r="H984" s="4">
        <v>16</v>
      </c>
      <c r="I984" s="4">
        <v>0</v>
      </c>
      <c r="J984" s="4" t="s">
        <v>8</v>
      </c>
      <c r="K984" s="4" t="s">
        <v>13</v>
      </c>
      <c r="L984" s="11"/>
      <c r="M984" s="3"/>
      <c r="N984">
        <v>4700161627</v>
      </c>
      <c r="O984" s="4">
        <v>20</v>
      </c>
      <c r="P984" s="1" t="s">
        <v>1615</v>
      </c>
      <c r="Q984" s="22">
        <v>46209</v>
      </c>
      <c r="R984"/>
      <c r="S984" s="11"/>
    </row>
    <row r="985" spans="2:19" x14ac:dyDescent="0.25">
      <c r="B985" s="4">
        <v>30024886</v>
      </c>
      <c r="C985" s="1" t="s">
        <v>600</v>
      </c>
      <c r="D985" s="4" t="s">
        <v>86</v>
      </c>
      <c r="E985" s="3"/>
      <c r="F985" s="3" t="s">
        <v>68</v>
      </c>
      <c r="G985" s="4">
        <v>8</v>
      </c>
      <c r="H985" s="4">
        <v>8</v>
      </c>
      <c r="I985" s="4">
        <v>15</v>
      </c>
      <c r="J985" s="4" t="s">
        <v>8</v>
      </c>
      <c r="K985" s="4" t="s">
        <v>7</v>
      </c>
      <c r="L985" s="11"/>
      <c r="M985" s="3"/>
      <c r="N985"/>
      <c r="O985" s="4"/>
      <c r="P985" s="1"/>
      <c r="Q985" s="22"/>
      <c r="R985"/>
      <c r="S985" s="11"/>
    </row>
    <row r="986" spans="2:19" x14ac:dyDescent="0.25">
      <c r="B986" s="4">
        <v>30024895</v>
      </c>
      <c r="C986" s="1" t="s">
        <v>601</v>
      </c>
      <c r="D986" s="4" t="s">
        <v>86</v>
      </c>
      <c r="E986" s="3"/>
      <c r="F986" s="3" t="s">
        <v>68</v>
      </c>
      <c r="G986" s="4">
        <v>4</v>
      </c>
      <c r="H986" s="4">
        <v>4</v>
      </c>
      <c r="I986" s="4">
        <v>5</v>
      </c>
      <c r="J986" s="4" t="s">
        <v>8</v>
      </c>
      <c r="K986" s="4" t="s">
        <v>7</v>
      </c>
      <c r="L986" s="11"/>
      <c r="M986" s="3"/>
      <c r="N986"/>
      <c r="O986" s="4"/>
      <c r="P986" s="1"/>
      <c r="Q986" s="22"/>
      <c r="R986"/>
      <c r="S986" s="11"/>
    </row>
    <row r="987" spans="2:19" x14ac:dyDescent="0.25">
      <c r="B987" s="4">
        <v>30024898</v>
      </c>
      <c r="C987" s="1" t="s">
        <v>1052</v>
      </c>
      <c r="D987" s="4" t="s">
        <v>86</v>
      </c>
      <c r="E987" s="3"/>
      <c r="F987" s="3" t="s">
        <v>102</v>
      </c>
      <c r="G987" s="4">
        <v>3</v>
      </c>
      <c r="H987" s="4">
        <v>2</v>
      </c>
      <c r="I987" s="4">
        <v>3</v>
      </c>
      <c r="J987" s="4" t="s">
        <v>8</v>
      </c>
      <c r="K987" s="4" t="s">
        <v>7</v>
      </c>
      <c r="L987" s="11"/>
      <c r="M987" s="3"/>
      <c r="N987"/>
      <c r="O987" s="4"/>
      <c r="P987" s="1"/>
      <c r="Q987" s="22"/>
      <c r="R987"/>
      <c r="S987" s="11"/>
    </row>
    <row r="988" spans="2:19" x14ac:dyDescent="0.25">
      <c r="B988" s="4">
        <v>30024995</v>
      </c>
      <c r="C988" s="1" t="s">
        <v>1349</v>
      </c>
      <c r="D988" s="4" t="s">
        <v>86</v>
      </c>
      <c r="E988" s="3"/>
      <c r="F988" s="3" t="s">
        <v>68</v>
      </c>
      <c r="G988" s="4">
        <v>2</v>
      </c>
      <c r="H988" s="4">
        <v>4</v>
      </c>
      <c r="I988" s="4">
        <v>4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</row>
    <row r="989" spans="2:19" x14ac:dyDescent="0.25">
      <c r="B989" s="4">
        <v>30025328</v>
      </c>
      <c r="C989" s="1" t="s">
        <v>602</v>
      </c>
      <c r="D989" s="4" t="s">
        <v>86</v>
      </c>
      <c r="E989" s="3"/>
      <c r="F989" s="3" t="s">
        <v>68</v>
      </c>
      <c r="G989" s="4">
        <v>2</v>
      </c>
      <c r="H989" s="4">
        <v>3</v>
      </c>
      <c r="I989" s="4">
        <v>4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</row>
    <row r="990" spans="2:19" x14ac:dyDescent="0.25">
      <c r="B990" s="4">
        <v>30026143</v>
      </c>
      <c r="C990" s="1" t="s">
        <v>603</v>
      </c>
      <c r="D990" s="4" t="s">
        <v>86</v>
      </c>
      <c r="E990" s="3"/>
      <c r="F990" s="3" t="s">
        <v>68</v>
      </c>
      <c r="G990" s="4">
        <v>2</v>
      </c>
      <c r="H990" s="4">
        <v>2</v>
      </c>
      <c r="I990" s="4">
        <v>3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</row>
    <row r="991" spans="2:19" x14ac:dyDescent="0.25">
      <c r="B991" s="4">
        <v>30026243</v>
      </c>
      <c r="C991" s="1" t="s">
        <v>604</v>
      </c>
      <c r="D991" s="4" t="s">
        <v>86</v>
      </c>
      <c r="E991" s="3"/>
      <c r="F991" s="3" t="s">
        <v>68</v>
      </c>
      <c r="G991" s="4">
        <v>80</v>
      </c>
      <c r="H991" s="4">
        <v>80</v>
      </c>
      <c r="I991" s="4">
        <v>103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</row>
    <row r="992" spans="2:19" x14ac:dyDescent="0.25">
      <c r="B992" s="4">
        <v>30026273</v>
      </c>
      <c r="C992" s="1" t="s">
        <v>605</v>
      </c>
      <c r="D992" s="4" t="s">
        <v>86</v>
      </c>
      <c r="E992" s="3"/>
      <c r="F992" s="3" t="s">
        <v>68</v>
      </c>
      <c r="G992" s="4">
        <v>6</v>
      </c>
      <c r="H992" s="4">
        <v>4</v>
      </c>
      <c r="I992" s="4">
        <v>7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</row>
    <row r="993" spans="2:19" x14ac:dyDescent="0.25">
      <c r="B993" s="4">
        <v>30026837</v>
      </c>
      <c r="C993" s="1" t="s">
        <v>1289</v>
      </c>
      <c r="D993" s="4" t="s">
        <v>86</v>
      </c>
      <c r="E993" s="3"/>
      <c r="F993" s="3" t="s">
        <v>68</v>
      </c>
      <c r="G993" s="4">
        <v>2</v>
      </c>
      <c r="H993" s="4">
        <v>2</v>
      </c>
      <c r="I993" s="4">
        <v>5</v>
      </c>
      <c r="J993" s="4" t="s">
        <v>10</v>
      </c>
      <c r="K993" s="4" t="s">
        <v>14</v>
      </c>
      <c r="L993" s="11"/>
      <c r="M993" s="3"/>
      <c r="N993"/>
      <c r="O993" s="4"/>
      <c r="P993" s="1"/>
      <c r="Q993" s="22"/>
      <c r="R993"/>
      <c r="S993" s="11"/>
    </row>
    <row r="994" spans="2:19" x14ac:dyDescent="0.25">
      <c r="B994" s="4">
        <v>30026908</v>
      </c>
      <c r="C994" s="1" t="s">
        <v>606</v>
      </c>
      <c r="D994" s="4" t="s">
        <v>86</v>
      </c>
      <c r="E994" s="3"/>
      <c r="F994" s="3" t="s">
        <v>68</v>
      </c>
      <c r="G994" s="4">
        <v>10</v>
      </c>
      <c r="H994" s="4">
        <v>10</v>
      </c>
      <c r="I994" s="4">
        <v>15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</row>
    <row r="995" spans="2:19" x14ac:dyDescent="0.25">
      <c r="B995" s="4">
        <v>30027269</v>
      </c>
      <c r="C995" s="1" t="s">
        <v>607</v>
      </c>
      <c r="D995" s="4" t="s">
        <v>86</v>
      </c>
      <c r="E995" s="3"/>
      <c r="F995" s="3" t="s">
        <v>68</v>
      </c>
      <c r="G995" s="4">
        <v>3</v>
      </c>
      <c r="H995" s="4">
        <v>2</v>
      </c>
      <c r="I995" s="4">
        <v>1</v>
      </c>
      <c r="J995" s="4" t="s">
        <v>8</v>
      </c>
      <c r="K995" s="4" t="s">
        <v>9</v>
      </c>
      <c r="L995" s="11">
        <v>1002653864</v>
      </c>
      <c r="M995" s="3">
        <v>3</v>
      </c>
      <c r="N995"/>
      <c r="O995" s="4"/>
      <c r="P995" s="1"/>
      <c r="Q995" s="22"/>
      <c r="R995"/>
      <c r="S995" s="11"/>
    </row>
    <row r="996" spans="2:19" x14ac:dyDescent="0.25">
      <c r="B996" s="4">
        <v>30027382</v>
      </c>
      <c r="C996" s="1" t="s">
        <v>608</v>
      </c>
      <c r="D996" s="4" t="s">
        <v>86</v>
      </c>
      <c r="E996" s="3"/>
      <c r="F996" s="3" t="s">
        <v>68</v>
      </c>
      <c r="G996" s="4">
        <v>1</v>
      </c>
      <c r="H996" s="4">
        <v>1</v>
      </c>
      <c r="I996" s="4">
        <v>62</v>
      </c>
      <c r="J996" s="4" t="s">
        <v>8</v>
      </c>
      <c r="K996" s="4" t="s">
        <v>14</v>
      </c>
      <c r="L996" s="11"/>
      <c r="M996" s="3"/>
      <c r="N996"/>
      <c r="O996" s="4"/>
      <c r="P996" s="1"/>
      <c r="Q996" s="22"/>
      <c r="R996"/>
      <c r="S996" s="11"/>
    </row>
    <row r="997" spans="2:19" x14ac:dyDescent="0.25">
      <c r="B997" s="4">
        <v>30027556</v>
      </c>
      <c r="C997" s="1" t="s">
        <v>1574</v>
      </c>
      <c r="D997" s="4" t="s">
        <v>86</v>
      </c>
      <c r="E997" s="3"/>
      <c r="F997" s="3" t="s">
        <v>68</v>
      </c>
      <c r="G997" s="4">
        <v>50</v>
      </c>
      <c r="H997" s="4">
        <v>100</v>
      </c>
      <c r="I997" s="4">
        <v>76</v>
      </c>
      <c r="J997" s="4" t="s">
        <v>8</v>
      </c>
      <c r="K997" s="4" t="s">
        <v>7</v>
      </c>
      <c r="L997" s="11"/>
      <c r="M997" s="3"/>
      <c r="N997"/>
      <c r="O997" s="4"/>
      <c r="P997" s="1"/>
      <c r="Q997" s="22"/>
      <c r="R997"/>
      <c r="S997" s="11"/>
    </row>
    <row r="998" spans="2:19" x14ac:dyDescent="0.25">
      <c r="B998" s="4">
        <v>30028040</v>
      </c>
      <c r="C998" s="1" t="s">
        <v>1487</v>
      </c>
      <c r="D998" s="4" t="s">
        <v>86</v>
      </c>
      <c r="E998" s="3"/>
      <c r="F998" s="3" t="s">
        <v>68</v>
      </c>
      <c r="G998" s="4">
        <v>2</v>
      </c>
      <c r="H998" s="4">
        <v>2</v>
      </c>
      <c r="I998" s="4">
        <v>6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</row>
    <row r="999" spans="2:19" x14ac:dyDescent="0.25">
      <c r="B999" s="4">
        <v>30028518</v>
      </c>
      <c r="C999" s="1" t="s">
        <v>1370</v>
      </c>
      <c r="D999" s="4" t="s">
        <v>86</v>
      </c>
      <c r="E999" s="3"/>
      <c r="F999" s="3" t="s">
        <v>68</v>
      </c>
      <c r="G999" s="4">
        <v>4</v>
      </c>
      <c r="H999" s="4">
        <v>4</v>
      </c>
      <c r="I999" s="4">
        <v>0</v>
      </c>
      <c r="J999" s="4" t="s">
        <v>8</v>
      </c>
      <c r="K999" s="4" t="s">
        <v>13</v>
      </c>
      <c r="L999" s="11">
        <v>1002671085</v>
      </c>
      <c r="M999" s="3">
        <v>7</v>
      </c>
      <c r="N999"/>
      <c r="O999" s="4"/>
      <c r="P999" s="1"/>
      <c r="Q999" s="22"/>
      <c r="R999"/>
      <c r="S999" s="11"/>
    </row>
    <row r="1000" spans="2:19" x14ac:dyDescent="0.25">
      <c r="B1000" s="4">
        <v>30028519</v>
      </c>
      <c r="C1000" s="1" t="s">
        <v>609</v>
      </c>
      <c r="D1000" s="4" t="s">
        <v>86</v>
      </c>
      <c r="E1000" s="3"/>
      <c r="F1000" s="3" t="s">
        <v>68</v>
      </c>
      <c r="G1000" s="4">
        <v>2</v>
      </c>
      <c r="H1000" s="4">
        <v>2</v>
      </c>
      <c r="I1000" s="4">
        <v>0</v>
      </c>
      <c r="J1000" s="4" t="s">
        <v>8</v>
      </c>
      <c r="K1000" s="4" t="s">
        <v>13</v>
      </c>
      <c r="L1000" s="11"/>
      <c r="M1000" s="3"/>
      <c r="N1000">
        <v>4502697060</v>
      </c>
      <c r="O1000" s="4">
        <v>4</v>
      </c>
      <c r="P1000" s="1" t="s">
        <v>22</v>
      </c>
      <c r="Q1000" s="22">
        <v>46230</v>
      </c>
      <c r="R1000"/>
      <c r="S1000" s="11"/>
    </row>
    <row r="1001" spans="2:19" x14ac:dyDescent="0.25">
      <c r="B1001" s="4">
        <v>30028581</v>
      </c>
      <c r="C1001" s="1" t="s">
        <v>610</v>
      </c>
      <c r="D1001" s="4" t="s">
        <v>86</v>
      </c>
      <c r="E1001" s="3"/>
      <c r="F1001" s="3" t="s">
        <v>68</v>
      </c>
      <c r="G1001" s="4">
        <v>2</v>
      </c>
      <c r="H1001" s="4">
        <v>2</v>
      </c>
      <c r="I1001" s="4">
        <v>1</v>
      </c>
      <c r="J1001" s="4" t="s">
        <v>8</v>
      </c>
      <c r="K1001" s="4" t="s">
        <v>9</v>
      </c>
      <c r="L1001" s="11" t="s">
        <v>1623</v>
      </c>
      <c r="M1001" s="3"/>
      <c r="N1001"/>
      <c r="O1001" s="4"/>
      <c r="P1001" s="1"/>
      <c r="Q1001" s="22"/>
      <c r="R1001"/>
      <c r="S1001" s="11" t="s">
        <v>1606</v>
      </c>
    </row>
    <row r="1002" spans="2:19" x14ac:dyDescent="0.25">
      <c r="B1002" s="4">
        <v>30029182</v>
      </c>
      <c r="C1002" s="1" t="s">
        <v>1350</v>
      </c>
      <c r="D1002" s="4" t="s">
        <v>86</v>
      </c>
      <c r="E1002" s="3"/>
      <c r="F1002" s="3" t="s">
        <v>68</v>
      </c>
      <c r="G1002" s="4">
        <v>2</v>
      </c>
      <c r="H1002" s="4">
        <v>4</v>
      </c>
      <c r="I1002" s="4">
        <v>10</v>
      </c>
      <c r="J1002" s="4" t="s">
        <v>8</v>
      </c>
      <c r="K1002" s="4" t="s">
        <v>14</v>
      </c>
      <c r="L1002" s="11"/>
      <c r="M1002" s="3"/>
      <c r="N1002"/>
      <c r="O1002" s="4"/>
      <c r="P1002" s="1"/>
      <c r="Q1002" s="22"/>
      <c r="R1002"/>
      <c r="S1002" s="11"/>
    </row>
    <row r="1003" spans="2:19" x14ac:dyDescent="0.25">
      <c r="B1003" s="4">
        <v>30029241</v>
      </c>
      <c r="C1003" s="1" t="s">
        <v>611</v>
      </c>
      <c r="D1003" s="4" t="s">
        <v>86</v>
      </c>
      <c r="E1003" s="3"/>
      <c r="F1003" s="3" t="s">
        <v>68</v>
      </c>
      <c r="G1003" s="4">
        <v>2</v>
      </c>
      <c r="H1003" s="4">
        <v>1</v>
      </c>
      <c r="I1003" s="4">
        <v>2</v>
      </c>
      <c r="J1003" s="4" t="s">
        <v>8</v>
      </c>
      <c r="K1003" s="4" t="s">
        <v>7</v>
      </c>
      <c r="L1003" s="11"/>
      <c r="M1003" s="3"/>
      <c r="N1003"/>
      <c r="O1003" s="4"/>
      <c r="P1003" s="1"/>
      <c r="Q1003" s="22"/>
      <c r="R1003"/>
      <c r="S1003" s="11"/>
    </row>
    <row r="1004" spans="2:19" x14ac:dyDescent="0.25">
      <c r="B1004" s="4">
        <v>30029403</v>
      </c>
      <c r="C1004" s="1" t="s">
        <v>612</v>
      </c>
      <c r="D1004" s="4" t="s">
        <v>86</v>
      </c>
      <c r="E1004" s="3"/>
      <c r="F1004" s="3" t="s">
        <v>68</v>
      </c>
      <c r="G1004" s="4">
        <v>2</v>
      </c>
      <c r="H1004" s="4">
        <v>3</v>
      </c>
      <c r="I1004" s="4">
        <v>2</v>
      </c>
      <c r="J1004" s="4" t="s">
        <v>8</v>
      </c>
      <c r="K1004" s="4" t="s">
        <v>7</v>
      </c>
      <c r="L1004" s="11"/>
      <c r="M1004" s="3"/>
      <c r="N1004"/>
      <c r="O1004" s="4"/>
      <c r="P1004" s="1"/>
      <c r="Q1004" s="22"/>
      <c r="R1004"/>
      <c r="S1004" s="11"/>
    </row>
    <row r="1005" spans="2:19" x14ac:dyDescent="0.25">
      <c r="B1005" s="4">
        <v>30029699</v>
      </c>
      <c r="C1005" s="1" t="s">
        <v>1162</v>
      </c>
      <c r="D1005" s="4" t="s">
        <v>86</v>
      </c>
      <c r="E1005" s="3"/>
      <c r="F1005" s="3" t="s">
        <v>102</v>
      </c>
      <c r="G1005" s="4">
        <v>3</v>
      </c>
      <c r="H1005" s="4">
        <v>2</v>
      </c>
      <c r="I1005" s="4">
        <v>3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</row>
    <row r="1006" spans="2:19" x14ac:dyDescent="0.25">
      <c r="B1006" s="4">
        <v>30029757</v>
      </c>
      <c r="C1006" s="1" t="s">
        <v>1163</v>
      </c>
      <c r="D1006" s="4" t="s">
        <v>86</v>
      </c>
      <c r="E1006" s="3" t="s">
        <v>1225</v>
      </c>
      <c r="F1006" s="3" t="s">
        <v>102</v>
      </c>
      <c r="G1006" s="4">
        <v>5</v>
      </c>
      <c r="H1006" s="4">
        <v>4</v>
      </c>
      <c r="I1006" s="4">
        <v>8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</row>
    <row r="1007" spans="2:19" x14ac:dyDescent="0.25">
      <c r="B1007" s="4">
        <v>30029870</v>
      </c>
      <c r="C1007" s="1" t="s">
        <v>613</v>
      </c>
      <c r="D1007" s="4" t="s">
        <v>86</v>
      </c>
      <c r="E1007" s="3"/>
      <c r="F1007" s="3" t="s">
        <v>68</v>
      </c>
      <c r="G1007" s="4">
        <v>5</v>
      </c>
      <c r="H1007" s="4">
        <v>4</v>
      </c>
      <c r="I1007" s="4">
        <v>8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</row>
    <row r="1008" spans="2:19" x14ac:dyDescent="0.25">
      <c r="B1008" s="4">
        <v>30029871</v>
      </c>
      <c r="C1008" s="1" t="s">
        <v>614</v>
      </c>
      <c r="D1008" s="4" t="s">
        <v>86</v>
      </c>
      <c r="E1008" s="3"/>
      <c r="F1008" s="3" t="s">
        <v>68</v>
      </c>
      <c r="G1008" s="4">
        <v>6</v>
      </c>
      <c r="H1008" s="4">
        <v>10</v>
      </c>
      <c r="I1008" s="4">
        <v>9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</row>
    <row r="1009" spans="2:19" x14ac:dyDescent="0.25">
      <c r="B1009" s="4">
        <v>30029906</v>
      </c>
      <c r="C1009" s="1" t="s">
        <v>615</v>
      </c>
      <c r="D1009" s="4" t="s">
        <v>86</v>
      </c>
      <c r="E1009" s="3"/>
      <c r="F1009" s="3" t="s">
        <v>68</v>
      </c>
      <c r="G1009" s="4">
        <v>6</v>
      </c>
      <c r="H1009" s="4">
        <v>10</v>
      </c>
      <c r="I1009" s="4">
        <v>14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</row>
    <row r="1010" spans="2:19" x14ac:dyDescent="0.25">
      <c r="B1010" s="4">
        <v>30029934</v>
      </c>
      <c r="C1010" s="1" t="s">
        <v>1164</v>
      </c>
      <c r="D1010" s="4" t="s">
        <v>86</v>
      </c>
      <c r="E1010" s="3" t="s">
        <v>1225</v>
      </c>
      <c r="F1010" s="3" t="s">
        <v>102</v>
      </c>
      <c r="G1010" s="4">
        <v>2</v>
      </c>
      <c r="H1010" s="4">
        <v>2</v>
      </c>
      <c r="I1010" s="4">
        <v>2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</row>
    <row r="1011" spans="2:19" x14ac:dyDescent="0.25">
      <c r="B1011" s="4">
        <v>30029941</v>
      </c>
      <c r="C1011" s="1" t="s">
        <v>616</v>
      </c>
      <c r="D1011" s="4" t="s">
        <v>86</v>
      </c>
      <c r="E1011" s="3"/>
      <c r="F1011" s="3" t="s">
        <v>68</v>
      </c>
      <c r="G1011" s="4">
        <v>50</v>
      </c>
      <c r="H1011" s="4">
        <v>50</v>
      </c>
      <c r="I1011" s="4">
        <v>95</v>
      </c>
      <c r="J1011" s="4" t="s">
        <v>25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</row>
    <row r="1012" spans="2:19" x14ac:dyDescent="0.25">
      <c r="B1012" s="4">
        <v>30030170</v>
      </c>
      <c r="C1012" s="1" t="s">
        <v>617</v>
      </c>
      <c r="D1012" s="4" t="s">
        <v>86</v>
      </c>
      <c r="E1012" s="74"/>
      <c r="F1012" s="3" t="s">
        <v>68</v>
      </c>
      <c r="G1012" s="4">
        <v>2</v>
      </c>
      <c r="H1012" s="4">
        <v>3</v>
      </c>
      <c r="I1012" s="4">
        <v>0</v>
      </c>
      <c r="J1012" s="4" t="s">
        <v>8</v>
      </c>
      <c r="K1012" s="4" t="s">
        <v>13</v>
      </c>
      <c r="L1012" s="11"/>
      <c r="M1012" s="3"/>
      <c r="N1012">
        <v>4502486323</v>
      </c>
      <c r="O1012" s="4">
        <v>3</v>
      </c>
      <c r="P1012" s="1" t="s">
        <v>1427</v>
      </c>
      <c r="Q1012" s="22">
        <v>46196</v>
      </c>
      <c r="R1012"/>
      <c r="S1012" s="11" t="s">
        <v>1595</v>
      </c>
    </row>
    <row r="1013" spans="2:19" x14ac:dyDescent="0.25">
      <c r="B1013" s="4">
        <v>30030171</v>
      </c>
      <c r="C1013" s="1" t="s">
        <v>1400</v>
      </c>
      <c r="D1013" s="4" t="s">
        <v>86</v>
      </c>
      <c r="E1013" s="3"/>
      <c r="F1013" s="3" t="s">
        <v>102</v>
      </c>
      <c r="G1013" s="4">
        <v>2</v>
      </c>
      <c r="H1013" s="4">
        <v>1</v>
      </c>
      <c r="I1013" s="4">
        <v>0</v>
      </c>
      <c r="J1013" s="4" t="s">
        <v>8</v>
      </c>
      <c r="K1013" s="4" t="s">
        <v>13</v>
      </c>
      <c r="L1013" s="11"/>
      <c r="M1013" s="3"/>
      <c r="N1013">
        <v>4700161636</v>
      </c>
      <c r="O1013" s="4">
        <v>2</v>
      </c>
      <c r="P1013" s="1" t="s">
        <v>1616</v>
      </c>
      <c r="Q1013" s="22">
        <v>46212</v>
      </c>
      <c r="R1013"/>
      <c r="S1013" s="11" t="s">
        <v>1611</v>
      </c>
    </row>
    <row r="1014" spans="2:19" x14ac:dyDescent="0.25">
      <c r="B1014" s="4">
        <v>30030284</v>
      </c>
      <c r="C1014" s="1" t="s">
        <v>902</v>
      </c>
      <c r="D1014" s="4" t="s">
        <v>86</v>
      </c>
      <c r="E1014" s="3"/>
      <c r="F1014" s="3" t="s">
        <v>102</v>
      </c>
      <c r="G1014" s="4">
        <v>2</v>
      </c>
      <c r="H1014" s="4">
        <v>1</v>
      </c>
      <c r="I1014" s="4">
        <v>2</v>
      </c>
      <c r="J1014" s="4" t="s">
        <v>8</v>
      </c>
      <c r="K1014" s="4" t="s">
        <v>7</v>
      </c>
      <c r="L1014" s="11"/>
      <c r="M1014" s="3"/>
      <c r="N1014"/>
      <c r="O1014" s="4"/>
      <c r="P1014" s="1"/>
      <c r="Q1014" s="22"/>
      <c r="R1014"/>
      <c r="S1014" s="11"/>
    </row>
    <row r="1015" spans="2:19" x14ac:dyDescent="0.25">
      <c r="B1015" s="4">
        <v>30030285</v>
      </c>
      <c r="C1015" s="1" t="s">
        <v>903</v>
      </c>
      <c r="D1015" s="4" t="s">
        <v>86</v>
      </c>
      <c r="E1015" s="3" t="s">
        <v>1225</v>
      </c>
      <c r="F1015" s="3" t="s">
        <v>102</v>
      </c>
      <c r="G1015" s="4">
        <v>2</v>
      </c>
      <c r="H1015" s="4">
        <v>1</v>
      </c>
      <c r="I1015" s="4">
        <v>3</v>
      </c>
      <c r="J1015" s="4" t="s">
        <v>8</v>
      </c>
      <c r="K1015" s="4" t="s">
        <v>7</v>
      </c>
      <c r="L1015" s="11"/>
      <c r="M1015" s="3"/>
      <c r="N1015"/>
      <c r="O1015" s="4"/>
      <c r="P1015" s="1"/>
      <c r="Q1015" s="22"/>
      <c r="R1015"/>
      <c r="S1015" s="11"/>
    </row>
    <row r="1016" spans="2:19" x14ac:dyDescent="0.25">
      <c r="B1016" s="4">
        <v>30030288</v>
      </c>
      <c r="C1016" s="1" t="s">
        <v>904</v>
      </c>
      <c r="D1016" s="4" t="s">
        <v>86</v>
      </c>
      <c r="E1016" s="3"/>
      <c r="F1016" s="3" t="s">
        <v>102</v>
      </c>
      <c r="G1016" s="4">
        <v>3</v>
      </c>
      <c r="H1016" s="4">
        <v>3</v>
      </c>
      <c r="I1016" s="4">
        <v>5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</row>
    <row r="1017" spans="2:19" x14ac:dyDescent="0.25">
      <c r="B1017" s="4">
        <v>30030293</v>
      </c>
      <c r="C1017" s="1" t="s">
        <v>905</v>
      </c>
      <c r="D1017" s="4" t="s">
        <v>86</v>
      </c>
      <c r="E1017" s="3"/>
      <c r="F1017" s="3" t="s">
        <v>102</v>
      </c>
      <c r="G1017" s="4">
        <v>3</v>
      </c>
      <c r="H1017" s="4">
        <v>2</v>
      </c>
      <c r="I1017" s="4">
        <v>6</v>
      </c>
      <c r="J1017" s="4" t="s">
        <v>8</v>
      </c>
      <c r="K1017" s="4" t="s">
        <v>14</v>
      </c>
      <c r="L1017" s="11"/>
      <c r="M1017" s="3"/>
      <c r="N1017"/>
      <c r="O1017" s="4"/>
      <c r="P1017" s="1"/>
      <c r="Q1017" s="22"/>
      <c r="R1017"/>
      <c r="S1017" s="11"/>
    </row>
    <row r="1018" spans="2:19" x14ac:dyDescent="0.25">
      <c r="B1018" s="4">
        <v>30030294</v>
      </c>
      <c r="C1018" s="1" t="s">
        <v>906</v>
      </c>
      <c r="D1018" s="4" t="s">
        <v>86</v>
      </c>
      <c r="E1018" s="3" t="s">
        <v>1225</v>
      </c>
      <c r="F1018" s="3" t="s">
        <v>102</v>
      </c>
      <c r="G1018" s="4">
        <v>2</v>
      </c>
      <c r="H1018" s="4">
        <v>2</v>
      </c>
      <c r="I1018" s="4">
        <v>4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</row>
    <row r="1019" spans="2:19" x14ac:dyDescent="0.25">
      <c r="B1019" s="4">
        <v>30030296</v>
      </c>
      <c r="C1019" s="1" t="s">
        <v>907</v>
      </c>
      <c r="D1019" s="4" t="s">
        <v>86</v>
      </c>
      <c r="E1019" s="3"/>
      <c r="F1019" s="3" t="s">
        <v>102</v>
      </c>
      <c r="G1019" s="4">
        <v>2</v>
      </c>
      <c r="H1019" s="4">
        <v>2</v>
      </c>
      <c r="I1019" s="4">
        <v>2</v>
      </c>
      <c r="J1019" s="4" t="s">
        <v>8</v>
      </c>
      <c r="K1019" s="4" t="s">
        <v>7</v>
      </c>
      <c r="L1019" s="11"/>
      <c r="M1019" s="3"/>
      <c r="N1019"/>
      <c r="O1019" s="4"/>
      <c r="P1019" s="1"/>
      <c r="Q1019" s="22"/>
      <c r="R1019"/>
      <c r="S1019" s="11"/>
    </row>
    <row r="1020" spans="2:19" x14ac:dyDescent="0.25">
      <c r="B1020" s="4">
        <v>30030298</v>
      </c>
      <c r="C1020" s="1" t="s">
        <v>908</v>
      </c>
      <c r="D1020" s="4" t="s">
        <v>86</v>
      </c>
      <c r="E1020" s="3" t="s">
        <v>1225</v>
      </c>
      <c r="F1020" s="3" t="s">
        <v>102</v>
      </c>
      <c r="G1020" s="4">
        <v>2</v>
      </c>
      <c r="H1020" s="4">
        <v>1</v>
      </c>
      <c r="I1020" s="4">
        <v>3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</row>
    <row r="1021" spans="2:19" x14ac:dyDescent="0.25">
      <c r="B1021" s="4">
        <v>30030652</v>
      </c>
      <c r="C1021" s="1" t="s">
        <v>618</v>
      </c>
      <c r="D1021" s="4" t="s">
        <v>86</v>
      </c>
      <c r="E1021" s="3"/>
      <c r="F1021" s="3" t="s">
        <v>68</v>
      </c>
      <c r="G1021" s="4">
        <v>3</v>
      </c>
      <c r="H1021" s="4">
        <v>4</v>
      </c>
      <c r="I1021" s="4">
        <v>112</v>
      </c>
      <c r="J1021" s="4" t="s">
        <v>8</v>
      </c>
      <c r="K1021" s="4" t="s">
        <v>14</v>
      </c>
      <c r="L1021" s="11"/>
      <c r="M1021" s="3"/>
      <c r="N1021"/>
      <c r="O1021" s="4"/>
      <c r="P1021" s="1"/>
      <c r="Q1021" s="22"/>
      <c r="R1021"/>
      <c r="S1021" s="11"/>
    </row>
    <row r="1022" spans="2:19" x14ac:dyDescent="0.25">
      <c r="B1022" s="4">
        <v>30030663</v>
      </c>
      <c r="C1022" s="1" t="s">
        <v>1401</v>
      </c>
      <c r="D1022" s="4" t="s">
        <v>86</v>
      </c>
      <c r="E1022" s="3"/>
      <c r="F1022" s="3" t="s">
        <v>68</v>
      </c>
      <c r="G1022" s="4">
        <v>2</v>
      </c>
      <c r="H1022" s="4">
        <v>3</v>
      </c>
      <c r="I1022" s="4">
        <v>424</v>
      </c>
      <c r="J1022" s="4" t="s">
        <v>8</v>
      </c>
      <c r="K1022" s="4" t="s">
        <v>14</v>
      </c>
      <c r="L1022" s="11"/>
      <c r="M1022" s="3"/>
      <c r="N1022"/>
      <c r="O1022" s="4"/>
      <c r="P1022" s="1"/>
      <c r="Q1022" s="22"/>
      <c r="R1022"/>
      <c r="S1022" s="11"/>
    </row>
    <row r="1023" spans="2:19" x14ac:dyDescent="0.25">
      <c r="B1023" s="4">
        <v>30030711</v>
      </c>
      <c r="C1023" s="1" t="s">
        <v>909</v>
      </c>
      <c r="D1023" s="4" t="s">
        <v>86</v>
      </c>
      <c r="E1023" s="3" t="s">
        <v>1225</v>
      </c>
      <c r="F1023" s="3" t="s">
        <v>102</v>
      </c>
      <c r="G1023" s="4">
        <v>2</v>
      </c>
      <c r="H1023" s="4">
        <v>2</v>
      </c>
      <c r="I1023" s="4">
        <v>1</v>
      </c>
      <c r="J1023" s="4" t="s">
        <v>8</v>
      </c>
      <c r="K1023" s="4" t="s">
        <v>9</v>
      </c>
      <c r="L1023" s="11" t="s">
        <v>1623</v>
      </c>
      <c r="M1023" s="3"/>
      <c r="N1023"/>
      <c r="O1023" s="4"/>
      <c r="P1023" s="1"/>
      <c r="Q1023" s="22"/>
      <c r="R1023"/>
      <c r="S1023" s="11" t="s">
        <v>1587</v>
      </c>
    </row>
    <row r="1024" spans="2:19" x14ac:dyDescent="0.25">
      <c r="B1024" s="4">
        <v>30030714</v>
      </c>
      <c r="C1024" s="1" t="s">
        <v>1086</v>
      </c>
      <c r="D1024" s="4" t="s">
        <v>86</v>
      </c>
      <c r="E1024" s="3" t="s">
        <v>1225</v>
      </c>
      <c r="F1024" s="3" t="s">
        <v>102</v>
      </c>
      <c r="G1024" s="4">
        <v>2</v>
      </c>
      <c r="H1024" s="4">
        <v>1</v>
      </c>
      <c r="I1024" s="4">
        <v>3</v>
      </c>
      <c r="J1024" s="4" t="s">
        <v>8</v>
      </c>
      <c r="K1024" s="4" t="s">
        <v>7</v>
      </c>
      <c r="L1024" s="11"/>
      <c r="M1024" s="3"/>
      <c r="N1024"/>
      <c r="O1024" s="4"/>
      <c r="P1024" s="1"/>
      <c r="Q1024" s="22"/>
      <c r="R1024"/>
      <c r="S1024" s="11"/>
    </row>
    <row r="1025" spans="2:19" x14ac:dyDescent="0.25">
      <c r="B1025" s="4">
        <v>30030765</v>
      </c>
      <c r="C1025" s="1" t="s">
        <v>1351</v>
      </c>
      <c r="D1025" s="4" t="s">
        <v>86</v>
      </c>
      <c r="E1025" s="3"/>
      <c r="F1025" s="3" t="s">
        <v>68</v>
      </c>
      <c r="G1025" s="4">
        <v>1</v>
      </c>
      <c r="H1025" s="4">
        <v>2</v>
      </c>
      <c r="I1025" s="4">
        <v>1</v>
      </c>
      <c r="J1025" s="4" t="s">
        <v>8</v>
      </c>
      <c r="K1025" s="4" t="s">
        <v>7</v>
      </c>
      <c r="L1025" s="11"/>
      <c r="M1025" s="3"/>
      <c r="N1025"/>
      <c r="O1025" s="4"/>
      <c r="P1025" s="1"/>
      <c r="Q1025" s="22"/>
      <c r="R1025"/>
      <c r="S1025" s="11"/>
    </row>
    <row r="1026" spans="2:19" x14ac:dyDescent="0.25">
      <c r="B1026" s="4">
        <v>30030969</v>
      </c>
      <c r="C1026" s="1" t="s">
        <v>619</v>
      </c>
      <c r="D1026" s="4" t="s">
        <v>86</v>
      </c>
      <c r="E1026" s="3"/>
      <c r="F1026" s="3" t="s">
        <v>68</v>
      </c>
      <c r="G1026" s="4">
        <v>3</v>
      </c>
      <c r="H1026" s="4">
        <v>4</v>
      </c>
      <c r="I1026" s="4">
        <v>2</v>
      </c>
      <c r="J1026" s="4" t="s">
        <v>8</v>
      </c>
      <c r="K1026" s="4" t="s">
        <v>9</v>
      </c>
      <c r="L1026" s="11"/>
      <c r="M1026" s="3"/>
      <c r="N1026">
        <v>4502655035</v>
      </c>
      <c r="O1026" s="4">
        <v>5</v>
      </c>
      <c r="P1026" s="1" t="s">
        <v>1569</v>
      </c>
      <c r="Q1026" s="22">
        <v>46224</v>
      </c>
      <c r="R1026"/>
      <c r="S1026" s="11"/>
    </row>
    <row r="1027" spans="2:19" x14ac:dyDescent="0.25">
      <c r="B1027" s="4">
        <v>30031074</v>
      </c>
      <c r="C1027" s="1" t="s">
        <v>1272</v>
      </c>
      <c r="D1027" s="4" t="s">
        <v>86</v>
      </c>
      <c r="E1027" s="3"/>
      <c r="F1027" s="3" t="s">
        <v>68</v>
      </c>
      <c r="G1027" s="4">
        <v>4</v>
      </c>
      <c r="H1027" s="4">
        <v>2</v>
      </c>
      <c r="I1027" s="4">
        <v>7</v>
      </c>
      <c r="J1027" s="4" t="s">
        <v>8</v>
      </c>
      <c r="K1027" s="4" t="s">
        <v>14</v>
      </c>
      <c r="L1027" s="11"/>
      <c r="M1027" s="3"/>
      <c r="N1027"/>
      <c r="O1027" s="4"/>
      <c r="P1027" s="1"/>
      <c r="Q1027" s="22"/>
      <c r="R1027"/>
      <c r="S1027" s="11"/>
    </row>
    <row r="1028" spans="2:19" x14ac:dyDescent="0.25">
      <c r="B1028" s="4">
        <v>30031092</v>
      </c>
      <c r="C1028" s="1" t="s">
        <v>1053</v>
      </c>
      <c r="D1028" s="4" t="s">
        <v>86</v>
      </c>
      <c r="E1028" s="3"/>
      <c r="F1028" s="3" t="s">
        <v>102</v>
      </c>
      <c r="G1028" s="4">
        <v>5</v>
      </c>
      <c r="H1028" s="4">
        <v>4</v>
      </c>
      <c r="I1028" s="4">
        <v>10</v>
      </c>
      <c r="J1028" s="4" t="s">
        <v>8</v>
      </c>
      <c r="K1028" s="4" t="s">
        <v>14</v>
      </c>
      <c r="L1028" s="11"/>
      <c r="M1028" s="3"/>
      <c r="N1028"/>
      <c r="O1028" s="4"/>
      <c r="P1028" s="1"/>
      <c r="Q1028" s="22"/>
      <c r="R1028"/>
      <c r="S1028" s="11"/>
    </row>
    <row r="1029" spans="2:19" x14ac:dyDescent="0.25">
      <c r="B1029" s="4">
        <v>30031213</v>
      </c>
      <c r="C1029" s="1" t="s">
        <v>1165</v>
      </c>
      <c r="D1029" s="4" t="s">
        <v>86</v>
      </c>
      <c r="E1029" s="3"/>
      <c r="F1029" s="3" t="s">
        <v>102</v>
      </c>
      <c r="G1029" s="4">
        <v>3</v>
      </c>
      <c r="H1029" s="4">
        <v>2</v>
      </c>
      <c r="I1029" s="4">
        <v>3</v>
      </c>
      <c r="J1029" s="4" t="s">
        <v>8</v>
      </c>
      <c r="K1029" s="4" t="s">
        <v>7</v>
      </c>
      <c r="L1029" s="11"/>
      <c r="M1029" s="3"/>
      <c r="N1029"/>
      <c r="O1029" s="4"/>
      <c r="P1029" s="1"/>
      <c r="Q1029" s="22"/>
      <c r="R1029"/>
      <c r="S1029" s="11"/>
    </row>
    <row r="1030" spans="2:19" x14ac:dyDescent="0.25">
      <c r="B1030" s="4">
        <v>30031228</v>
      </c>
      <c r="C1030" s="1" t="s">
        <v>620</v>
      </c>
      <c r="D1030" s="4" t="s">
        <v>86</v>
      </c>
      <c r="E1030" s="3"/>
      <c r="F1030" s="3" t="s">
        <v>68</v>
      </c>
      <c r="G1030" s="4">
        <v>4</v>
      </c>
      <c r="H1030" s="4">
        <v>4</v>
      </c>
      <c r="I1030" s="4">
        <v>5</v>
      </c>
      <c r="J1030" s="4" t="s">
        <v>8</v>
      </c>
      <c r="K1030" s="4" t="s">
        <v>7</v>
      </c>
      <c r="L1030" s="11"/>
      <c r="M1030" s="3"/>
      <c r="N1030"/>
      <c r="O1030" s="4"/>
      <c r="P1030" s="1"/>
      <c r="Q1030" s="22"/>
      <c r="R1030"/>
      <c r="S1030" s="11"/>
    </row>
    <row r="1031" spans="2:19" x14ac:dyDescent="0.25">
      <c r="B1031" s="4">
        <v>30031233</v>
      </c>
      <c r="C1031" s="1" t="s">
        <v>1352</v>
      </c>
      <c r="D1031" s="4" t="s">
        <v>86</v>
      </c>
      <c r="E1031" s="3"/>
      <c r="F1031" s="3" t="s">
        <v>68</v>
      </c>
      <c r="G1031" s="4">
        <v>2</v>
      </c>
      <c r="H1031" s="4">
        <v>4</v>
      </c>
      <c r="I1031" s="4">
        <v>7</v>
      </c>
      <c r="J1031" s="4" t="s">
        <v>8</v>
      </c>
      <c r="K1031" s="4" t="s">
        <v>14</v>
      </c>
      <c r="L1031" s="11"/>
      <c r="M1031" s="3"/>
      <c r="N1031"/>
      <c r="O1031" s="4"/>
      <c r="P1031" s="1"/>
      <c r="Q1031" s="22"/>
      <c r="R1031"/>
      <c r="S1031" s="11"/>
    </row>
    <row r="1032" spans="2:19" x14ac:dyDescent="0.25">
      <c r="B1032" s="4">
        <v>30031278</v>
      </c>
      <c r="C1032" s="1" t="s">
        <v>621</v>
      </c>
      <c r="D1032" s="4" t="s">
        <v>86</v>
      </c>
      <c r="E1032" s="3"/>
      <c r="F1032" s="3" t="s">
        <v>68</v>
      </c>
      <c r="G1032" s="4">
        <v>2</v>
      </c>
      <c r="H1032" s="4">
        <v>3</v>
      </c>
      <c r="I1032" s="4">
        <v>15</v>
      </c>
      <c r="J1032" s="4" t="s">
        <v>8</v>
      </c>
      <c r="K1032" s="4" t="s">
        <v>14</v>
      </c>
      <c r="L1032" s="11"/>
      <c r="M1032" s="3"/>
      <c r="N1032"/>
      <c r="O1032" s="4"/>
      <c r="P1032" s="1"/>
      <c r="Q1032" s="22"/>
      <c r="R1032"/>
      <c r="S1032" s="11"/>
    </row>
    <row r="1033" spans="2:19" x14ac:dyDescent="0.25">
      <c r="B1033" s="4">
        <v>30031432</v>
      </c>
      <c r="C1033" s="1" t="s">
        <v>858</v>
      </c>
      <c r="D1033" s="4" t="s">
        <v>86</v>
      </c>
      <c r="E1033" s="3"/>
      <c r="F1033" s="3" t="s">
        <v>102</v>
      </c>
      <c r="G1033" s="4">
        <v>1</v>
      </c>
      <c r="H1033" s="4">
        <v>2</v>
      </c>
      <c r="I1033" s="4">
        <v>3</v>
      </c>
      <c r="J1033" s="4" t="s">
        <v>8</v>
      </c>
      <c r="K1033" s="4" t="s">
        <v>7</v>
      </c>
      <c r="L1033" s="11"/>
      <c r="M1033" s="3"/>
      <c r="N1033"/>
      <c r="O1033" s="4"/>
      <c r="P1033" s="1"/>
      <c r="Q1033" s="22"/>
      <c r="R1033"/>
      <c r="S1033" s="11"/>
    </row>
    <row r="1034" spans="2:19" x14ac:dyDescent="0.25">
      <c r="B1034" s="4">
        <v>30031445</v>
      </c>
      <c r="C1034" s="1" t="s">
        <v>859</v>
      </c>
      <c r="D1034" s="4" t="s">
        <v>86</v>
      </c>
      <c r="E1034" s="3"/>
      <c r="F1034" s="3" t="s">
        <v>102</v>
      </c>
      <c r="G1034" s="4">
        <v>1</v>
      </c>
      <c r="H1034" s="4">
        <v>2</v>
      </c>
      <c r="I1034" s="4">
        <v>4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</row>
    <row r="1035" spans="2:19" x14ac:dyDescent="0.25">
      <c r="B1035" s="4">
        <v>30031744</v>
      </c>
      <c r="C1035" s="1" t="s">
        <v>1166</v>
      </c>
      <c r="D1035" s="4" t="s">
        <v>86</v>
      </c>
      <c r="E1035" s="3" t="s">
        <v>1225</v>
      </c>
      <c r="F1035" s="3" t="s">
        <v>102</v>
      </c>
      <c r="G1035" s="4">
        <v>1</v>
      </c>
      <c r="H1035" s="4">
        <v>2</v>
      </c>
      <c r="I1035" s="4">
        <v>0</v>
      </c>
      <c r="J1035" s="4" t="s">
        <v>8</v>
      </c>
      <c r="K1035" s="4" t="s">
        <v>13</v>
      </c>
      <c r="L1035" s="11" t="s">
        <v>1623</v>
      </c>
      <c r="M1035" s="3"/>
      <c r="N1035"/>
      <c r="O1035" s="4"/>
      <c r="P1035" s="1"/>
      <c r="Q1035" s="22"/>
      <c r="R1035"/>
      <c r="S1035" s="11" t="s">
        <v>1587</v>
      </c>
    </row>
    <row r="1036" spans="2:19" x14ac:dyDescent="0.25">
      <c r="B1036" s="4">
        <v>30032033</v>
      </c>
      <c r="C1036" s="1" t="s">
        <v>1313</v>
      </c>
      <c r="D1036" s="4" t="s">
        <v>86</v>
      </c>
      <c r="E1036" s="3"/>
      <c r="F1036" s="3" t="s">
        <v>68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</row>
    <row r="1037" spans="2:19" x14ac:dyDescent="0.25">
      <c r="B1037" s="4">
        <v>30032263</v>
      </c>
      <c r="C1037" s="1" t="s">
        <v>622</v>
      </c>
      <c r="D1037" s="4" t="s">
        <v>86</v>
      </c>
      <c r="E1037" s="3"/>
      <c r="F1037" s="3" t="s">
        <v>68</v>
      </c>
      <c r="G1037" s="4">
        <v>10</v>
      </c>
      <c r="H1037" s="4">
        <v>10</v>
      </c>
      <c r="I1037" s="4">
        <v>9</v>
      </c>
      <c r="J1037" s="4" t="s">
        <v>8</v>
      </c>
      <c r="K1037" s="4" t="s">
        <v>9</v>
      </c>
      <c r="L1037" s="11">
        <v>1002671116</v>
      </c>
      <c r="M1037" s="3">
        <v>10</v>
      </c>
      <c r="N1037"/>
      <c r="O1037" s="4"/>
      <c r="P1037" s="1"/>
      <c r="Q1037" s="22"/>
      <c r="R1037"/>
      <c r="S1037" s="11"/>
    </row>
    <row r="1038" spans="2:19" x14ac:dyDescent="0.25">
      <c r="B1038" s="4">
        <v>30032318</v>
      </c>
      <c r="C1038" s="1" t="s">
        <v>1505</v>
      </c>
      <c r="D1038" s="4" t="s">
        <v>86</v>
      </c>
      <c r="E1038" s="3"/>
      <c r="F1038" s="3" t="s">
        <v>68</v>
      </c>
      <c r="G1038" s="4">
        <v>2</v>
      </c>
      <c r="H1038" s="4">
        <v>1</v>
      </c>
      <c r="I1038" s="4">
        <v>2</v>
      </c>
      <c r="J1038" s="4" t="s">
        <v>8</v>
      </c>
      <c r="K1038" s="4" t="s">
        <v>7</v>
      </c>
      <c r="L1038" s="11"/>
      <c r="M1038" s="3"/>
      <c r="N1038"/>
      <c r="O1038" s="4"/>
      <c r="P1038" s="1"/>
      <c r="Q1038" s="22"/>
      <c r="R1038"/>
      <c r="S1038" s="11"/>
    </row>
    <row r="1039" spans="2:19" x14ac:dyDescent="0.25">
      <c r="B1039" s="4">
        <v>30032474</v>
      </c>
      <c r="C1039" s="1" t="s">
        <v>623</v>
      </c>
      <c r="D1039" s="4" t="s">
        <v>86</v>
      </c>
      <c r="E1039" s="3"/>
      <c r="F1039" s="3" t="s">
        <v>68</v>
      </c>
      <c r="G1039" s="4">
        <v>2</v>
      </c>
      <c r="H1039" s="4">
        <v>2</v>
      </c>
      <c r="I1039" s="4">
        <v>2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</row>
    <row r="1040" spans="2:19" x14ac:dyDescent="0.25">
      <c r="B1040" s="4">
        <v>30032475</v>
      </c>
      <c r="C1040" s="1" t="s">
        <v>624</v>
      </c>
      <c r="D1040" s="4" t="s">
        <v>86</v>
      </c>
      <c r="E1040" s="3"/>
      <c r="F1040" s="3" t="s">
        <v>68</v>
      </c>
      <c r="G1040" s="4">
        <v>1</v>
      </c>
      <c r="H1040" s="4">
        <v>1</v>
      </c>
      <c r="I1040" s="4">
        <v>1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</row>
    <row r="1041" spans="2:19" x14ac:dyDescent="0.25">
      <c r="B1041" s="4">
        <v>30032476</v>
      </c>
      <c r="C1041" s="1" t="s">
        <v>625</v>
      </c>
      <c r="D1041" s="4" t="s">
        <v>86</v>
      </c>
      <c r="E1041" s="3"/>
      <c r="F1041" s="3" t="s">
        <v>68</v>
      </c>
      <c r="G1041" s="4">
        <v>1</v>
      </c>
      <c r="H1041" s="4">
        <v>1</v>
      </c>
      <c r="I1041" s="4">
        <v>1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</row>
    <row r="1042" spans="2:19" x14ac:dyDescent="0.25">
      <c r="B1042" s="4">
        <v>30032493</v>
      </c>
      <c r="C1042" s="1" t="s">
        <v>910</v>
      </c>
      <c r="D1042" s="4" t="s">
        <v>86</v>
      </c>
      <c r="E1042" s="3" t="s">
        <v>1225</v>
      </c>
      <c r="F1042" s="3" t="s">
        <v>102</v>
      </c>
      <c r="G1042" s="4">
        <v>2</v>
      </c>
      <c r="H1042" s="4">
        <v>2</v>
      </c>
      <c r="I1042" s="4">
        <v>4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</row>
    <row r="1043" spans="2:19" x14ac:dyDescent="0.25">
      <c r="B1043" s="4">
        <v>30032494</v>
      </c>
      <c r="C1043" s="1" t="s">
        <v>911</v>
      </c>
      <c r="D1043" s="4" t="s">
        <v>86</v>
      </c>
      <c r="E1043" s="3" t="s">
        <v>1225</v>
      </c>
      <c r="F1043" s="3" t="s">
        <v>102</v>
      </c>
      <c r="G1043" s="4">
        <v>2</v>
      </c>
      <c r="H1043" s="4">
        <v>1</v>
      </c>
      <c r="I1043" s="4">
        <v>4</v>
      </c>
      <c r="J1043" s="4" t="s">
        <v>8</v>
      </c>
      <c r="K1043" s="4" t="s">
        <v>14</v>
      </c>
      <c r="L1043" s="11"/>
      <c r="M1043" s="3"/>
      <c r="N1043"/>
      <c r="O1043" s="4"/>
      <c r="P1043" s="1"/>
      <c r="Q1043" s="22"/>
      <c r="R1043"/>
      <c r="S1043" s="11"/>
    </row>
    <row r="1044" spans="2:19" x14ac:dyDescent="0.25">
      <c r="B1044" s="4">
        <v>30032495</v>
      </c>
      <c r="C1044" s="1" t="s">
        <v>912</v>
      </c>
      <c r="D1044" s="4" t="s">
        <v>86</v>
      </c>
      <c r="E1044" s="3"/>
      <c r="F1044" s="3" t="s">
        <v>102</v>
      </c>
      <c r="G1044" s="4">
        <v>2</v>
      </c>
      <c r="H1044" s="4">
        <v>1</v>
      </c>
      <c r="I1044" s="4">
        <v>2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</row>
    <row r="1045" spans="2:19" x14ac:dyDescent="0.25">
      <c r="B1045" s="4">
        <v>30032817</v>
      </c>
      <c r="C1045" s="1" t="s">
        <v>626</v>
      </c>
      <c r="D1045" s="4" t="s">
        <v>86</v>
      </c>
      <c r="E1045" s="3"/>
      <c r="F1045" s="3" t="s">
        <v>68</v>
      </c>
      <c r="G1045" s="4">
        <v>1</v>
      </c>
      <c r="H1045" s="4">
        <v>1</v>
      </c>
      <c r="I1045" s="4">
        <v>7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</row>
    <row r="1046" spans="2:19" x14ac:dyDescent="0.25">
      <c r="B1046" s="4">
        <v>30033307</v>
      </c>
      <c r="C1046" s="1" t="s">
        <v>1453</v>
      </c>
      <c r="D1046" s="4" t="s">
        <v>86</v>
      </c>
      <c r="E1046" s="3"/>
      <c r="F1046" s="3" t="s">
        <v>68</v>
      </c>
      <c r="G1046" s="4">
        <v>2</v>
      </c>
      <c r="H1046" s="4">
        <v>4</v>
      </c>
      <c r="I1046" s="4">
        <v>8</v>
      </c>
      <c r="J1046" s="4" t="s">
        <v>8</v>
      </c>
      <c r="K1046" s="4" t="s">
        <v>14</v>
      </c>
      <c r="L1046" s="11"/>
      <c r="M1046" s="3"/>
      <c r="N1046"/>
      <c r="O1046" s="4"/>
      <c r="P1046" s="1"/>
      <c r="Q1046" s="22"/>
      <c r="R1046"/>
      <c r="S1046" s="11"/>
    </row>
    <row r="1047" spans="2:19" x14ac:dyDescent="0.25">
      <c r="B1047" s="4">
        <v>30033491</v>
      </c>
      <c r="C1047" s="1" t="s">
        <v>1290</v>
      </c>
      <c r="D1047" s="4" t="s">
        <v>86</v>
      </c>
      <c r="E1047" s="3"/>
      <c r="F1047" s="3" t="s">
        <v>68</v>
      </c>
      <c r="G1047" s="4">
        <v>2</v>
      </c>
      <c r="H1047" s="4">
        <v>2</v>
      </c>
      <c r="I1047" s="4">
        <v>3</v>
      </c>
      <c r="J1047" s="4" t="s">
        <v>8</v>
      </c>
      <c r="K1047" s="4" t="s">
        <v>7</v>
      </c>
      <c r="L1047" s="11"/>
      <c r="M1047" s="3"/>
      <c r="N1047"/>
      <c r="O1047" s="4"/>
      <c r="P1047" s="1"/>
      <c r="Q1047" s="22"/>
      <c r="R1047"/>
      <c r="S1047" s="11"/>
    </row>
    <row r="1048" spans="2:19" x14ac:dyDescent="0.25">
      <c r="B1048" s="4">
        <v>30033798</v>
      </c>
      <c r="C1048" s="1" t="s">
        <v>1314</v>
      </c>
      <c r="D1048" s="4" t="s">
        <v>86</v>
      </c>
      <c r="E1048" s="3"/>
      <c r="F1048" s="3" t="s">
        <v>68</v>
      </c>
      <c r="G1048" s="4">
        <v>2</v>
      </c>
      <c r="H1048" s="4">
        <v>2</v>
      </c>
      <c r="I1048" s="4">
        <v>2</v>
      </c>
      <c r="J1048" s="4" t="s">
        <v>8</v>
      </c>
      <c r="K1048" s="4" t="s">
        <v>7</v>
      </c>
      <c r="L1048" s="11"/>
      <c r="M1048" s="3"/>
      <c r="N1048"/>
      <c r="O1048" s="4"/>
      <c r="P1048" s="1"/>
      <c r="Q1048" s="22"/>
      <c r="R1048"/>
      <c r="S1048" s="11"/>
    </row>
    <row r="1049" spans="2:19" x14ac:dyDescent="0.25">
      <c r="B1049" s="4">
        <v>30033806</v>
      </c>
      <c r="C1049" s="1" t="s">
        <v>1315</v>
      </c>
      <c r="D1049" s="4" t="s">
        <v>86</v>
      </c>
      <c r="E1049" s="3"/>
      <c r="F1049" s="3" t="s">
        <v>68</v>
      </c>
      <c r="G1049" s="4">
        <v>2</v>
      </c>
      <c r="H1049" s="4">
        <v>2</v>
      </c>
      <c r="I1049" s="4">
        <v>2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</row>
    <row r="1050" spans="2:19" x14ac:dyDescent="0.25">
      <c r="B1050" s="4">
        <v>30033822</v>
      </c>
      <c r="C1050" s="1" t="s">
        <v>627</v>
      </c>
      <c r="D1050" s="4" t="s">
        <v>86</v>
      </c>
      <c r="E1050" s="3"/>
      <c r="F1050" s="3" t="s">
        <v>68</v>
      </c>
      <c r="G1050" s="4">
        <v>9</v>
      </c>
      <c r="H1050" s="4">
        <v>15</v>
      </c>
      <c r="I1050" s="4">
        <v>79</v>
      </c>
      <c r="J1050" s="4" t="s">
        <v>8</v>
      </c>
      <c r="K1050" s="4" t="s">
        <v>14</v>
      </c>
      <c r="L1050" s="11"/>
      <c r="M1050" s="3"/>
      <c r="N1050"/>
      <c r="O1050" s="4"/>
      <c r="P1050" s="1"/>
      <c r="Q1050" s="22"/>
      <c r="R1050"/>
      <c r="S1050" s="11"/>
    </row>
    <row r="1051" spans="2:19" x14ac:dyDescent="0.25">
      <c r="B1051" s="4">
        <v>30033823</v>
      </c>
      <c r="C1051" s="1" t="s">
        <v>628</v>
      </c>
      <c r="D1051" s="4" t="s">
        <v>86</v>
      </c>
      <c r="E1051" s="3"/>
      <c r="F1051" s="3" t="s">
        <v>68</v>
      </c>
      <c r="G1051" s="4">
        <v>2</v>
      </c>
      <c r="H1051" s="4">
        <v>2</v>
      </c>
      <c r="I1051" s="4">
        <v>3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</row>
    <row r="1052" spans="2:19" x14ac:dyDescent="0.25">
      <c r="B1052" s="4">
        <v>30033824</v>
      </c>
      <c r="C1052" s="1" t="s">
        <v>629</v>
      </c>
      <c r="D1052" s="4" t="s">
        <v>86</v>
      </c>
      <c r="E1052" s="3"/>
      <c r="F1052" s="3" t="s">
        <v>68</v>
      </c>
      <c r="G1052" s="4">
        <v>2</v>
      </c>
      <c r="H1052" s="4">
        <v>3</v>
      </c>
      <c r="I1052" s="4">
        <v>5</v>
      </c>
      <c r="J1052" s="4" t="s">
        <v>8</v>
      </c>
      <c r="K1052" s="4" t="s">
        <v>7</v>
      </c>
      <c r="L1052" s="11"/>
      <c r="M1052" s="3"/>
      <c r="N1052"/>
      <c r="O1052" s="4"/>
      <c r="P1052" s="1"/>
      <c r="Q1052" s="22"/>
      <c r="R1052"/>
      <c r="S1052" s="11"/>
    </row>
    <row r="1053" spans="2:19" x14ac:dyDescent="0.25">
      <c r="B1053" s="4">
        <v>30033825</v>
      </c>
      <c r="C1053" s="1" t="s">
        <v>630</v>
      </c>
      <c r="D1053" s="4" t="s">
        <v>86</v>
      </c>
      <c r="E1053" s="3"/>
      <c r="F1053" s="3" t="s">
        <v>68</v>
      </c>
      <c r="G1053" s="4">
        <v>4</v>
      </c>
      <c r="H1053" s="4">
        <v>6</v>
      </c>
      <c r="I1053" s="4">
        <v>18</v>
      </c>
      <c r="J1053" s="4" t="s">
        <v>8</v>
      </c>
      <c r="K1053" s="4" t="s">
        <v>14</v>
      </c>
      <c r="L1053" s="11"/>
      <c r="M1053" s="3"/>
      <c r="N1053"/>
      <c r="O1053" s="4"/>
      <c r="P1053" s="1"/>
      <c r="Q1053" s="22"/>
      <c r="R1053"/>
      <c r="S1053" s="11"/>
    </row>
    <row r="1054" spans="2:19" x14ac:dyDescent="0.25">
      <c r="B1054" s="4">
        <v>30033826</v>
      </c>
      <c r="C1054" s="1" t="s">
        <v>631</v>
      </c>
      <c r="D1054" s="4" t="s">
        <v>86</v>
      </c>
      <c r="E1054" s="3"/>
      <c r="F1054" s="3" t="s">
        <v>68</v>
      </c>
      <c r="G1054" s="4">
        <v>4</v>
      </c>
      <c r="H1054" s="4">
        <v>6</v>
      </c>
      <c r="I1054" s="4">
        <v>7</v>
      </c>
      <c r="J1054" s="4" t="s">
        <v>8</v>
      </c>
      <c r="K1054" s="4" t="s">
        <v>7</v>
      </c>
      <c r="L1054" s="11"/>
      <c r="M1054" s="3"/>
      <c r="N1054"/>
      <c r="O1054" s="4"/>
      <c r="P1054" s="1"/>
      <c r="Q1054" s="22"/>
      <c r="R1054"/>
      <c r="S1054" s="11"/>
    </row>
    <row r="1055" spans="2:19" x14ac:dyDescent="0.25">
      <c r="B1055" s="4">
        <v>30033827</v>
      </c>
      <c r="C1055" s="1" t="s">
        <v>632</v>
      </c>
      <c r="D1055" s="4" t="s">
        <v>86</v>
      </c>
      <c r="E1055" s="3"/>
      <c r="F1055" s="3" t="s">
        <v>68</v>
      </c>
      <c r="G1055" s="4">
        <v>5</v>
      </c>
      <c r="H1055" s="4">
        <v>7</v>
      </c>
      <c r="I1055" s="4">
        <v>9</v>
      </c>
      <c r="J1055" s="4" t="s">
        <v>8</v>
      </c>
      <c r="K1055" s="4" t="s">
        <v>7</v>
      </c>
      <c r="L1055" s="11"/>
      <c r="M1055" s="3"/>
      <c r="N1055"/>
      <c r="O1055" s="4"/>
      <c r="P1055" s="1"/>
      <c r="Q1055" s="22"/>
      <c r="R1055"/>
      <c r="S1055" s="11"/>
    </row>
    <row r="1056" spans="2:19" x14ac:dyDescent="0.25">
      <c r="B1056" s="4">
        <v>30033829</v>
      </c>
      <c r="C1056" s="1" t="s">
        <v>633</v>
      </c>
      <c r="D1056" s="4" t="s">
        <v>86</v>
      </c>
      <c r="E1056" s="3"/>
      <c r="F1056" s="3" t="s">
        <v>68</v>
      </c>
      <c r="G1056" s="4">
        <v>4</v>
      </c>
      <c r="H1056" s="4">
        <v>6</v>
      </c>
      <c r="I1056" s="4">
        <v>8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</row>
    <row r="1057" spans="2:19" x14ac:dyDescent="0.25">
      <c r="B1057" s="4">
        <v>30033830</v>
      </c>
      <c r="C1057" s="1" t="s">
        <v>634</v>
      </c>
      <c r="D1057" s="4" t="s">
        <v>86</v>
      </c>
      <c r="E1057" s="3"/>
      <c r="F1057" s="3" t="s">
        <v>68</v>
      </c>
      <c r="G1057" s="4">
        <v>1</v>
      </c>
      <c r="H1057" s="4">
        <v>1</v>
      </c>
      <c r="I1057" s="4">
        <v>2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</row>
    <row r="1058" spans="2:19" x14ac:dyDescent="0.25">
      <c r="B1058" s="4">
        <v>30033831</v>
      </c>
      <c r="C1058" s="1" t="s">
        <v>635</v>
      </c>
      <c r="D1058" s="4" t="s">
        <v>86</v>
      </c>
      <c r="E1058" s="3"/>
      <c r="F1058" s="3" t="s">
        <v>68</v>
      </c>
      <c r="G1058" s="4">
        <v>4</v>
      </c>
      <c r="H1058" s="4">
        <v>8</v>
      </c>
      <c r="I1058" s="4">
        <v>16</v>
      </c>
      <c r="J1058" s="4" t="s">
        <v>8</v>
      </c>
      <c r="K1058" s="4" t="s">
        <v>14</v>
      </c>
      <c r="L1058" s="11"/>
      <c r="M1058" s="3"/>
      <c r="N1058"/>
      <c r="O1058" s="4"/>
      <c r="P1058" s="1"/>
      <c r="Q1058" s="22"/>
      <c r="R1058"/>
      <c r="S1058" s="11"/>
    </row>
    <row r="1059" spans="2:19" x14ac:dyDescent="0.25">
      <c r="B1059" s="4">
        <v>30033930</v>
      </c>
      <c r="C1059" s="1" t="s">
        <v>913</v>
      </c>
      <c r="D1059" s="4" t="s">
        <v>86</v>
      </c>
      <c r="E1059" s="3" t="s">
        <v>1225</v>
      </c>
      <c r="F1059" s="3" t="s">
        <v>102</v>
      </c>
      <c r="G1059" s="4">
        <v>2</v>
      </c>
      <c r="H1059" s="4">
        <v>2</v>
      </c>
      <c r="I1059" s="4">
        <v>3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 t="s">
        <v>1587</v>
      </c>
    </row>
    <row r="1060" spans="2:19" x14ac:dyDescent="0.25">
      <c r="B1060" s="4">
        <v>30033948</v>
      </c>
      <c r="C1060" s="1" t="s">
        <v>636</v>
      </c>
      <c r="D1060" s="4" t="s">
        <v>86</v>
      </c>
      <c r="E1060" s="3"/>
      <c r="F1060" s="3" t="s">
        <v>68</v>
      </c>
      <c r="G1060" s="4">
        <v>2</v>
      </c>
      <c r="H1060" s="4">
        <v>2</v>
      </c>
      <c r="I1060" s="4">
        <v>2</v>
      </c>
      <c r="J1060" s="4" t="s">
        <v>8</v>
      </c>
      <c r="K1060" s="4" t="s">
        <v>7</v>
      </c>
      <c r="L1060" s="11"/>
      <c r="M1060" s="3"/>
      <c r="N1060"/>
      <c r="O1060" s="4"/>
      <c r="P1060" s="1"/>
      <c r="Q1060" s="22"/>
      <c r="R1060"/>
      <c r="S1060" s="11"/>
    </row>
    <row r="1061" spans="2:19" x14ac:dyDescent="0.25">
      <c r="B1061" s="4">
        <v>30034647</v>
      </c>
      <c r="C1061" s="1" t="s">
        <v>1353</v>
      </c>
      <c r="D1061" s="4" t="s">
        <v>86</v>
      </c>
      <c r="E1061" s="3"/>
      <c r="F1061" s="3" t="s">
        <v>68</v>
      </c>
      <c r="G1061" s="4">
        <v>2</v>
      </c>
      <c r="H1061" s="4">
        <v>4</v>
      </c>
      <c r="I1061" s="4">
        <v>4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/>
    </row>
    <row r="1062" spans="2:19" x14ac:dyDescent="0.25">
      <c r="B1062" s="4">
        <v>30034648</v>
      </c>
      <c r="C1062" s="1" t="s">
        <v>1316</v>
      </c>
      <c r="D1062" s="4" t="s">
        <v>86</v>
      </c>
      <c r="E1062" s="3"/>
      <c r="F1062" s="3" t="s">
        <v>68</v>
      </c>
      <c r="G1062" s="4">
        <v>2</v>
      </c>
      <c r="H1062" s="4">
        <v>4</v>
      </c>
      <c r="I1062" s="4">
        <v>5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</row>
    <row r="1063" spans="2:19" x14ac:dyDescent="0.25">
      <c r="B1063" s="4">
        <v>30035667</v>
      </c>
      <c r="C1063" s="1" t="s">
        <v>1317</v>
      </c>
      <c r="D1063" s="4" t="s">
        <v>86</v>
      </c>
      <c r="E1063" s="3"/>
      <c r="F1063" s="3" t="s">
        <v>68</v>
      </c>
      <c r="G1063" s="4">
        <v>10</v>
      </c>
      <c r="H1063" s="4">
        <v>20</v>
      </c>
      <c r="I1063" s="4">
        <v>19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</row>
    <row r="1064" spans="2:19" x14ac:dyDescent="0.25">
      <c r="B1064" s="4">
        <v>30036125</v>
      </c>
      <c r="C1064" s="1" t="s">
        <v>637</v>
      </c>
      <c r="D1064" s="4" t="s">
        <v>86</v>
      </c>
      <c r="E1064" s="3"/>
      <c r="F1064" s="3" t="s">
        <v>68</v>
      </c>
      <c r="G1064" s="4">
        <v>3</v>
      </c>
      <c r="H1064" s="4">
        <v>4</v>
      </c>
      <c r="I1064" s="4">
        <v>3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</row>
    <row r="1065" spans="2:19" x14ac:dyDescent="0.25">
      <c r="B1065" s="4">
        <v>30036258</v>
      </c>
      <c r="C1065" s="1" t="s">
        <v>638</v>
      </c>
      <c r="D1065" s="4" t="s">
        <v>86</v>
      </c>
      <c r="E1065" s="3"/>
      <c r="F1065" s="3" t="s">
        <v>68</v>
      </c>
      <c r="G1065" s="4">
        <v>7</v>
      </c>
      <c r="H1065" s="4">
        <v>4</v>
      </c>
      <c r="I1065" s="4">
        <v>4</v>
      </c>
      <c r="J1065" s="4" t="s">
        <v>8</v>
      </c>
      <c r="K1065" s="4" t="s">
        <v>9</v>
      </c>
      <c r="L1065" s="11"/>
      <c r="M1065" s="3"/>
      <c r="N1065">
        <v>4502697406</v>
      </c>
      <c r="O1065" s="4">
        <v>4</v>
      </c>
      <c r="P1065" s="1" t="s">
        <v>1666</v>
      </c>
      <c r="Q1065" s="22">
        <v>46241</v>
      </c>
      <c r="R1065"/>
      <c r="S1065" s="11"/>
    </row>
    <row r="1066" spans="2:19" x14ac:dyDescent="0.25">
      <c r="B1066" s="4">
        <v>30036413</v>
      </c>
      <c r="C1066" s="1" t="s">
        <v>1536</v>
      </c>
      <c r="D1066" s="4" t="s">
        <v>86</v>
      </c>
      <c r="E1066" s="3"/>
      <c r="F1066" s="3" t="s">
        <v>68</v>
      </c>
      <c r="G1066" s="4">
        <v>2</v>
      </c>
      <c r="H1066" s="4">
        <v>1</v>
      </c>
      <c r="I1066" s="4">
        <v>8</v>
      </c>
      <c r="J1066" s="4" t="s">
        <v>8</v>
      </c>
      <c r="K1066" s="4" t="s">
        <v>14</v>
      </c>
      <c r="L1066" s="11"/>
      <c r="M1066" s="3"/>
      <c r="N1066"/>
      <c r="O1066" s="4"/>
      <c r="P1066" s="1"/>
      <c r="Q1066" s="22"/>
      <c r="R1066"/>
      <c r="S1066" s="11"/>
    </row>
    <row r="1067" spans="2:19" x14ac:dyDescent="0.25">
      <c r="B1067" s="4">
        <v>30036418</v>
      </c>
      <c r="C1067" s="1" t="s">
        <v>1537</v>
      </c>
      <c r="D1067" s="4" t="s">
        <v>86</v>
      </c>
      <c r="E1067" s="3"/>
      <c r="F1067" s="3" t="s">
        <v>68</v>
      </c>
      <c r="G1067" s="4">
        <v>4</v>
      </c>
      <c r="H1067" s="4">
        <v>2</v>
      </c>
      <c r="I1067" s="4">
        <v>10</v>
      </c>
      <c r="J1067" s="4" t="s">
        <v>8</v>
      </c>
      <c r="K1067" s="4" t="s">
        <v>14</v>
      </c>
      <c r="L1067" s="11"/>
      <c r="M1067" s="3"/>
      <c r="N1067"/>
      <c r="O1067" s="4"/>
      <c r="P1067" s="1"/>
      <c r="Q1067" s="22"/>
      <c r="R1067"/>
      <c r="S1067" s="11"/>
    </row>
    <row r="1068" spans="2:19" x14ac:dyDescent="0.25">
      <c r="B1068" s="4">
        <v>30036419</v>
      </c>
      <c r="C1068" s="1" t="s">
        <v>1538</v>
      </c>
      <c r="D1068" s="4" t="s">
        <v>86</v>
      </c>
      <c r="E1068" s="3"/>
      <c r="F1068" s="3" t="s">
        <v>68</v>
      </c>
      <c r="G1068" s="4">
        <v>4</v>
      </c>
      <c r="H1068" s="4">
        <v>2</v>
      </c>
      <c r="I1068" s="4">
        <v>9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</row>
    <row r="1069" spans="2:19" x14ac:dyDescent="0.25">
      <c r="B1069" s="4">
        <v>30036425</v>
      </c>
      <c r="C1069" s="1" t="s">
        <v>639</v>
      </c>
      <c r="D1069" s="4" t="s">
        <v>86</v>
      </c>
      <c r="E1069" s="3"/>
      <c r="F1069" s="3" t="s">
        <v>68</v>
      </c>
      <c r="G1069" s="4">
        <v>11</v>
      </c>
      <c r="H1069" s="4">
        <v>10</v>
      </c>
      <c r="I1069" s="4">
        <v>17</v>
      </c>
      <c r="J1069" s="4" t="s">
        <v>8</v>
      </c>
      <c r="K1069" s="4" t="s">
        <v>7</v>
      </c>
      <c r="L1069" s="11"/>
      <c r="M1069" s="3"/>
      <c r="N1069"/>
      <c r="O1069" s="4"/>
      <c r="P1069" s="1"/>
      <c r="Q1069" s="22"/>
      <c r="R1069"/>
      <c r="S1069" s="11"/>
    </row>
    <row r="1070" spans="2:19" x14ac:dyDescent="0.25">
      <c r="B1070" s="4">
        <v>30036426</v>
      </c>
      <c r="C1070" s="1" t="s">
        <v>1054</v>
      </c>
      <c r="D1070" s="4" t="s">
        <v>86</v>
      </c>
      <c r="E1070" s="3"/>
      <c r="F1070" s="3" t="s">
        <v>68</v>
      </c>
      <c r="G1070" s="4">
        <v>7</v>
      </c>
      <c r="H1070" s="4">
        <v>6</v>
      </c>
      <c r="I1070" s="4">
        <v>8</v>
      </c>
      <c r="J1070" s="4" t="s">
        <v>8</v>
      </c>
      <c r="K1070" s="4" t="s">
        <v>7</v>
      </c>
      <c r="L1070" s="11"/>
      <c r="M1070" s="3"/>
      <c r="N1070"/>
      <c r="O1070" s="4"/>
      <c r="P1070" s="1"/>
      <c r="Q1070" s="22"/>
      <c r="R1070"/>
      <c r="S1070" s="11"/>
    </row>
    <row r="1071" spans="2:19" x14ac:dyDescent="0.25">
      <c r="B1071" s="4">
        <v>30036576</v>
      </c>
      <c r="C1071" s="1" t="s">
        <v>640</v>
      </c>
      <c r="D1071" s="4" t="s">
        <v>86</v>
      </c>
      <c r="E1071" s="3"/>
      <c r="F1071" s="3" t="s">
        <v>68</v>
      </c>
      <c r="G1071" s="4">
        <v>60</v>
      </c>
      <c r="H1071" s="4">
        <v>80</v>
      </c>
      <c r="I1071" s="4">
        <v>92</v>
      </c>
      <c r="J1071" s="4" t="s">
        <v>24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</row>
    <row r="1072" spans="2:19" x14ac:dyDescent="0.25">
      <c r="B1072" s="4">
        <v>30037793</v>
      </c>
      <c r="C1072" s="1" t="s">
        <v>641</v>
      </c>
      <c r="D1072" s="4" t="s">
        <v>86</v>
      </c>
      <c r="E1072" s="3"/>
      <c r="F1072" s="3" t="s">
        <v>68</v>
      </c>
      <c r="G1072" s="4">
        <v>2</v>
      </c>
      <c r="H1072" s="4">
        <v>4</v>
      </c>
      <c r="I1072" s="4">
        <v>10</v>
      </c>
      <c r="J1072" s="4" t="s">
        <v>8</v>
      </c>
      <c r="K1072" s="4" t="s">
        <v>14</v>
      </c>
      <c r="L1072" s="11"/>
      <c r="M1072" s="3"/>
      <c r="N1072"/>
      <c r="O1072" s="4"/>
      <c r="P1072" s="1"/>
      <c r="Q1072" s="22"/>
      <c r="R1072"/>
      <c r="S1072" s="11"/>
    </row>
    <row r="1073" spans="2:19" x14ac:dyDescent="0.25">
      <c r="B1073" s="4">
        <v>30037797</v>
      </c>
      <c r="C1073" s="1" t="s">
        <v>1055</v>
      </c>
      <c r="D1073" s="4" t="s">
        <v>86</v>
      </c>
      <c r="E1073" s="3"/>
      <c r="F1073" s="3" t="s">
        <v>102</v>
      </c>
      <c r="G1073" s="4">
        <v>201</v>
      </c>
      <c r="H1073" s="4">
        <v>200</v>
      </c>
      <c r="I1073" s="4">
        <v>202</v>
      </c>
      <c r="J1073" s="4" t="s">
        <v>8</v>
      </c>
      <c r="K1073" s="4" t="s">
        <v>7</v>
      </c>
      <c r="L1073" s="11"/>
      <c r="M1073" s="3"/>
      <c r="N1073"/>
      <c r="O1073" s="4"/>
      <c r="P1073" s="1"/>
      <c r="Q1073" s="22"/>
      <c r="R1073"/>
      <c r="S1073" s="11"/>
    </row>
    <row r="1074" spans="2:19" x14ac:dyDescent="0.25">
      <c r="B1074" s="4">
        <v>30037859</v>
      </c>
      <c r="C1074" s="1" t="s">
        <v>642</v>
      </c>
      <c r="D1074" s="4" t="s">
        <v>86</v>
      </c>
      <c r="E1074" s="3"/>
      <c r="F1074" s="3" t="s">
        <v>68</v>
      </c>
      <c r="G1074" s="4">
        <v>2</v>
      </c>
      <c r="H1074" s="4">
        <v>1</v>
      </c>
      <c r="I1074" s="4">
        <v>2</v>
      </c>
      <c r="J1074" s="4" t="s">
        <v>8</v>
      </c>
      <c r="K1074" s="4" t="s">
        <v>7</v>
      </c>
      <c r="L1074" s="11"/>
      <c r="M1074" s="3"/>
      <c r="N1074"/>
      <c r="O1074" s="4"/>
      <c r="P1074" s="1"/>
      <c r="Q1074" s="22"/>
      <c r="R1074"/>
      <c r="S1074" s="11"/>
    </row>
    <row r="1075" spans="2:19" x14ac:dyDescent="0.25">
      <c r="B1075" s="4">
        <v>30037868</v>
      </c>
      <c r="C1075" s="1" t="s">
        <v>643</v>
      </c>
      <c r="D1075" s="4" t="s">
        <v>86</v>
      </c>
      <c r="E1075" s="3"/>
      <c r="F1075" s="3" t="s">
        <v>68</v>
      </c>
      <c r="G1075" s="4">
        <v>2</v>
      </c>
      <c r="H1075" s="4">
        <v>2</v>
      </c>
      <c r="I1075" s="4">
        <v>3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</row>
    <row r="1076" spans="2:19" x14ac:dyDescent="0.25">
      <c r="B1076" s="4">
        <v>30037869</v>
      </c>
      <c r="C1076" s="1" t="s">
        <v>644</v>
      </c>
      <c r="D1076" s="4" t="s">
        <v>86</v>
      </c>
      <c r="E1076" s="3"/>
      <c r="F1076" s="3" t="s">
        <v>68</v>
      </c>
      <c r="G1076" s="4">
        <v>2</v>
      </c>
      <c r="H1076" s="4">
        <v>1</v>
      </c>
      <c r="I1076" s="4">
        <v>1</v>
      </c>
      <c r="J1076" s="4" t="s">
        <v>8</v>
      </c>
      <c r="K1076" s="4" t="s">
        <v>9</v>
      </c>
      <c r="L1076" s="11" t="s">
        <v>1623</v>
      </c>
      <c r="M1076" s="3"/>
      <c r="N1076"/>
      <c r="O1076" s="4"/>
      <c r="P1076" s="1"/>
      <c r="Q1076" s="22"/>
      <c r="R1076"/>
      <c r="S1076" s="11" t="s">
        <v>1596</v>
      </c>
    </row>
    <row r="1077" spans="2:19" x14ac:dyDescent="0.25">
      <c r="B1077" s="4">
        <v>30037870</v>
      </c>
      <c r="C1077" s="1" t="s">
        <v>645</v>
      </c>
      <c r="D1077" s="4" t="s">
        <v>86</v>
      </c>
      <c r="E1077" s="3"/>
      <c r="F1077" s="3" t="s">
        <v>68</v>
      </c>
      <c r="G1077" s="4">
        <v>3</v>
      </c>
      <c r="H1077" s="4">
        <v>5</v>
      </c>
      <c r="I1077" s="4">
        <v>8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</row>
    <row r="1078" spans="2:19" x14ac:dyDescent="0.25">
      <c r="B1078" s="4">
        <v>30038088</v>
      </c>
      <c r="C1078" s="1" t="s">
        <v>1255</v>
      </c>
      <c r="D1078" s="4" t="s">
        <v>86</v>
      </c>
      <c r="E1078" s="3"/>
      <c r="F1078" s="3" t="s">
        <v>68</v>
      </c>
      <c r="G1078" s="4">
        <v>2</v>
      </c>
      <c r="H1078" s="4">
        <v>1</v>
      </c>
      <c r="I1078" s="4">
        <v>2</v>
      </c>
      <c r="J1078" s="4" t="s">
        <v>8</v>
      </c>
      <c r="K1078" s="4" t="s">
        <v>7</v>
      </c>
      <c r="L1078" s="11"/>
      <c r="M1078" s="3"/>
      <c r="N1078"/>
      <c r="O1078" s="4"/>
      <c r="P1078" s="1"/>
      <c r="Q1078" s="22"/>
      <c r="R1078"/>
      <c r="S1078" s="11"/>
    </row>
    <row r="1079" spans="2:19" x14ac:dyDescent="0.25">
      <c r="B1079" s="4">
        <v>30038349</v>
      </c>
      <c r="C1079" s="1" t="s">
        <v>1167</v>
      </c>
      <c r="D1079" s="4" t="s">
        <v>86</v>
      </c>
      <c r="E1079" s="3"/>
      <c r="F1079" s="3" t="s">
        <v>102</v>
      </c>
      <c r="G1079" s="4">
        <v>3</v>
      </c>
      <c r="H1079" s="4">
        <v>2</v>
      </c>
      <c r="I1079" s="4">
        <v>23</v>
      </c>
      <c r="J1079" s="4" t="s">
        <v>8</v>
      </c>
      <c r="K1079" s="4" t="s">
        <v>14</v>
      </c>
      <c r="L1079" s="11"/>
      <c r="M1079" s="3"/>
      <c r="N1079"/>
      <c r="O1079" s="4"/>
      <c r="P1079" s="1"/>
      <c r="Q1079" s="22"/>
      <c r="R1079"/>
      <c r="S1079" s="11"/>
    </row>
    <row r="1080" spans="2:19" x14ac:dyDescent="0.25">
      <c r="B1080" s="4">
        <v>30038358</v>
      </c>
      <c r="C1080" s="1" t="s">
        <v>1509</v>
      </c>
      <c r="D1080" s="4" t="s">
        <v>86</v>
      </c>
      <c r="E1080" s="3"/>
      <c r="F1080" s="3" t="s">
        <v>68</v>
      </c>
      <c r="G1080" s="4">
        <v>6</v>
      </c>
      <c r="H1080" s="4">
        <v>6</v>
      </c>
      <c r="I1080" s="4">
        <v>6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</row>
    <row r="1081" spans="2:19" x14ac:dyDescent="0.25">
      <c r="B1081" s="4">
        <v>30038374</v>
      </c>
      <c r="C1081" s="1" t="s">
        <v>860</v>
      </c>
      <c r="D1081" s="4" t="s">
        <v>86</v>
      </c>
      <c r="E1081" s="3"/>
      <c r="F1081" s="3" t="s">
        <v>102</v>
      </c>
      <c r="G1081" s="4">
        <v>3</v>
      </c>
      <c r="H1081" s="4">
        <v>2</v>
      </c>
      <c r="I1081" s="4">
        <v>4</v>
      </c>
      <c r="J1081" s="4" t="s">
        <v>8</v>
      </c>
      <c r="K1081" s="4" t="s">
        <v>7</v>
      </c>
      <c r="L1081" s="11">
        <v>1002671085</v>
      </c>
      <c r="M1081" s="3">
        <v>2</v>
      </c>
      <c r="N1081"/>
      <c r="O1081" s="4"/>
      <c r="P1081" s="1"/>
      <c r="Q1081" s="22"/>
      <c r="R1081"/>
      <c r="S1081" s="11"/>
    </row>
    <row r="1082" spans="2:19" x14ac:dyDescent="0.25">
      <c r="B1082" s="4">
        <v>30038441</v>
      </c>
      <c r="C1082" s="1" t="s">
        <v>646</v>
      </c>
      <c r="D1082" s="4" t="s">
        <v>86</v>
      </c>
      <c r="E1082" s="3"/>
      <c r="F1082" s="3" t="s">
        <v>68</v>
      </c>
      <c r="G1082" s="4">
        <v>4000</v>
      </c>
      <c r="H1082" s="4">
        <v>4000</v>
      </c>
      <c r="I1082" s="4">
        <v>3725</v>
      </c>
      <c r="J1082" s="4" t="s">
        <v>24</v>
      </c>
      <c r="K1082" s="4" t="s">
        <v>9</v>
      </c>
      <c r="L1082" s="11"/>
      <c r="M1082" s="3"/>
      <c r="N1082">
        <v>4700157655</v>
      </c>
      <c r="O1082" s="4">
        <v>2875</v>
      </c>
      <c r="P1082" s="1" t="s">
        <v>1506</v>
      </c>
      <c r="Q1082" s="22">
        <v>46115</v>
      </c>
      <c r="R1082"/>
      <c r="S1082" s="11" t="s">
        <v>1589</v>
      </c>
    </row>
    <row r="1083" spans="2:19" x14ac:dyDescent="0.25">
      <c r="B1083" s="4">
        <v>30038471</v>
      </c>
      <c r="C1083" s="1" t="s">
        <v>1318</v>
      </c>
      <c r="D1083" s="4" t="s">
        <v>86</v>
      </c>
      <c r="E1083" s="3"/>
      <c r="F1083" s="3" t="s">
        <v>68</v>
      </c>
      <c r="G1083" s="4">
        <v>2</v>
      </c>
      <c r="H1083" s="4">
        <v>2</v>
      </c>
      <c r="I1083" s="4">
        <v>5</v>
      </c>
      <c r="J1083" s="4" t="s">
        <v>8</v>
      </c>
      <c r="K1083" s="4" t="s">
        <v>14</v>
      </c>
      <c r="L1083" s="11"/>
      <c r="M1083" s="3"/>
      <c r="N1083"/>
      <c r="O1083" s="4"/>
      <c r="P1083" s="1"/>
      <c r="Q1083" s="22"/>
      <c r="R1083"/>
      <c r="S1083" s="11"/>
    </row>
    <row r="1084" spans="2:19" x14ac:dyDescent="0.25">
      <c r="B1084" s="4">
        <v>30038497</v>
      </c>
      <c r="C1084" s="1" t="s">
        <v>647</v>
      </c>
      <c r="D1084" s="4" t="s">
        <v>86</v>
      </c>
      <c r="E1084" s="3"/>
      <c r="F1084" s="3" t="s">
        <v>68</v>
      </c>
      <c r="G1084" s="4">
        <v>12</v>
      </c>
      <c r="H1084" s="4">
        <v>20</v>
      </c>
      <c r="I1084" s="4">
        <v>0</v>
      </c>
      <c r="J1084" s="4" t="s">
        <v>8</v>
      </c>
      <c r="K1084" s="4" t="s">
        <v>13</v>
      </c>
      <c r="L1084" s="11">
        <v>1002669281</v>
      </c>
      <c r="M1084" s="3">
        <v>32</v>
      </c>
      <c r="N1084"/>
      <c r="O1084" s="4"/>
      <c r="P1084" s="1"/>
      <c r="Q1084" s="22"/>
      <c r="R1084"/>
      <c r="S1084" s="11"/>
    </row>
    <row r="1085" spans="2:19" x14ac:dyDescent="0.25">
      <c r="B1085" s="4">
        <v>30038525</v>
      </c>
      <c r="C1085" s="1" t="s">
        <v>648</v>
      </c>
      <c r="D1085" s="4" t="s">
        <v>86</v>
      </c>
      <c r="E1085" s="3"/>
      <c r="F1085" s="3" t="s">
        <v>68</v>
      </c>
      <c r="G1085" s="4">
        <v>5</v>
      </c>
      <c r="H1085" s="4">
        <v>10</v>
      </c>
      <c r="I1085" s="4">
        <v>17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</row>
    <row r="1086" spans="2:19" x14ac:dyDescent="0.25">
      <c r="B1086" s="4">
        <v>30038526</v>
      </c>
      <c r="C1086" s="1" t="s">
        <v>649</v>
      </c>
      <c r="D1086" s="4" t="s">
        <v>86</v>
      </c>
      <c r="E1086" s="3"/>
      <c r="F1086" s="3" t="s">
        <v>68</v>
      </c>
      <c r="G1086" s="4">
        <v>7</v>
      </c>
      <c r="H1086" s="4">
        <v>12</v>
      </c>
      <c r="I1086" s="4">
        <v>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</row>
    <row r="1087" spans="2:19" x14ac:dyDescent="0.25">
      <c r="B1087" s="4">
        <v>30039030</v>
      </c>
      <c r="C1087" s="1" t="s">
        <v>1340</v>
      </c>
      <c r="D1087" s="4" t="s">
        <v>86</v>
      </c>
      <c r="E1087" s="3"/>
      <c r="F1087" s="3" t="s">
        <v>68</v>
      </c>
      <c r="G1087" s="4">
        <v>4</v>
      </c>
      <c r="H1087" s="4">
        <v>6</v>
      </c>
      <c r="I1087" s="4">
        <v>5</v>
      </c>
      <c r="J1087" s="4" t="s">
        <v>8</v>
      </c>
      <c r="K1087" s="4" t="s">
        <v>7</v>
      </c>
      <c r="L1087" s="11"/>
      <c r="M1087" s="3"/>
      <c r="N1087"/>
      <c r="O1087" s="4"/>
      <c r="P1087" s="1"/>
      <c r="Q1087" s="22"/>
      <c r="R1087"/>
      <c r="S1087" s="11"/>
    </row>
    <row r="1088" spans="2:19" x14ac:dyDescent="0.25">
      <c r="B1088" s="4">
        <v>30039031</v>
      </c>
      <c r="C1088" s="1" t="s">
        <v>651</v>
      </c>
      <c r="D1088" s="4" t="s">
        <v>86</v>
      </c>
      <c r="E1088" s="3"/>
      <c r="F1088" s="3" t="s">
        <v>68</v>
      </c>
      <c r="G1088" s="4">
        <v>2</v>
      </c>
      <c r="H1088" s="4">
        <v>1</v>
      </c>
      <c r="I1088" s="4">
        <v>2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</row>
    <row r="1089" spans="2:19" x14ac:dyDescent="0.25">
      <c r="B1089" s="4">
        <v>30039035</v>
      </c>
      <c r="C1089" s="1" t="s">
        <v>652</v>
      </c>
      <c r="D1089" s="4" t="s">
        <v>86</v>
      </c>
      <c r="E1089" s="3"/>
      <c r="F1089" s="3" t="s">
        <v>68</v>
      </c>
      <c r="G1089" s="4">
        <v>2</v>
      </c>
      <c r="H1089" s="4">
        <v>4</v>
      </c>
      <c r="I1089" s="4">
        <v>0</v>
      </c>
      <c r="J1089" s="4" t="s">
        <v>8</v>
      </c>
      <c r="K1089" s="4" t="s">
        <v>13</v>
      </c>
      <c r="L1089" s="11"/>
      <c r="M1089" s="3"/>
      <c r="N1089">
        <v>4502511982</v>
      </c>
      <c r="O1089" s="4">
        <v>4</v>
      </c>
      <c r="P1089" s="1" t="s">
        <v>1396</v>
      </c>
      <c r="Q1089" s="22">
        <v>45743</v>
      </c>
      <c r="R1089"/>
      <c r="S1089" s="11" t="s">
        <v>1595</v>
      </c>
    </row>
    <row r="1090" spans="2:19" x14ac:dyDescent="0.25">
      <c r="B1090" s="4">
        <v>30039144</v>
      </c>
      <c r="C1090" s="1" t="s">
        <v>861</v>
      </c>
      <c r="D1090" s="4" t="s">
        <v>86</v>
      </c>
      <c r="E1090" s="3"/>
      <c r="F1090" s="3" t="s">
        <v>102</v>
      </c>
      <c r="G1090" s="4">
        <v>1</v>
      </c>
      <c r="H1090" s="4">
        <v>2</v>
      </c>
      <c r="I1090" s="4">
        <v>2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</row>
    <row r="1091" spans="2:19" x14ac:dyDescent="0.25">
      <c r="B1091" s="4">
        <v>30039193</v>
      </c>
      <c r="C1091" s="1" t="s">
        <v>914</v>
      </c>
      <c r="D1091" s="4" t="s">
        <v>86</v>
      </c>
      <c r="E1091" s="3" t="s">
        <v>1225</v>
      </c>
      <c r="F1091" s="3" t="s">
        <v>102</v>
      </c>
      <c r="G1091" s="4">
        <v>2</v>
      </c>
      <c r="H1091" s="4">
        <v>2</v>
      </c>
      <c r="I1091" s="4">
        <v>0</v>
      </c>
      <c r="J1091" s="4" t="s">
        <v>8</v>
      </c>
      <c r="K1091" s="4" t="s">
        <v>13</v>
      </c>
      <c r="L1091" s="11" t="s">
        <v>1623</v>
      </c>
      <c r="M1091" s="3"/>
      <c r="N1091"/>
      <c r="O1091" s="4"/>
      <c r="P1091" s="1"/>
      <c r="Q1091" s="22"/>
      <c r="R1091"/>
      <c r="S1091" s="11" t="s">
        <v>1587</v>
      </c>
    </row>
    <row r="1092" spans="2:19" x14ac:dyDescent="0.25">
      <c r="B1092" s="4">
        <v>30039344</v>
      </c>
      <c r="C1092" s="1" t="s">
        <v>1418</v>
      </c>
      <c r="D1092" s="4" t="s">
        <v>86</v>
      </c>
      <c r="E1092" s="3"/>
      <c r="F1092" s="3" t="s">
        <v>68</v>
      </c>
      <c r="G1092" s="4">
        <v>1</v>
      </c>
      <c r="H1092" s="4">
        <v>2</v>
      </c>
      <c r="I1092" s="4">
        <v>4</v>
      </c>
      <c r="J1092" s="4" t="s">
        <v>8</v>
      </c>
      <c r="K1092" s="4" t="s">
        <v>14</v>
      </c>
      <c r="L1092" s="11"/>
      <c r="M1092" s="3"/>
      <c r="N1092"/>
      <c r="O1092" s="4"/>
      <c r="P1092" s="1"/>
      <c r="Q1092" s="22"/>
      <c r="R1092"/>
      <c r="S1092" s="11"/>
    </row>
    <row r="1093" spans="2:19" x14ac:dyDescent="0.25">
      <c r="B1093" s="4">
        <v>30039698</v>
      </c>
      <c r="C1093" s="1" t="s">
        <v>653</v>
      </c>
      <c r="D1093" s="4" t="s">
        <v>86</v>
      </c>
      <c r="E1093" s="3"/>
      <c r="F1093" s="3" t="s">
        <v>68</v>
      </c>
      <c r="G1093" s="4">
        <v>2</v>
      </c>
      <c r="H1093" s="4">
        <v>3</v>
      </c>
      <c r="I1093" s="4">
        <v>4</v>
      </c>
      <c r="J1093" s="4" t="s">
        <v>8</v>
      </c>
      <c r="K1093" s="4" t="s">
        <v>7</v>
      </c>
      <c r="L1093" s="11"/>
      <c r="M1093" s="3"/>
      <c r="N1093"/>
      <c r="O1093" s="4"/>
      <c r="P1093" s="1"/>
      <c r="Q1093" s="22"/>
      <c r="R1093"/>
      <c r="S1093" s="11"/>
    </row>
    <row r="1094" spans="2:19" x14ac:dyDescent="0.25">
      <c r="B1094" s="4">
        <v>30039710</v>
      </c>
      <c r="C1094" s="1" t="s">
        <v>654</v>
      </c>
      <c r="D1094" s="4" t="s">
        <v>86</v>
      </c>
      <c r="E1094" s="3"/>
      <c r="F1094" s="3" t="s">
        <v>68</v>
      </c>
      <c r="G1094" s="4">
        <v>4</v>
      </c>
      <c r="H1094" s="4">
        <v>7</v>
      </c>
      <c r="I1094" s="4">
        <v>10</v>
      </c>
      <c r="J1094" s="4" t="s">
        <v>8</v>
      </c>
      <c r="K1094" s="4" t="s">
        <v>7</v>
      </c>
      <c r="L1094" s="11"/>
      <c r="M1094" s="3"/>
      <c r="N1094"/>
      <c r="O1094" s="4"/>
      <c r="P1094" s="1"/>
      <c r="Q1094" s="22"/>
      <c r="R1094"/>
      <c r="S1094" s="11"/>
    </row>
    <row r="1095" spans="2:19" x14ac:dyDescent="0.25">
      <c r="B1095" s="4">
        <v>30039711</v>
      </c>
      <c r="C1095" s="1" t="s">
        <v>655</v>
      </c>
      <c r="D1095" s="4" t="s">
        <v>86</v>
      </c>
      <c r="E1095" s="3"/>
      <c r="F1095" s="3" t="s">
        <v>68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</row>
    <row r="1096" spans="2:19" x14ac:dyDescent="0.25">
      <c r="B1096" s="4">
        <v>30039714</v>
      </c>
      <c r="C1096" s="1" t="s">
        <v>656</v>
      </c>
      <c r="D1096" s="4" t="s">
        <v>86</v>
      </c>
      <c r="E1096" s="3"/>
      <c r="F1096" s="3" t="s">
        <v>68</v>
      </c>
      <c r="G1096" s="4">
        <v>10</v>
      </c>
      <c r="H1096" s="4">
        <v>6</v>
      </c>
      <c r="I1096" s="4">
        <v>25</v>
      </c>
      <c r="J1096" s="4" t="s">
        <v>8</v>
      </c>
      <c r="K1096" s="4" t="s">
        <v>14</v>
      </c>
      <c r="L1096" s="64">
        <v>1002637281</v>
      </c>
      <c r="M1096" s="3">
        <v>6</v>
      </c>
      <c r="N1096">
        <v>4502682357</v>
      </c>
      <c r="O1096" s="4">
        <v>4</v>
      </c>
      <c r="P1096" s="1" t="s">
        <v>1519</v>
      </c>
      <c r="Q1096" s="22">
        <v>46224</v>
      </c>
      <c r="R1096"/>
      <c r="S1096" s="11"/>
    </row>
    <row r="1097" spans="2:19" x14ac:dyDescent="0.25">
      <c r="B1097" s="4">
        <v>30039715</v>
      </c>
      <c r="C1097" s="1" t="s">
        <v>657</v>
      </c>
      <c r="D1097" s="4" t="s">
        <v>86</v>
      </c>
      <c r="E1097" s="3"/>
      <c r="F1097" s="3" t="s">
        <v>68</v>
      </c>
      <c r="G1097" s="4">
        <v>3</v>
      </c>
      <c r="H1097" s="4">
        <v>5</v>
      </c>
      <c r="I1097" s="4">
        <v>10</v>
      </c>
      <c r="J1097" s="4" t="s">
        <v>8</v>
      </c>
      <c r="K1097" s="4" t="s">
        <v>14</v>
      </c>
      <c r="L1097" s="11"/>
      <c r="M1097" s="3"/>
      <c r="N1097"/>
      <c r="O1097" s="4"/>
      <c r="P1097" s="1"/>
      <c r="Q1097" s="22"/>
      <c r="R1097"/>
      <c r="S1097" s="11"/>
    </row>
    <row r="1098" spans="2:19" x14ac:dyDescent="0.25">
      <c r="B1098" s="4">
        <v>30039716</v>
      </c>
      <c r="C1098" s="1" t="s">
        <v>658</v>
      </c>
      <c r="D1098" s="4" t="s">
        <v>86</v>
      </c>
      <c r="E1098" s="3"/>
      <c r="F1098" s="3" t="s">
        <v>68</v>
      </c>
      <c r="G1098" s="4">
        <v>5</v>
      </c>
      <c r="H1098" s="4">
        <v>10</v>
      </c>
      <c r="I1098" s="4">
        <v>12</v>
      </c>
      <c r="J1098" s="4" t="s">
        <v>8</v>
      </c>
      <c r="K1098" s="4" t="s">
        <v>7</v>
      </c>
      <c r="L1098" s="11"/>
      <c r="M1098" s="3"/>
      <c r="N1098"/>
      <c r="O1098" s="4"/>
      <c r="P1098" s="1"/>
      <c r="Q1098" s="22"/>
      <c r="R1098"/>
      <c r="S1098" s="11"/>
    </row>
    <row r="1099" spans="2:19" x14ac:dyDescent="0.25">
      <c r="B1099" s="4">
        <v>30039717</v>
      </c>
      <c r="C1099" s="1" t="s">
        <v>659</v>
      </c>
      <c r="D1099" s="4" t="s">
        <v>86</v>
      </c>
      <c r="E1099" s="3"/>
      <c r="F1099" s="3" t="s">
        <v>68</v>
      </c>
      <c r="G1099" s="4">
        <v>7</v>
      </c>
      <c r="H1099" s="4">
        <v>12</v>
      </c>
      <c r="I1099" s="4">
        <v>12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</row>
    <row r="1100" spans="2:19" x14ac:dyDescent="0.25">
      <c r="B1100" s="4">
        <v>30039718</v>
      </c>
      <c r="C1100" s="1" t="s">
        <v>660</v>
      </c>
      <c r="D1100" s="4" t="s">
        <v>86</v>
      </c>
      <c r="E1100" s="3"/>
      <c r="F1100" s="3" t="s">
        <v>68</v>
      </c>
      <c r="G1100" s="4">
        <v>3</v>
      </c>
      <c r="H1100" s="4">
        <v>5</v>
      </c>
      <c r="I1100" s="4">
        <v>23</v>
      </c>
      <c r="J1100" s="4" t="s">
        <v>8</v>
      </c>
      <c r="K1100" s="4" t="s">
        <v>14</v>
      </c>
      <c r="L1100" s="11"/>
      <c r="M1100" s="3"/>
      <c r="N1100"/>
      <c r="O1100" s="4"/>
      <c r="P1100" s="1"/>
      <c r="Q1100" s="22"/>
      <c r="R1100"/>
      <c r="S1100" s="11"/>
    </row>
    <row r="1101" spans="2:19" x14ac:dyDescent="0.25">
      <c r="B1101" s="4">
        <v>30039719</v>
      </c>
      <c r="C1101" s="1" t="s">
        <v>1268</v>
      </c>
      <c r="D1101" s="4" t="s">
        <v>86</v>
      </c>
      <c r="E1101" s="3"/>
      <c r="F1101" s="3" t="s">
        <v>68</v>
      </c>
      <c r="G1101" s="4">
        <v>5</v>
      </c>
      <c r="H1101" s="4">
        <v>8</v>
      </c>
      <c r="I1101" s="4">
        <v>6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</row>
    <row r="1102" spans="2:19" x14ac:dyDescent="0.25">
      <c r="B1102" s="4">
        <v>30039720</v>
      </c>
      <c r="C1102" s="1" t="s">
        <v>661</v>
      </c>
      <c r="D1102" s="4" t="s">
        <v>86</v>
      </c>
      <c r="E1102" s="3"/>
      <c r="F1102" s="3" t="s">
        <v>68</v>
      </c>
      <c r="G1102" s="4">
        <v>4</v>
      </c>
      <c r="H1102" s="4">
        <v>7</v>
      </c>
      <c r="I1102" s="4">
        <v>22</v>
      </c>
      <c r="J1102" s="4" t="s">
        <v>8</v>
      </c>
      <c r="K1102" s="4" t="s">
        <v>14</v>
      </c>
      <c r="L1102" s="64"/>
      <c r="M1102" s="3"/>
      <c r="N1102"/>
      <c r="O1102" s="4"/>
      <c r="P1102" s="1"/>
      <c r="Q1102" s="22"/>
      <c r="R1102"/>
      <c r="S1102" s="11"/>
    </row>
    <row r="1103" spans="2:19" x14ac:dyDescent="0.25">
      <c r="B1103" s="4">
        <v>30039721</v>
      </c>
      <c r="C1103" s="1" t="s">
        <v>662</v>
      </c>
      <c r="D1103" s="4" t="s">
        <v>86</v>
      </c>
      <c r="E1103" s="3"/>
      <c r="F1103" s="3" t="s">
        <v>68</v>
      </c>
      <c r="G1103" s="4">
        <v>10</v>
      </c>
      <c r="H1103" s="4">
        <v>6</v>
      </c>
      <c r="I1103" s="4">
        <v>29</v>
      </c>
      <c r="J1103" s="4" t="s">
        <v>8</v>
      </c>
      <c r="K1103" s="4" t="s">
        <v>14</v>
      </c>
      <c r="L1103" s="11"/>
      <c r="M1103" s="3"/>
      <c r="N1103"/>
      <c r="O1103" s="4"/>
      <c r="P1103" s="1"/>
      <c r="Q1103" s="22"/>
      <c r="R1103"/>
      <c r="S1103" s="11"/>
    </row>
    <row r="1104" spans="2:19" x14ac:dyDescent="0.25">
      <c r="B1104" s="4">
        <v>30039722</v>
      </c>
      <c r="C1104" s="1" t="s">
        <v>663</v>
      </c>
      <c r="D1104" s="4" t="s">
        <v>86</v>
      </c>
      <c r="E1104" s="3"/>
      <c r="F1104" s="3" t="s">
        <v>68</v>
      </c>
      <c r="G1104" s="4">
        <v>8</v>
      </c>
      <c r="H1104" s="4">
        <v>8</v>
      </c>
      <c r="I1104" s="4">
        <v>29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</row>
    <row r="1105" spans="2:19" x14ac:dyDescent="0.25">
      <c r="B1105" s="4">
        <v>30039723</v>
      </c>
      <c r="C1105" s="1" t="s">
        <v>664</v>
      </c>
      <c r="D1105" s="4" t="s">
        <v>86</v>
      </c>
      <c r="E1105" s="3"/>
      <c r="F1105" s="3" t="s">
        <v>68</v>
      </c>
      <c r="G1105" s="4">
        <v>15</v>
      </c>
      <c r="H1105" s="4">
        <v>20</v>
      </c>
      <c r="I1105" s="4">
        <v>31</v>
      </c>
      <c r="J1105" s="4" t="s">
        <v>8</v>
      </c>
      <c r="K1105" s="4" t="s">
        <v>7</v>
      </c>
      <c r="L1105" s="11"/>
      <c r="M1105" s="3"/>
      <c r="N1105"/>
      <c r="O1105" s="4"/>
      <c r="P1105" s="1"/>
      <c r="Q1105" s="22"/>
      <c r="R1105"/>
      <c r="S1105" s="11"/>
    </row>
    <row r="1106" spans="2:19" x14ac:dyDescent="0.25">
      <c r="B1106" s="4">
        <v>30039724</v>
      </c>
      <c r="C1106" s="1" t="s">
        <v>665</v>
      </c>
      <c r="D1106" s="4" t="s">
        <v>86</v>
      </c>
      <c r="E1106" s="3"/>
      <c r="F1106" s="3" t="s">
        <v>68</v>
      </c>
      <c r="G1106" s="4">
        <v>15</v>
      </c>
      <c r="H1106" s="4">
        <v>20</v>
      </c>
      <c r="I1106" s="4">
        <v>32</v>
      </c>
      <c r="J1106" s="4" t="s">
        <v>8</v>
      </c>
      <c r="K1106" s="4" t="s">
        <v>7</v>
      </c>
      <c r="L1106" s="11"/>
      <c r="M1106" s="3"/>
      <c r="N1106"/>
      <c r="O1106" s="4"/>
      <c r="P1106" s="1"/>
      <c r="Q1106" s="22"/>
      <c r="R1106"/>
      <c r="S1106" s="11"/>
    </row>
    <row r="1107" spans="2:19" x14ac:dyDescent="0.25">
      <c r="B1107" s="4">
        <v>30039725</v>
      </c>
      <c r="C1107" s="1" t="s">
        <v>666</v>
      </c>
      <c r="D1107" s="4" t="s">
        <v>86</v>
      </c>
      <c r="E1107" s="3"/>
      <c r="F1107" s="3" t="s">
        <v>68</v>
      </c>
      <c r="G1107" s="4">
        <v>8</v>
      </c>
      <c r="H1107" s="4">
        <v>8</v>
      </c>
      <c r="I1107" s="4">
        <v>32</v>
      </c>
      <c r="J1107" s="4" t="s">
        <v>8</v>
      </c>
      <c r="K1107" s="4" t="s">
        <v>14</v>
      </c>
      <c r="L1107" s="11"/>
      <c r="M1107" s="3"/>
      <c r="N1107"/>
      <c r="O1107" s="4"/>
      <c r="P1107" s="1"/>
      <c r="Q1107" s="22"/>
      <c r="R1107"/>
      <c r="S1107" s="11"/>
    </row>
    <row r="1108" spans="2:19" x14ac:dyDescent="0.25">
      <c r="B1108" s="4">
        <v>30039857</v>
      </c>
      <c r="C1108" s="1" t="s">
        <v>667</v>
      </c>
      <c r="D1108" s="4" t="s">
        <v>86</v>
      </c>
      <c r="E1108" s="3"/>
      <c r="F1108" s="3" t="s">
        <v>68</v>
      </c>
      <c r="G1108" s="4">
        <v>30</v>
      </c>
      <c r="H1108" s="4">
        <v>50</v>
      </c>
      <c r="I1108" s="4">
        <v>185</v>
      </c>
      <c r="J1108" s="4" t="s">
        <v>8</v>
      </c>
      <c r="K1108" s="4" t="s">
        <v>14</v>
      </c>
      <c r="L1108" s="11"/>
      <c r="M1108" s="3"/>
      <c r="N1108"/>
      <c r="O1108" s="4"/>
      <c r="P1108" s="1"/>
      <c r="Q1108" s="22"/>
      <c r="R1108"/>
      <c r="S1108" s="11"/>
    </row>
    <row r="1109" spans="2:19" x14ac:dyDescent="0.25">
      <c r="B1109" s="4">
        <v>30040054</v>
      </c>
      <c r="C1109" s="1" t="s">
        <v>668</v>
      </c>
      <c r="D1109" s="4" t="s">
        <v>86</v>
      </c>
      <c r="E1109" s="3"/>
      <c r="F1109" s="3" t="s">
        <v>68</v>
      </c>
      <c r="G1109" s="4">
        <v>30</v>
      </c>
      <c r="H1109" s="4">
        <v>50</v>
      </c>
      <c r="I1109" s="4">
        <v>76</v>
      </c>
      <c r="J1109" s="4" t="s">
        <v>8</v>
      </c>
      <c r="K1109" s="4" t="s">
        <v>7</v>
      </c>
      <c r="L1109" s="11"/>
      <c r="M1109" s="3"/>
      <c r="N1109"/>
      <c r="O1109" s="4"/>
      <c r="P1109" s="1"/>
      <c r="Q1109" s="22"/>
      <c r="R1109"/>
      <c r="S1109" s="11"/>
    </row>
    <row r="1110" spans="2:19" x14ac:dyDescent="0.25">
      <c r="B1110" s="4">
        <v>30040061</v>
      </c>
      <c r="C1110" s="1" t="s">
        <v>669</v>
      </c>
      <c r="D1110" s="4" t="s">
        <v>86</v>
      </c>
      <c r="E1110" s="3"/>
      <c r="F1110" s="3" t="s">
        <v>68</v>
      </c>
      <c r="G1110" s="4">
        <v>10</v>
      </c>
      <c r="H1110" s="4">
        <v>10</v>
      </c>
      <c r="I1110" s="4">
        <v>13</v>
      </c>
      <c r="J1110" s="4" t="s">
        <v>8</v>
      </c>
      <c r="K1110" s="4" t="s">
        <v>7</v>
      </c>
      <c r="L1110" s="11"/>
      <c r="M1110" s="3"/>
      <c r="N1110"/>
      <c r="O1110" s="4"/>
      <c r="P1110" s="1"/>
      <c r="Q1110" s="22"/>
      <c r="R1110"/>
      <c r="S1110" s="11"/>
    </row>
    <row r="1111" spans="2:19" x14ac:dyDescent="0.25">
      <c r="B1111" s="4">
        <v>30040066</v>
      </c>
      <c r="C1111" s="1" t="s">
        <v>670</v>
      </c>
      <c r="D1111" s="4" t="s">
        <v>86</v>
      </c>
      <c r="E1111" s="3"/>
      <c r="F1111" s="3" t="s">
        <v>68</v>
      </c>
      <c r="G1111" s="4">
        <v>2</v>
      </c>
      <c r="H1111" s="4">
        <v>2</v>
      </c>
      <c r="I1111" s="4">
        <v>1</v>
      </c>
      <c r="J1111" s="4" t="s">
        <v>8</v>
      </c>
      <c r="K1111" s="4" t="s">
        <v>9</v>
      </c>
      <c r="L1111" s="11"/>
      <c r="M1111" s="3"/>
      <c r="N1111">
        <v>4502675200</v>
      </c>
      <c r="O1111" s="4">
        <v>2</v>
      </c>
      <c r="P1111" s="1" t="s">
        <v>1569</v>
      </c>
      <c r="Q1111" s="22">
        <v>46219</v>
      </c>
      <c r="R1111"/>
      <c r="S1111" s="11"/>
    </row>
    <row r="1112" spans="2:19" x14ac:dyDescent="0.25">
      <c r="B1112" s="4">
        <v>30040334</v>
      </c>
      <c r="C1112" s="1" t="s">
        <v>671</v>
      </c>
      <c r="D1112" s="4" t="s">
        <v>86</v>
      </c>
      <c r="E1112" s="3"/>
      <c r="F1112" s="3" t="s">
        <v>68</v>
      </c>
      <c r="G1112" s="4">
        <v>2</v>
      </c>
      <c r="H1112" s="4">
        <v>2</v>
      </c>
      <c r="I1112" s="4">
        <v>4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</row>
    <row r="1113" spans="2:19" x14ac:dyDescent="0.25">
      <c r="B1113" s="4">
        <v>30040335</v>
      </c>
      <c r="C1113" s="1" t="s">
        <v>672</v>
      </c>
      <c r="D1113" s="4" t="s">
        <v>86</v>
      </c>
      <c r="E1113" s="3"/>
      <c r="F1113" s="3" t="s">
        <v>68</v>
      </c>
      <c r="G1113" s="4">
        <v>6</v>
      </c>
      <c r="H1113" s="4">
        <v>10</v>
      </c>
      <c r="I1113" s="4">
        <v>12</v>
      </c>
      <c r="J1113" s="4" t="s">
        <v>8</v>
      </c>
      <c r="K1113" s="4" t="s">
        <v>7</v>
      </c>
      <c r="L1113" s="11"/>
      <c r="M1113" s="3"/>
      <c r="N1113"/>
      <c r="O1113" s="4"/>
      <c r="P1113" s="1"/>
      <c r="Q1113" s="22"/>
      <c r="R1113"/>
      <c r="S1113" s="11"/>
    </row>
    <row r="1114" spans="2:19" x14ac:dyDescent="0.25">
      <c r="B1114" s="4">
        <v>30040399</v>
      </c>
      <c r="C1114" s="1" t="s">
        <v>673</v>
      </c>
      <c r="D1114" s="4" t="s">
        <v>86</v>
      </c>
      <c r="E1114" s="3"/>
      <c r="F1114" s="3" t="s">
        <v>68</v>
      </c>
      <c r="G1114" s="4">
        <v>2</v>
      </c>
      <c r="H1114" s="4">
        <v>2</v>
      </c>
      <c r="I1114" s="4">
        <v>10</v>
      </c>
      <c r="J1114" s="4" t="s">
        <v>8</v>
      </c>
      <c r="K1114" s="4" t="s">
        <v>14</v>
      </c>
      <c r="L1114" s="11"/>
      <c r="M1114" s="3"/>
      <c r="N1114"/>
      <c r="O1114" s="4"/>
      <c r="P1114" s="1"/>
      <c r="Q1114" s="22"/>
      <c r="R1114"/>
      <c r="S1114" s="11"/>
    </row>
    <row r="1115" spans="2:19" x14ac:dyDescent="0.25">
      <c r="B1115" s="4">
        <v>30040401</v>
      </c>
      <c r="C1115" s="1" t="s">
        <v>674</v>
      </c>
      <c r="D1115" s="4" t="s">
        <v>86</v>
      </c>
      <c r="E1115" s="3"/>
      <c r="F1115" s="3" t="s">
        <v>68</v>
      </c>
      <c r="G1115" s="4">
        <v>2</v>
      </c>
      <c r="H1115" s="4">
        <v>3</v>
      </c>
      <c r="I1115" s="4">
        <v>4</v>
      </c>
      <c r="J1115" s="4" t="s">
        <v>8</v>
      </c>
      <c r="K1115" s="4" t="s">
        <v>7</v>
      </c>
      <c r="L1115" s="11"/>
      <c r="M1115" s="3"/>
      <c r="N1115"/>
      <c r="O1115" s="4"/>
      <c r="P1115" s="1"/>
      <c r="Q1115" s="22"/>
      <c r="R1115"/>
      <c r="S1115" s="11"/>
    </row>
    <row r="1116" spans="2:19" x14ac:dyDescent="0.25">
      <c r="B1116" s="4">
        <v>30040531</v>
      </c>
      <c r="C1116" s="1" t="s">
        <v>675</v>
      </c>
      <c r="D1116" s="4" t="s">
        <v>86</v>
      </c>
      <c r="E1116" s="3"/>
      <c r="F1116" s="3" t="s">
        <v>68</v>
      </c>
      <c r="G1116" s="4">
        <v>2</v>
      </c>
      <c r="H1116" s="4">
        <v>2</v>
      </c>
      <c r="I1116" s="4">
        <v>25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</row>
    <row r="1117" spans="2:19" x14ac:dyDescent="0.25">
      <c r="B1117" s="4">
        <v>30040533</v>
      </c>
      <c r="C1117" s="1" t="s">
        <v>676</v>
      </c>
      <c r="D1117" s="4" t="s">
        <v>86</v>
      </c>
      <c r="E1117" s="3"/>
      <c r="F1117" s="3" t="s">
        <v>68</v>
      </c>
      <c r="G1117" s="4">
        <v>2</v>
      </c>
      <c r="H1117" s="4">
        <v>2</v>
      </c>
      <c r="I1117" s="4">
        <v>2</v>
      </c>
      <c r="J1117" s="4" t="s">
        <v>8</v>
      </c>
      <c r="K1117" s="4" t="s">
        <v>7</v>
      </c>
      <c r="L1117" s="11"/>
      <c r="M1117" s="3"/>
      <c r="N1117"/>
      <c r="O1117" s="4"/>
      <c r="P1117" s="1"/>
      <c r="Q1117" s="22"/>
      <c r="R1117"/>
      <c r="S1117" s="11"/>
    </row>
    <row r="1118" spans="2:19" x14ac:dyDescent="0.25">
      <c r="B1118" s="4">
        <v>30040586</v>
      </c>
      <c r="C1118" s="1" t="s">
        <v>59</v>
      </c>
      <c r="D1118" s="4" t="s">
        <v>86</v>
      </c>
      <c r="E1118" s="3"/>
      <c r="F1118" s="3" t="s">
        <v>68</v>
      </c>
      <c r="G1118" s="4">
        <v>5</v>
      </c>
      <c r="H1118" s="4">
        <v>4</v>
      </c>
      <c r="I1118" s="4">
        <v>6</v>
      </c>
      <c r="J1118" s="4" t="s">
        <v>8</v>
      </c>
      <c r="K1118" s="4" t="s">
        <v>7</v>
      </c>
      <c r="L1118" s="11"/>
      <c r="M1118" s="3"/>
      <c r="N1118"/>
      <c r="O1118" s="4"/>
      <c r="P1118" s="1"/>
      <c r="Q1118" s="22"/>
      <c r="R1118"/>
      <c r="S1118" s="11"/>
    </row>
    <row r="1119" spans="2:19" x14ac:dyDescent="0.25">
      <c r="B1119" s="4">
        <v>30040587</v>
      </c>
      <c r="C1119" s="1" t="s">
        <v>60</v>
      </c>
      <c r="D1119" s="4" t="s">
        <v>86</v>
      </c>
      <c r="E1119" s="3"/>
      <c r="F1119" s="3" t="s">
        <v>68</v>
      </c>
      <c r="G1119" s="4">
        <v>5</v>
      </c>
      <c r="H1119" s="4">
        <v>4</v>
      </c>
      <c r="I1119" s="4">
        <v>7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</row>
    <row r="1120" spans="2:19" x14ac:dyDescent="0.25">
      <c r="B1120" s="4">
        <v>30040717</v>
      </c>
      <c r="C1120" s="1" t="s">
        <v>677</v>
      </c>
      <c r="D1120" s="4" t="s">
        <v>86</v>
      </c>
      <c r="E1120" s="3"/>
      <c r="F1120" s="3" t="s">
        <v>68</v>
      </c>
      <c r="G1120" s="4">
        <v>2</v>
      </c>
      <c r="H1120" s="4">
        <v>2</v>
      </c>
      <c r="I1120" s="4">
        <v>8</v>
      </c>
      <c r="J1120" s="4" t="s">
        <v>8</v>
      </c>
      <c r="K1120" s="4" t="s">
        <v>14</v>
      </c>
      <c r="L1120" s="11"/>
      <c r="M1120" s="3"/>
      <c r="N1120"/>
      <c r="O1120" s="4"/>
      <c r="P1120" s="1"/>
      <c r="Q1120" s="22"/>
      <c r="R1120"/>
      <c r="S1120" s="11"/>
    </row>
    <row r="1121" spans="2:19" x14ac:dyDescent="0.25">
      <c r="B1121" s="4">
        <v>30040761</v>
      </c>
      <c r="C1121" s="1" t="s">
        <v>678</v>
      </c>
      <c r="D1121" s="4" t="s">
        <v>86</v>
      </c>
      <c r="E1121" s="3"/>
      <c r="F1121" s="3" t="s">
        <v>68</v>
      </c>
      <c r="G1121" s="4">
        <v>3</v>
      </c>
      <c r="H1121" s="4">
        <v>5</v>
      </c>
      <c r="I1121" s="4">
        <v>17</v>
      </c>
      <c r="J1121" s="4" t="s">
        <v>8</v>
      </c>
      <c r="K1121" s="4" t="s">
        <v>14</v>
      </c>
      <c r="L1121" s="11"/>
      <c r="M1121" s="3"/>
      <c r="N1121"/>
      <c r="O1121" s="4"/>
      <c r="P1121" s="1"/>
      <c r="Q1121" s="22"/>
      <c r="R1121"/>
      <c r="S1121" s="11"/>
    </row>
    <row r="1122" spans="2:19" x14ac:dyDescent="0.25">
      <c r="B1122" s="4">
        <v>30040762</v>
      </c>
      <c r="C1122" s="1" t="s">
        <v>679</v>
      </c>
      <c r="D1122" s="4" t="s">
        <v>86</v>
      </c>
      <c r="E1122" s="3"/>
      <c r="F1122" s="3" t="s">
        <v>68</v>
      </c>
      <c r="G1122" s="4">
        <v>2</v>
      </c>
      <c r="H1122" s="4">
        <v>3</v>
      </c>
      <c r="I1122" s="4">
        <v>10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</row>
    <row r="1123" spans="2:19" x14ac:dyDescent="0.25">
      <c r="B1123" s="4">
        <v>30040974</v>
      </c>
      <c r="C1123" s="1" t="s">
        <v>680</v>
      </c>
      <c r="D1123" s="4" t="s">
        <v>86</v>
      </c>
      <c r="E1123" s="3"/>
      <c r="F1123" s="3" t="s">
        <v>68</v>
      </c>
      <c r="G1123" s="4">
        <v>15</v>
      </c>
      <c r="H1123" s="4">
        <v>25</v>
      </c>
      <c r="I1123" s="4">
        <v>15</v>
      </c>
      <c r="J1123" s="4" t="s">
        <v>8</v>
      </c>
      <c r="K1123" s="4" t="s">
        <v>7</v>
      </c>
      <c r="L1123" s="11"/>
      <c r="M1123" s="3"/>
      <c r="N1123"/>
      <c r="O1123" s="4"/>
      <c r="P1123" s="1"/>
      <c r="Q1123" s="22"/>
      <c r="R1123"/>
      <c r="S1123" s="11"/>
    </row>
    <row r="1124" spans="2:19" x14ac:dyDescent="0.25">
      <c r="B1124" s="4">
        <v>30040976</v>
      </c>
      <c r="C1124" s="1" t="s">
        <v>681</v>
      </c>
      <c r="D1124" s="4" t="s">
        <v>86</v>
      </c>
      <c r="E1124" s="3"/>
      <c r="F1124" s="3" t="s">
        <v>68</v>
      </c>
      <c r="G1124" s="4">
        <v>6</v>
      </c>
      <c r="H1124" s="4">
        <v>6</v>
      </c>
      <c r="I1124" s="4">
        <v>7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</row>
    <row r="1125" spans="2:19" x14ac:dyDescent="0.25">
      <c r="B1125" s="4">
        <v>30041021</v>
      </c>
      <c r="C1125" s="1" t="s">
        <v>682</v>
      </c>
      <c r="D1125" s="4" t="s">
        <v>86</v>
      </c>
      <c r="E1125" s="3"/>
      <c r="F1125" s="3" t="s">
        <v>68</v>
      </c>
      <c r="G1125" s="4">
        <v>2</v>
      </c>
      <c r="H1125" s="4">
        <v>2</v>
      </c>
      <c r="I1125" s="4">
        <v>2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</row>
    <row r="1126" spans="2:19" x14ac:dyDescent="0.25">
      <c r="B1126" s="4">
        <v>30041025</v>
      </c>
      <c r="C1126" s="1" t="s">
        <v>1539</v>
      </c>
      <c r="D1126" s="4" t="s">
        <v>86</v>
      </c>
      <c r="E1126" s="3"/>
      <c r="F1126" s="3" t="s">
        <v>68</v>
      </c>
      <c r="G1126" s="4">
        <v>2</v>
      </c>
      <c r="H1126" s="4">
        <v>1</v>
      </c>
      <c r="I1126" s="4">
        <v>2</v>
      </c>
      <c r="J1126" s="4" t="s">
        <v>8</v>
      </c>
      <c r="K1126" s="4" t="s">
        <v>7</v>
      </c>
      <c r="L1126" s="11"/>
      <c r="M1126" s="3"/>
      <c r="N1126"/>
      <c r="O1126" s="4"/>
      <c r="P1126" s="1"/>
      <c r="Q1126" s="22"/>
      <c r="R1126"/>
      <c r="S1126" s="11"/>
    </row>
    <row r="1127" spans="2:19" x14ac:dyDescent="0.25">
      <c r="B1127" s="72">
        <v>30041026</v>
      </c>
      <c r="C1127" s="73" t="s">
        <v>1540</v>
      </c>
      <c r="D1127" s="4" t="s">
        <v>86</v>
      </c>
      <c r="E1127" s="3"/>
      <c r="F1127" s="3" t="s">
        <v>68</v>
      </c>
      <c r="G1127" s="4">
        <v>10</v>
      </c>
      <c r="H1127" s="4">
        <v>5</v>
      </c>
      <c r="I1127" s="4">
        <v>15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</row>
    <row r="1128" spans="2:19" x14ac:dyDescent="0.25">
      <c r="B1128" s="4">
        <v>30041029</v>
      </c>
      <c r="C1128" s="1" t="s">
        <v>683</v>
      </c>
      <c r="D1128" s="4" t="s">
        <v>86</v>
      </c>
      <c r="E1128" s="3"/>
      <c r="F1128" s="3" t="s">
        <v>68</v>
      </c>
      <c r="G1128" s="4">
        <v>20</v>
      </c>
      <c r="H1128" s="4">
        <v>10</v>
      </c>
      <c r="I1128" s="4">
        <v>0</v>
      </c>
      <c r="J1128" s="4" t="s">
        <v>8</v>
      </c>
      <c r="K1128" s="4" t="s">
        <v>13</v>
      </c>
      <c r="L1128" s="11"/>
      <c r="M1128" s="3"/>
      <c r="N1128">
        <v>4502503608</v>
      </c>
      <c r="O1128" s="4">
        <v>20</v>
      </c>
      <c r="P1128" s="1" t="s">
        <v>1519</v>
      </c>
      <c r="Q1128" s="22">
        <v>45758</v>
      </c>
      <c r="R1128"/>
      <c r="S1128" s="11" t="s">
        <v>1597</v>
      </c>
    </row>
    <row r="1129" spans="2:19" x14ac:dyDescent="0.25">
      <c r="B1129" s="4">
        <v>30041335</v>
      </c>
      <c r="C1129" s="1" t="s">
        <v>1523</v>
      </c>
      <c r="D1129" s="4" t="s">
        <v>86</v>
      </c>
      <c r="E1129" s="3"/>
      <c r="F1129" s="3" t="s">
        <v>68</v>
      </c>
      <c r="G1129" s="4">
        <v>4</v>
      </c>
      <c r="H1129" s="4">
        <v>2</v>
      </c>
      <c r="I1129" s="4">
        <v>1</v>
      </c>
      <c r="J1129" s="4" t="s">
        <v>8</v>
      </c>
      <c r="K1129" s="4" t="s">
        <v>9</v>
      </c>
      <c r="L1129" s="11"/>
      <c r="M1129" s="3"/>
      <c r="N1129">
        <v>4502677977</v>
      </c>
      <c r="O1129" s="4">
        <v>3</v>
      </c>
      <c r="P1129" s="1" t="s">
        <v>1605</v>
      </c>
      <c r="Q1129" s="22">
        <v>46230</v>
      </c>
      <c r="R1129"/>
      <c r="S1129" s="11"/>
    </row>
    <row r="1130" spans="2:19" x14ac:dyDescent="0.25">
      <c r="B1130" s="4">
        <v>30041344</v>
      </c>
      <c r="C1130" s="1" t="s">
        <v>684</v>
      </c>
      <c r="D1130" s="4" t="s">
        <v>86</v>
      </c>
      <c r="E1130" s="3"/>
      <c r="F1130" s="3" t="s">
        <v>68</v>
      </c>
      <c r="G1130" s="4">
        <v>2</v>
      </c>
      <c r="H1130" s="4">
        <v>3</v>
      </c>
      <c r="I1130" s="4">
        <v>7</v>
      </c>
      <c r="J1130" s="4" t="s">
        <v>8</v>
      </c>
      <c r="K1130" s="4" t="s">
        <v>14</v>
      </c>
      <c r="L1130" s="11"/>
      <c r="M1130" s="3"/>
      <c r="N1130"/>
      <c r="O1130" s="4"/>
      <c r="P1130" s="1"/>
      <c r="Q1130" s="22"/>
      <c r="R1130"/>
      <c r="S1130" s="11"/>
    </row>
    <row r="1131" spans="2:19" x14ac:dyDescent="0.25">
      <c r="B1131" s="4">
        <v>30041725</v>
      </c>
      <c r="C1131" s="1" t="s">
        <v>685</v>
      </c>
      <c r="D1131" s="4" t="s">
        <v>86</v>
      </c>
      <c r="E1131" s="3"/>
      <c r="F1131" s="3" t="s">
        <v>68</v>
      </c>
      <c r="G1131" s="4">
        <v>2</v>
      </c>
      <c r="H1131" s="4">
        <v>2</v>
      </c>
      <c r="I1131" s="4">
        <v>2</v>
      </c>
      <c r="J1131" s="4" t="s">
        <v>8</v>
      </c>
      <c r="K1131" s="4" t="s">
        <v>7</v>
      </c>
      <c r="L1131" s="11"/>
      <c r="M1131" s="3"/>
      <c r="N1131"/>
      <c r="O1131" s="4"/>
      <c r="P1131" s="1"/>
      <c r="Q1131" s="22"/>
      <c r="R1131"/>
      <c r="S1131" s="11"/>
    </row>
    <row r="1132" spans="2:19" x14ac:dyDescent="0.25">
      <c r="B1132" s="4">
        <v>30041726</v>
      </c>
      <c r="C1132" s="1" t="s">
        <v>686</v>
      </c>
      <c r="D1132" s="4" t="s">
        <v>86</v>
      </c>
      <c r="E1132" s="3"/>
      <c r="F1132" s="3" t="s">
        <v>68</v>
      </c>
      <c r="G1132" s="4">
        <v>2</v>
      </c>
      <c r="H1132" s="4">
        <v>3</v>
      </c>
      <c r="I1132" s="4">
        <v>3</v>
      </c>
      <c r="J1132" s="4" t="s">
        <v>8</v>
      </c>
      <c r="K1132" s="4" t="s">
        <v>7</v>
      </c>
      <c r="L1132" s="11"/>
      <c r="M1132" s="3"/>
      <c r="N1132"/>
      <c r="O1132" s="4"/>
      <c r="P1132" s="1"/>
      <c r="Q1132" s="22"/>
      <c r="R1132"/>
      <c r="S1132" s="11"/>
    </row>
    <row r="1133" spans="2:19" x14ac:dyDescent="0.25">
      <c r="B1133" s="4">
        <v>30041727</v>
      </c>
      <c r="C1133" s="1" t="s">
        <v>687</v>
      </c>
      <c r="D1133" s="4" t="s">
        <v>86</v>
      </c>
      <c r="E1133" s="3"/>
      <c r="F1133" s="3" t="s">
        <v>68</v>
      </c>
      <c r="G1133" s="4">
        <v>2</v>
      </c>
      <c r="H1133" s="4">
        <v>3</v>
      </c>
      <c r="I1133" s="4">
        <v>3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</row>
    <row r="1134" spans="2:19" x14ac:dyDescent="0.25">
      <c r="B1134" s="4">
        <v>30041798</v>
      </c>
      <c r="C1134" s="1" t="s">
        <v>688</v>
      </c>
      <c r="D1134" s="4" t="s">
        <v>86</v>
      </c>
      <c r="E1134" s="3"/>
      <c r="F1134" s="3" t="s">
        <v>68</v>
      </c>
      <c r="G1134" s="4">
        <v>10</v>
      </c>
      <c r="H1134" s="4">
        <v>15</v>
      </c>
      <c r="I1134" s="4">
        <v>7</v>
      </c>
      <c r="J1134" s="4" t="s">
        <v>8</v>
      </c>
      <c r="K1134" s="4" t="s">
        <v>9</v>
      </c>
      <c r="L1134" s="11" t="s">
        <v>1672</v>
      </c>
      <c r="M1134" s="3">
        <v>15</v>
      </c>
      <c r="N1134"/>
      <c r="O1134" s="4"/>
      <c r="P1134" s="1"/>
      <c r="Q1134" s="22"/>
      <c r="R1134"/>
      <c r="S1134" s="11"/>
    </row>
    <row r="1135" spans="2:19" x14ac:dyDescent="0.25">
      <c r="B1135" s="4">
        <v>30041812</v>
      </c>
      <c r="C1135" s="1" t="s">
        <v>689</v>
      </c>
      <c r="D1135" s="4" t="s">
        <v>86</v>
      </c>
      <c r="E1135" s="3"/>
      <c r="F1135" s="3" t="s">
        <v>68</v>
      </c>
      <c r="G1135" s="4">
        <v>12</v>
      </c>
      <c r="H1135" s="4">
        <v>20</v>
      </c>
      <c r="I1135" s="4">
        <v>47</v>
      </c>
      <c r="J1135" s="4" t="s">
        <v>8</v>
      </c>
      <c r="K1135" s="4" t="s">
        <v>14</v>
      </c>
      <c r="L1135" s="69"/>
      <c r="M1135" s="3"/>
      <c r="N1135"/>
      <c r="O1135" s="4"/>
      <c r="P1135" s="1"/>
      <c r="Q1135" s="22"/>
      <c r="R1135"/>
      <c r="S1135" s="11"/>
    </row>
    <row r="1136" spans="2:19" x14ac:dyDescent="0.25">
      <c r="B1136" s="4">
        <v>30042073</v>
      </c>
      <c r="C1136" s="1" t="s">
        <v>690</v>
      </c>
      <c r="D1136" s="4" t="s">
        <v>86</v>
      </c>
      <c r="E1136" s="3"/>
      <c r="F1136" s="3" t="s">
        <v>68</v>
      </c>
      <c r="G1136" s="4">
        <v>1</v>
      </c>
      <c r="H1136" s="4">
        <v>1</v>
      </c>
      <c r="I1136" s="4">
        <v>1</v>
      </c>
      <c r="J1136" s="4" t="s">
        <v>8</v>
      </c>
      <c r="K1136" s="4" t="s">
        <v>7</v>
      </c>
      <c r="L1136" s="11"/>
      <c r="M1136" s="3"/>
      <c r="N1136"/>
      <c r="O1136" s="4"/>
      <c r="P1136" s="1"/>
      <c r="Q1136" s="22"/>
      <c r="R1136"/>
      <c r="S1136" s="11"/>
    </row>
    <row r="1137" spans="2:19" x14ac:dyDescent="0.25">
      <c r="B1137" s="4">
        <v>30042134</v>
      </c>
      <c r="C1137" s="1" t="s">
        <v>1260</v>
      </c>
      <c r="D1137" s="4" t="s">
        <v>86</v>
      </c>
      <c r="E1137" s="3" t="s">
        <v>1225</v>
      </c>
      <c r="F1137" s="3" t="s">
        <v>102</v>
      </c>
      <c r="G1137" s="4">
        <v>4</v>
      </c>
      <c r="H1137" s="4">
        <v>3</v>
      </c>
      <c r="I1137" s="4">
        <v>5</v>
      </c>
      <c r="J1137" s="4" t="s">
        <v>8</v>
      </c>
      <c r="K1137" s="4" t="s">
        <v>7</v>
      </c>
      <c r="L1137" s="11"/>
      <c r="M1137" s="3"/>
      <c r="N1137"/>
      <c r="O1137" s="4"/>
      <c r="P1137" s="1"/>
      <c r="Q1137" s="22"/>
      <c r="R1137"/>
      <c r="S1137" s="11"/>
    </row>
    <row r="1138" spans="2:19" x14ac:dyDescent="0.25">
      <c r="B1138" s="4">
        <v>30042139</v>
      </c>
      <c r="C1138" s="1" t="s">
        <v>691</v>
      </c>
      <c r="D1138" s="4" t="s">
        <v>86</v>
      </c>
      <c r="E1138" s="3"/>
      <c r="F1138" s="3" t="s">
        <v>68</v>
      </c>
      <c r="G1138" s="4">
        <v>5</v>
      </c>
      <c r="H1138" s="4">
        <v>8</v>
      </c>
      <c r="I1138" s="4">
        <v>134</v>
      </c>
      <c r="J1138" s="4" t="s">
        <v>8</v>
      </c>
      <c r="K1138" s="4" t="s">
        <v>14</v>
      </c>
      <c r="L1138" s="11"/>
      <c r="M1138" s="3"/>
      <c r="N1138"/>
      <c r="O1138" s="4"/>
      <c r="P1138" s="1"/>
      <c r="Q1138" s="22"/>
      <c r="R1138"/>
      <c r="S1138" s="11"/>
    </row>
    <row r="1139" spans="2:19" x14ac:dyDescent="0.25">
      <c r="B1139" s="4">
        <v>30042699</v>
      </c>
      <c r="C1139" s="1" t="s">
        <v>791</v>
      </c>
      <c r="D1139" s="4" t="s">
        <v>86</v>
      </c>
      <c r="E1139" s="3"/>
      <c r="F1139" s="3" t="s">
        <v>68</v>
      </c>
      <c r="G1139" s="4">
        <v>20</v>
      </c>
      <c r="H1139" s="4">
        <v>30</v>
      </c>
      <c r="I1139" s="4">
        <v>46</v>
      </c>
      <c r="J1139" s="4" t="s">
        <v>8</v>
      </c>
      <c r="K1139" s="4" t="s">
        <v>7</v>
      </c>
      <c r="L1139" s="11"/>
      <c r="M1139" s="3"/>
      <c r="N1139"/>
      <c r="O1139" s="4"/>
      <c r="P1139" s="1"/>
      <c r="Q1139" s="22"/>
      <c r="R1139"/>
      <c r="S1139" s="11"/>
    </row>
    <row r="1140" spans="2:19" x14ac:dyDescent="0.25">
      <c r="B1140" s="4">
        <v>30042701</v>
      </c>
      <c r="C1140" s="1" t="s">
        <v>692</v>
      </c>
      <c r="D1140" s="4" t="s">
        <v>86</v>
      </c>
      <c r="E1140" s="3"/>
      <c r="F1140" s="3" t="s">
        <v>68</v>
      </c>
      <c r="G1140" s="4">
        <v>4</v>
      </c>
      <c r="H1140" s="4">
        <v>10</v>
      </c>
      <c r="I1140" s="4">
        <v>5</v>
      </c>
      <c r="J1140" s="4" t="s">
        <v>8</v>
      </c>
      <c r="K1140" s="4" t="s">
        <v>7</v>
      </c>
      <c r="L1140" s="11"/>
      <c r="M1140" s="3"/>
      <c r="N1140"/>
      <c r="O1140" s="4"/>
      <c r="P1140" s="1"/>
      <c r="Q1140" s="22"/>
      <c r="R1140"/>
      <c r="S1140" s="11"/>
    </row>
    <row r="1141" spans="2:19" x14ac:dyDescent="0.25">
      <c r="B1141" s="4">
        <v>30042934</v>
      </c>
      <c r="C1141" s="1" t="s">
        <v>693</v>
      </c>
      <c r="D1141" s="4" t="s">
        <v>86</v>
      </c>
      <c r="E1141" s="3"/>
      <c r="F1141" s="3" t="s">
        <v>68</v>
      </c>
      <c r="G1141" s="4">
        <v>3</v>
      </c>
      <c r="H1141" s="4">
        <v>2</v>
      </c>
      <c r="I1141" s="4">
        <v>1</v>
      </c>
      <c r="J1141" s="4" t="s">
        <v>8</v>
      </c>
      <c r="K1141" s="4" t="s">
        <v>9</v>
      </c>
      <c r="L1141" s="11">
        <v>1002631449</v>
      </c>
      <c r="M1141" s="3">
        <v>3</v>
      </c>
      <c r="N1141"/>
      <c r="O1141" s="4"/>
      <c r="P1141" s="1"/>
      <c r="Q1141" s="22"/>
      <c r="R1141"/>
      <c r="S1141" s="11" t="s">
        <v>1632</v>
      </c>
    </row>
    <row r="1142" spans="2:19" x14ac:dyDescent="0.25">
      <c r="B1142" s="4">
        <v>30042935</v>
      </c>
      <c r="C1142" s="1" t="s">
        <v>694</v>
      </c>
      <c r="D1142" s="4" t="s">
        <v>86</v>
      </c>
      <c r="E1142" s="3"/>
      <c r="F1142" s="3" t="s">
        <v>68</v>
      </c>
      <c r="G1142" s="4">
        <v>2</v>
      </c>
      <c r="H1142" s="4">
        <v>1</v>
      </c>
      <c r="I1142" s="4">
        <v>5</v>
      </c>
      <c r="J1142" s="4" t="s">
        <v>8</v>
      </c>
      <c r="K1142" s="4" t="s">
        <v>14</v>
      </c>
      <c r="L1142" s="11"/>
      <c r="M1142" s="3"/>
      <c r="N1142"/>
      <c r="O1142" s="4"/>
      <c r="P1142" s="1"/>
      <c r="Q1142" s="22"/>
      <c r="R1142"/>
      <c r="S1142" s="11"/>
    </row>
    <row r="1143" spans="2:19" x14ac:dyDescent="0.25">
      <c r="B1143" s="4">
        <v>30042937</v>
      </c>
      <c r="C1143" s="1" t="s">
        <v>1541</v>
      </c>
      <c r="D1143" s="4" t="s">
        <v>86</v>
      </c>
      <c r="E1143" s="3"/>
      <c r="F1143" s="3" t="s">
        <v>68</v>
      </c>
      <c r="G1143" s="4">
        <v>2</v>
      </c>
      <c r="H1143" s="4">
        <v>1</v>
      </c>
      <c r="I1143" s="4">
        <v>4</v>
      </c>
      <c r="J1143" s="4" t="s">
        <v>8</v>
      </c>
      <c r="K1143" s="4" t="s">
        <v>14</v>
      </c>
      <c r="L1143" s="11"/>
      <c r="M1143" s="3"/>
      <c r="N1143"/>
      <c r="O1143" s="4"/>
      <c r="P1143" s="1"/>
      <c r="Q1143" s="22"/>
      <c r="R1143"/>
      <c r="S1143" s="11"/>
    </row>
    <row r="1144" spans="2:19" x14ac:dyDescent="0.25">
      <c r="B1144" s="4">
        <v>30042938</v>
      </c>
      <c r="C1144" s="1" t="s">
        <v>695</v>
      </c>
      <c r="D1144" s="4" t="s">
        <v>86</v>
      </c>
      <c r="E1144" s="3"/>
      <c r="F1144" s="3" t="s">
        <v>68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</row>
    <row r="1145" spans="2:19" x14ac:dyDescent="0.25">
      <c r="B1145" s="4">
        <v>30042939</v>
      </c>
      <c r="C1145" s="1" t="s">
        <v>696</v>
      </c>
      <c r="D1145" s="4" t="s">
        <v>86</v>
      </c>
      <c r="E1145" s="3"/>
      <c r="F1145" s="3" t="s">
        <v>68</v>
      </c>
      <c r="G1145" s="4">
        <v>2</v>
      </c>
      <c r="H1145" s="4">
        <v>3</v>
      </c>
      <c r="I1145" s="4">
        <v>5</v>
      </c>
      <c r="J1145" s="4" t="s">
        <v>8</v>
      </c>
      <c r="K1145" s="4" t="s">
        <v>7</v>
      </c>
      <c r="L1145" s="11"/>
      <c r="M1145" s="3"/>
      <c r="N1145"/>
      <c r="O1145" s="4"/>
      <c r="P1145" s="1"/>
      <c r="Q1145" s="22"/>
      <c r="R1145"/>
      <c r="S1145" s="11"/>
    </row>
    <row r="1146" spans="2:19" x14ac:dyDescent="0.25">
      <c r="B1146" s="4">
        <v>30042940</v>
      </c>
      <c r="C1146" s="1" t="s">
        <v>1542</v>
      </c>
      <c r="D1146" s="4" t="s">
        <v>86</v>
      </c>
      <c r="E1146" s="3"/>
      <c r="F1146" s="3" t="s">
        <v>68</v>
      </c>
      <c r="G1146" s="4">
        <v>2</v>
      </c>
      <c r="H1146" s="4">
        <v>1</v>
      </c>
      <c r="I1146" s="4">
        <v>11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</row>
    <row r="1147" spans="2:19" x14ac:dyDescent="0.25">
      <c r="B1147" s="4">
        <v>30042942</v>
      </c>
      <c r="C1147" s="1" t="s">
        <v>1543</v>
      </c>
      <c r="D1147" s="4" t="s">
        <v>86</v>
      </c>
      <c r="E1147" s="3"/>
      <c r="F1147" s="3" t="s">
        <v>68</v>
      </c>
      <c r="G1147" s="4">
        <v>2</v>
      </c>
      <c r="H1147" s="4">
        <v>1</v>
      </c>
      <c r="I1147" s="4">
        <v>20</v>
      </c>
      <c r="J1147" s="4" t="s">
        <v>8</v>
      </c>
      <c r="K1147" s="4" t="s">
        <v>14</v>
      </c>
      <c r="L1147" s="11"/>
      <c r="M1147" s="3"/>
      <c r="N1147"/>
      <c r="O1147" s="4"/>
      <c r="P1147" s="1"/>
      <c r="Q1147" s="22"/>
      <c r="R1147"/>
      <c r="S1147" s="11"/>
    </row>
    <row r="1148" spans="2:19" x14ac:dyDescent="0.25">
      <c r="B1148" s="4">
        <v>30042943</v>
      </c>
      <c r="C1148" s="1" t="s">
        <v>61</v>
      </c>
      <c r="D1148" s="4" t="s">
        <v>86</v>
      </c>
      <c r="E1148" s="3"/>
      <c r="F1148" s="3" t="s">
        <v>68</v>
      </c>
      <c r="G1148" s="4">
        <v>2</v>
      </c>
      <c r="H1148" s="4">
        <v>1</v>
      </c>
      <c r="I1148" s="4">
        <v>28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</row>
    <row r="1149" spans="2:19" x14ac:dyDescent="0.25">
      <c r="B1149" s="4">
        <v>30042944</v>
      </c>
      <c r="C1149" s="1" t="s">
        <v>1269</v>
      </c>
      <c r="D1149" s="4" t="s">
        <v>86</v>
      </c>
      <c r="E1149" s="3"/>
      <c r="F1149" s="3" t="s">
        <v>68</v>
      </c>
      <c r="G1149" s="4">
        <v>5</v>
      </c>
      <c r="H1149" s="4">
        <v>3</v>
      </c>
      <c r="I1149" s="4">
        <v>10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 t="s">
        <v>1598</v>
      </c>
    </row>
    <row r="1150" spans="2:19" x14ac:dyDescent="0.25">
      <c r="B1150" s="4">
        <v>30042945</v>
      </c>
      <c r="C1150" s="1" t="s">
        <v>697</v>
      </c>
      <c r="D1150" s="4" t="s">
        <v>86</v>
      </c>
      <c r="E1150" s="3"/>
      <c r="F1150" s="3" t="s">
        <v>68</v>
      </c>
      <c r="G1150" s="4">
        <v>2</v>
      </c>
      <c r="H1150" s="4">
        <v>3</v>
      </c>
      <c r="I1150" s="4">
        <v>8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</row>
    <row r="1151" spans="2:19" x14ac:dyDescent="0.25">
      <c r="B1151" s="4">
        <v>30042946</v>
      </c>
      <c r="C1151" s="1" t="s">
        <v>698</v>
      </c>
      <c r="D1151" s="4" t="s">
        <v>86</v>
      </c>
      <c r="E1151" s="3"/>
      <c r="F1151" s="3" t="s">
        <v>68</v>
      </c>
      <c r="G1151" s="4">
        <v>3</v>
      </c>
      <c r="H1151" s="4">
        <v>5</v>
      </c>
      <c r="I1151" s="4">
        <v>9</v>
      </c>
      <c r="J1151" s="4" t="s">
        <v>8</v>
      </c>
      <c r="K1151" s="4" t="s">
        <v>14</v>
      </c>
      <c r="L1151" s="11"/>
      <c r="M1151" s="3"/>
      <c r="N1151"/>
      <c r="O1151" s="4"/>
      <c r="P1151" s="1"/>
      <c r="Q1151" s="22"/>
      <c r="R1151"/>
      <c r="S1151" s="11"/>
    </row>
    <row r="1152" spans="2:19" x14ac:dyDescent="0.25">
      <c r="B1152" s="4">
        <v>30042947</v>
      </c>
      <c r="C1152" s="1" t="s">
        <v>62</v>
      </c>
      <c r="D1152" s="4" t="s">
        <v>86</v>
      </c>
      <c r="E1152" s="3"/>
      <c r="F1152" s="3" t="s">
        <v>68</v>
      </c>
      <c r="G1152" s="4">
        <v>2</v>
      </c>
      <c r="H1152" s="4">
        <v>1</v>
      </c>
      <c r="I1152" s="4">
        <v>7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</row>
    <row r="1153" spans="2:19" x14ac:dyDescent="0.25">
      <c r="B1153" s="4">
        <v>30042948</v>
      </c>
      <c r="C1153" s="1" t="s">
        <v>1544</v>
      </c>
      <c r="D1153" s="4" t="s">
        <v>86</v>
      </c>
      <c r="E1153" s="3"/>
      <c r="F1153" s="3" t="s">
        <v>68</v>
      </c>
      <c r="G1153" s="4">
        <v>2</v>
      </c>
      <c r="H1153" s="4">
        <v>1</v>
      </c>
      <c r="I1153" s="4">
        <v>16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</row>
    <row r="1154" spans="2:19" x14ac:dyDescent="0.25">
      <c r="B1154" s="4">
        <v>30042949</v>
      </c>
      <c r="C1154" s="1" t="s">
        <v>699</v>
      </c>
      <c r="D1154" s="4" t="s">
        <v>86</v>
      </c>
      <c r="E1154" s="3"/>
      <c r="F1154" s="3" t="s">
        <v>68</v>
      </c>
      <c r="G1154" s="4">
        <v>2</v>
      </c>
      <c r="H1154" s="4">
        <v>3</v>
      </c>
      <c r="I1154" s="4">
        <v>5</v>
      </c>
      <c r="J1154" s="4" t="s">
        <v>8</v>
      </c>
      <c r="K1154" s="4" t="s">
        <v>7</v>
      </c>
      <c r="L1154" s="11"/>
      <c r="M1154" s="3"/>
      <c r="N1154"/>
      <c r="O1154" s="4"/>
      <c r="P1154" s="1"/>
      <c r="Q1154" s="22"/>
      <c r="R1154"/>
      <c r="S1154" s="11"/>
    </row>
    <row r="1155" spans="2:19" x14ac:dyDescent="0.25">
      <c r="B1155" s="4">
        <v>30042950</v>
      </c>
      <c r="C1155" s="1" t="s">
        <v>1545</v>
      </c>
      <c r="D1155" s="4" t="s">
        <v>86</v>
      </c>
      <c r="E1155" s="3"/>
      <c r="F1155" s="3" t="s">
        <v>68</v>
      </c>
      <c r="G1155" s="4">
        <v>2</v>
      </c>
      <c r="H1155" s="4">
        <v>1</v>
      </c>
      <c r="I1155" s="4">
        <v>10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</row>
    <row r="1156" spans="2:19" x14ac:dyDescent="0.25">
      <c r="B1156" s="4">
        <v>30042951</v>
      </c>
      <c r="C1156" s="1" t="s">
        <v>700</v>
      </c>
      <c r="D1156" s="4" t="s">
        <v>86</v>
      </c>
      <c r="E1156" s="3"/>
      <c r="F1156" s="3" t="s">
        <v>68</v>
      </c>
      <c r="G1156" s="4">
        <v>2</v>
      </c>
      <c r="H1156" s="4">
        <v>1</v>
      </c>
      <c r="I1156" s="4">
        <v>9</v>
      </c>
      <c r="J1156" s="4" t="s">
        <v>8</v>
      </c>
      <c r="K1156" s="4" t="s">
        <v>14</v>
      </c>
      <c r="L1156" s="11"/>
      <c r="M1156" s="3"/>
      <c r="N1156"/>
      <c r="O1156" s="4"/>
      <c r="P1156" s="1"/>
      <c r="Q1156" s="22"/>
      <c r="R1156"/>
      <c r="S1156" s="11" t="s">
        <v>1599</v>
      </c>
    </row>
    <row r="1157" spans="2:19" x14ac:dyDescent="0.25">
      <c r="B1157" s="4">
        <v>30042953</v>
      </c>
      <c r="C1157" s="1" t="s">
        <v>63</v>
      </c>
      <c r="D1157" s="4" t="s">
        <v>86</v>
      </c>
      <c r="E1157" s="3"/>
      <c r="F1157" s="3" t="s">
        <v>68</v>
      </c>
      <c r="G1157" s="4">
        <v>2</v>
      </c>
      <c r="H1157" s="4">
        <v>1</v>
      </c>
      <c r="I1157" s="4">
        <v>3</v>
      </c>
      <c r="J1157" s="4" t="s">
        <v>8</v>
      </c>
      <c r="K1157" s="4" t="s">
        <v>7</v>
      </c>
      <c r="L1157" s="11"/>
      <c r="M1157" s="3"/>
      <c r="N1157"/>
      <c r="O1157" s="4"/>
      <c r="P1157" s="1"/>
      <c r="Q1157" s="22"/>
      <c r="R1157"/>
      <c r="S1157" s="11"/>
    </row>
    <row r="1158" spans="2:19" x14ac:dyDescent="0.25">
      <c r="B1158" s="4">
        <v>30042954</v>
      </c>
      <c r="C1158" s="1" t="s">
        <v>1546</v>
      </c>
      <c r="D1158" s="4" t="s">
        <v>86</v>
      </c>
      <c r="E1158" s="3"/>
      <c r="F1158" s="3" t="s">
        <v>68</v>
      </c>
      <c r="G1158" s="4">
        <v>4</v>
      </c>
      <c r="H1158" s="4">
        <v>2</v>
      </c>
      <c r="I1158" s="4">
        <v>6</v>
      </c>
      <c r="J1158" s="4" t="s">
        <v>8</v>
      </c>
      <c r="K1158" s="4" t="s">
        <v>7</v>
      </c>
      <c r="L1158" s="11"/>
      <c r="M1158" s="3"/>
      <c r="N1158"/>
      <c r="O1158" s="4"/>
      <c r="P1158" s="1"/>
      <c r="Q1158" s="22"/>
      <c r="R1158"/>
      <c r="S1158" s="11"/>
    </row>
    <row r="1159" spans="2:19" x14ac:dyDescent="0.25">
      <c r="B1159" s="4">
        <v>30042955</v>
      </c>
      <c r="C1159" s="1" t="s">
        <v>701</v>
      </c>
      <c r="D1159" s="4" t="s">
        <v>86</v>
      </c>
      <c r="E1159" s="3"/>
      <c r="F1159" s="3" t="s">
        <v>68</v>
      </c>
      <c r="G1159" s="4">
        <v>3</v>
      </c>
      <c r="H1159" s="4">
        <v>5</v>
      </c>
      <c r="I1159" s="4">
        <v>6</v>
      </c>
      <c r="J1159" s="4" t="s">
        <v>8</v>
      </c>
      <c r="K1159" s="4" t="s">
        <v>7</v>
      </c>
      <c r="L1159" s="11"/>
      <c r="M1159" s="3"/>
      <c r="N1159"/>
      <c r="O1159" s="4"/>
      <c r="P1159" s="1"/>
      <c r="Q1159" s="22"/>
      <c r="R1159"/>
      <c r="S1159" s="11"/>
    </row>
    <row r="1160" spans="2:19" x14ac:dyDescent="0.25">
      <c r="B1160" s="4">
        <v>30042956</v>
      </c>
      <c r="C1160" s="1" t="s">
        <v>702</v>
      </c>
      <c r="D1160" s="4" t="s">
        <v>86</v>
      </c>
      <c r="E1160" s="3"/>
      <c r="F1160" s="3" t="s">
        <v>68</v>
      </c>
      <c r="G1160" s="4">
        <v>3</v>
      </c>
      <c r="H1160" s="4">
        <v>5</v>
      </c>
      <c r="I1160" s="4">
        <v>8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</row>
    <row r="1161" spans="2:19" x14ac:dyDescent="0.25">
      <c r="B1161" s="4">
        <v>30042957</v>
      </c>
      <c r="C1161" s="1" t="s">
        <v>1547</v>
      </c>
      <c r="D1161" s="4" t="s">
        <v>86</v>
      </c>
      <c r="E1161" s="3"/>
      <c r="F1161" s="3" t="s">
        <v>68</v>
      </c>
      <c r="G1161" s="4">
        <v>4</v>
      </c>
      <c r="H1161" s="4">
        <v>2</v>
      </c>
      <c r="I1161" s="4">
        <v>9</v>
      </c>
      <c r="J1161" s="4" t="s">
        <v>8</v>
      </c>
      <c r="K1161" s="4" t="s">
        <v>14</v>
      </c>
      <c r="L1161" s="11"/>
      <c r="M1161" s="3"/>
      <c r="N1161"/>
      <c r="O1161" s="4"/>
      <c r="P1161" s="1"/>
      <c r="Q1161" s="22"/>
      <c r="R1161"/>
      <c r="S1161" s="11"/>
    </row>
    <row r="1162" spans="2:19" x14ac:dyDescent="0.25">
      <c r="B1162" s="4">
        <v>30043014</v>
      </c>
      <c r="C1162" s="1" t="s">
        <v>703</v>
      </c>
      <c r="D1162" s="4" t="s">
        <v>86</v>
      </c>
      <c r="E1162" s="3"/>
      <c r="F1162" s="3" t="s">
        <v>68</v>
      </c>
      <c r="G1162" s="4">
        <v>2</v>
      </c>
      <c r="H1162" s="4">
        <v>1</v>
      </c>
      <c r="I1162" s="4">
        <v>20</v>
      </c>
      <c r="J1162" s="4" t="s">
        <v>8</v>
      </c>
      <c r="K1162" s="4" t="s">
        <v>14</v>
      </c>
      <c r="L1162" s="11"/>
      <c r="M1162" s="3"/>
      <c r="N1162"/>
      <c r="O1162" s="4"/>
      <c r="P1162" s="1"/>
      <c r="Q1162" s="22"/>
      <c r="R1162"/>
      <c r="S1162" s="11"/>
    </row>
    <row r="1163" spans="2:19" x14ac:dyDescent="0.25">
      <c r="B1163" s="4">
        <v>30043017</v>
      </c>
      <c r="C1163" s="1" t="s">
        <v>704</v>
      </c>
      <c r="D1163" s="4" t="s">
        <v>86</v>
      </c>
      <c r="E1163" s="3"/>
      <c r="F1163" s="3" t="s">
        <v>68</v>
      </c>
      <c r="G1163" s="4">
        <v>2</v>
      </c>
      <c r="H1163" s="4">
        <v>2</v>
      </c>
      <c r="I1163" s="4">
        <v>3</v>
      </c>
      <c r="J1163" s="4" t="s">
        <v>8</v>
      </c>
      <c r="K1163" s="4" t="s">
        <v>7</v>
      </c>
      <c r="L1163" s="11"/>
      <c r="M1163" s="3"/>
      <c r="N1163"/>
      <c r="O1163" s="4"/>
      <c r="P1163" s="1"/>
      <c r="Q1163" s="22"/>
      <c r="R1163"/>
      <c r="S1163" s="11"/>
    </row>
    <row r="1164" spans="2:19" x14ac:dyDescent="0.25">
      <c r="B1164" s="4">
        <v>30043067</v>
      </c>
      <c r="C1164" s="1" t="s">
        <v>705</v>
      </c>
      <c r="D1164" s="4" t="s">
        <v>86</v>
      </c>
      <c r="E1164" s="3"/>
      <c r="F1164" s="3" t="s">
        <v>68</v>
      </c>
      <c r="G1164" s="4">
        <v>4</v>
      </c>
      <c r="H1164" s="4">
        <v>6</v>
      </c>
      <c r="I1164" s="4">
        <v>2</v>
      </c>
      <c r="J1164" s="4" t="s">
        <v>8</v>
      </c>
      <c r="K1164" s="4" t="s">
        <v>9</v>
      </c>
      <c r="L1164" s="11" t="s">
        <v>1672</v>
      </c>
      <c r="M1164" s="3">
        <v>6</v>
      </c>
      <c r="N1164"/>
      <c r="O1164" s="4"/>
      <c r="P1164" s="1"/>
      <c r="Q1164" s="22"/>
      <c r="R1164"/>
      <c r="S1164" s="11"/>
    </row>
    <row r="1165" spans="2:19" x14ac:dyDescent="0.25">
      <c r="B1165" s="4">
        <v>30043291</v>
      </c>
      <c r="C1165" s="1" t="s">
        <v>706</v>
      </c>
      <c r="D1165" s="4" t="s">
        <v>86</v>
      </c>
      <c r="E1165" s="3"/>
      <c r="F1165" s="3" t="s">
        <v>68</v>
      </c>
      <c r="G1165" s="4">
        <v>5</v>
      </c>
      <c r="H1165" s="4">
        <v>2</v>
      </c>
      <c r="I1165" s="4">
        <v>6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</row>
    <row r="1166" spans="2:19" x14ac:dyDescent="0.25">
      <c r="B1166" s="4">
        <v>30043292</v>
      </c>
      <c r="C1166" s="1" t="s">
        <v>707</v>
      </c>
      <c r="D1166" s="4" t="s">
        <v>86</v>
      </c>
      <c r="E1166" s="3"/>
      <c r="F1166" s="3" t="s">
        <v>68</v>
      </c>
      <c r="G1166" s="4">
        <v>2</v>
      </c>
      <c r="H1166" s="4">
        <v>2</v>
      </c>
      <c r="I1166" s="4">
        <v>2</v>
      </c>
      <c r="J1166" s="4" t="s">
        <v>8</v>
      </c>
      <c r="K1166" s="4" t="s">
        <v>7</v>
      </c>
      <c r="L1166" s="11"/>
      <c r="M1166" s="3"/>
      <c r="N1166"/>
      <c r="O1166" s="4"/>
      <c r="P1166" s="1"/>
      <c r="Q1166" s="22"/>
      <c r="R1166"/>
      <c r="S1166" s="11"/>
    </row>
    <row r="1167" spans="2:19" x14ac:dyDescent="0.25">
      <c r="B1167" s="4">
        <v>30043306</v>
      </c>
      <c r="C1167" s="1" t="s">
        <v>708</v>
      </c>
      <c r="D1167" s="4" t="s">
        <v>86</v>
      </c>
      <c r="E1167" s="3"/>
      <c r="F1167" s="3" t="s">
        <v>68</v>
      </c>
      <c r="G1167" s="4">
        <v>1</v>
      </c>
      <c r="H1167" s="4">
        <v>1</v>
      </c>
      <c r="I1167" s="4">
        <v>2</v>
      </c>
      <c r="J1167" s="4" t="s">
        <v>8</v>
      </c>
      <c r="K1167" s="4" t="s">
        <v>7</v>
      </c>
      <c r="L1167" s="11"/>
      <c r="M1167" s="3"/>
      <c r="N1167"/>
      <c r="O1167" s="4"/>
      <c r="P1167" s="1"/>
      <c r="Q1167" s="22"/>
      <c r="R1167"/>
      <c r="S1167" s="11"/>
    </row>
    <row r="1168" spans="2:19" x14ac:dyDescent="0.25">
      <c r="B1168" s="4">
        <v>30043323</v>
      </c>
      <c r="C1168" s="1" t="s">
        <v>709</v>
      </c>
      <c r="D1168" s="4" t="s">
        <v>86</v>
      </c>
      <c r="E1168" s="3"/>
      <c r="F1168" s="3" t="s">
        <v>68</v>
      </c>
      <c r="G1168" s="4">
        <v>12</v>
      </c>
      <c r="H1168" s="4">
        <v>4</v>
      </c>
      <c r="I1168" s="4">
        <v>32</v>
      </c>
      <c r="J1168" s="4" t="s">
        <v>8</v>
      </c>
      <c r="K1168" s="4" t="s">
        <v>14</v>
      </c>
      <c r="L1168" s="11"/>
      <c r="M1168" s="3"/>
      <c r="N1168"/>
      <c r="O1168" s="4"/>
      <c r="P1168" s="1"/>
      <c r="Q1168" s="22"/>
      <c r="R1168"/>
      <c r="S1168" s="11"/>
    </row>
    <row r="1169" spans="2:19" x14ac:dyDescent="0.25">
      <c r="B1169" s="4">
        <v>30043361</v>
      </c>
      <c r="C1169" s="1" t="s">
        <v>710</v>
      </c>
      <c r="D1169" s="4" t="s">
        <v>86</v>
      </c>
      <c r="E1169" s="3"/>
      <c r="F1169" s="3" t="s">
        <v>68</v>
      </c>
      <c r="G1169" s="4">
        <v>2</v>
      </c>
      <c r="H1169" s="4">
        <v>2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</row>
    <row r="1170" spans="2:19" x14ac:dyDescent="0.25">
      <c r="B1170" s="4">
        <v>30043362</v>
      </c>
      <c r="C1170" s="1" t="s">
        <v>711</v>
      </c>
      <c r="D1170" s="4" t="s">
        <v>86</v>
      </c>
      <c r="E1170" s="3"/>
      <c r="F1170" s="3" t="s">
        <v>68</v>
      </c>
      <c r="G1170" s="4">
        <v>2</v>
      </c>
      <c r="H1170" s="4">
        <v>2</v>
      </c>
      <c r="I1170" s="4">
        <v>1</v>
      </c>
      <c r="J1170" s="4" t="s">
        <v>8</v>
      </c>
      <c r="K1170" s="4" t="s">
        <v>9</v>
      </c>
      <c r="L1170" s="11">
        <v>1002542940</v>
      </c>
      <c r="M1170" s="3">
        <v>3</v>
      </c>
      <c r="N1170"/>
      <c r="O1170" s="4"/>
      <c r="P1170" s="1"/>
      <c r="Q1170" s="22"/>
      <c r="R1170"/>
      <c r="S1170" s="11" t="s">
        <v>1630</v>
      </c>
    </row>
    <row r="1171" spans="2:19" x14ac:dyDescent="0.25">
      <c r="B1171" s="4">
        <v>30043478</v>
      </c>
      <c r="C1171" s="1" t="s">
        <v>712</v>
      </c>
      <c r="D1171" s="4" t="s">
        <v>86</v>
      </c>
      <c r="E1171" s="3"/>
      <c r="F1171" s="3" t="s">
        <v>68</v>
      </c>
      <c r="G1171" s="4">
        <v>3</v>
      </c>
      <c r="H1171" s="4">
        <v>5</v>
      </c>
      <c r="I1171" s="4">
        <v>5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</row>
    <row r="1172" spans="2:19" x14ac:dyDescent="0.25">
      <c r="B1172" s="4">
        <v>30043585</v>
      </c>
      <c r="C1172" s="1" t="s">
        <v>713</v>
      </c>
      <c r="D1172" s="4" t="s">
        <v>86</v>
      </c>
      <c r="E1172" s="3"/>
      <c r="F1172" s="3" t="s">
        <v>68</v>
      </c>
      <c r="G1172" s="4">
        <v>3</v>
      </c>
      <c r="H1172" s="4">
        <v>5</v>
      </c>
      <c r="I1172" s="4">
        <v>7</v>
      </c>
      <c r="J1172" s="4" t="s">
        <v>8</v>
      </c>
      <c r="K1172" s="4" t="s">
        <v>7</v>
      </c>
      <c r="L1172" s="11"/>
      <c r="M1172" s="3"/>
      <c r="N1172"/>
      <c r="O1172" s="4"/>
      <c r="P1172" s="1"/>
      <c r="Q1172" s="22"/>
      <c r="R1172"/>
      <c r="S1172" s="11"/>
    </row>
    <row r="1173" spans="2:19" x14ac:dyDescent="0.25">
      <c r="B1173" s="4">
        <v>30043588</v>
      </c>
      <c r="C1173" s="1" t="s">
        <v>714</v>
      </c>
      <c r="D1173" s="4" t="s">
        <v>86</v>
      </c>
      <c r="E1173" s="3"/>
      <c r="F1173" s="3" t="s">
        <v>68</v>
      </c>
      <c r="G1173" s="4">
        <v>2</v>
      </c>
      <c r="H1173" s="4">
        <v>1</v>
      </c>
      <c r="I1173" s="4">
        <v>11</v>
      </c>
      <c r="J1173" s="4" t="s">
        <v>8</v>
      </c>
      <c r="K1173" s="4" t="s">
        <v>14</v>
      </c>
      <c r="L1173" s="11"/>
      <c r="M1173" s="3"/>
      <c r="N1173"/>
      <c r="O1173" s="4"/>
      <c r="P1173" s="1"/>
      <c r="Q1173" s="22"/>
      <c r="R1173"/>
      <c r="S1173" s="11"/>
    </row>
    <row r="1174" spans="2:19" x14ac:dyDescent="0.25">
      <c r="B1174" s="4">
        <v>30043637</v>
      </c>
      <c r="C1174" s="1" t="s">
        <v>917</v>
      </c>
      <c r="D1174" s="4" t="s">
        <v>86</v>
      </c>
      <c r="E1174" s="3" t="s">
        <v>1225</v>
      </c>
      <c r="F1174" s="3" t="s">
        <v>102</v>
      </c>
      <c r="G1174" s="4">
        <v>2</v>
      </c>
      <c r="H1174" s="4">
        <v>2</v>
      </c>
      <c r="I1174" s="4">
        <v>2</v>
      </c>
      <c r="J1174" s="4" t="s">
        <v>8</v>
      </c>
      <c r="K1174" s="4" t="s">
        <v>7</v>
      </c>
      <c r="L1174" s="11"/>
      <c r="M1174" s="3"/>
      <c r="N1174"/>
      <c r="O1174" s="4"/>
      <c r="P1174" s="1"/>
      <c r="Q1174" s="22"/>
      <c r="R1174"/>
      <c r="S1174" s="11"/>
    </row>
    <row r="1175" spans="2:19" x14ac:dyDescent="0.25">
      <c r="B1175" s="4">
        <v>30043639</v>
      </c>
      <c r="C1175" s="1" t="s">
        <v>715</v>
      </c>
      <c r="D1175" s="4" t="s">
        <v>86</v>
      </c>
      <c r="E1175" s="3"/>
      <c r="F1175" s="3" t="s">
        <v>68</v>
      </c>
      <c r="G1175" s="4">
        <v>3</v>
      </c>
      <c r="H1175" s="4">
        <v>5</v>
      </c>
      <c r="I1175" s="4">
        <v>40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</row>
    <row r="1176" spans="2:19" x14ac:dyDescent="0.25">
      <c r="B1176" s="4">
        <v>30043647</v>
      </c>
      <c r="C1176" s="1" t="s">
        <v>862</v>
      </c>
      <c r="D1176" s="4" t="s">
        <v>86</v>
      </c>
      <c r="E1176" s="3"/>
      <c r="F1176" s="3" t="s">
        <v>102</v>
      </c>
      <c r="G1176" s="4">
        <v>12</v>
      </c>
      <c r="H1176" s="4">
        <v>8</v>
      </c>
      <c r="I1176" s="4">
        <v>20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</row>
    <row r="1177" spans="2:19" x14ac:dyDescent="0.25">
      <c r="B1177" s="4">
        <v>30043656</v>
      </c>
      <c r="C1177" s="1" t="s">
        <v>716</v>
      </c>
      <c r="D1177" s="4" t="s">
        <v>86</v>
      </c>
      <c r="E1177" s="3"/>
      <c r="F1177" s="3" t="s">
        <v>68</v>
      </c>
      <c r="G1177" s="4">
        <v>1</v>
      </c>
      <c r="H1177" s="4">
        <v>1</v>
      </c>
      <c r="I1177" s="4">
        <v>1</v>
      </c>
      <c r="J1177" s="4" t="s">
        <v>8</v>
      </c>
      <c r="K1177" s="4" t="s">
        <v>7</v>
      </c>
      <c r="L1177" s="11"/>
      <c r="M1177" s="3"/>
      <c r="N1177"/>
      <c r="O1177" s="4"/>
      <c r="P1177" s="1"/>
      <c r="Q1177" s="22"/>
      <c r="R1177"/>
      <c r="S1177" s="11"/>
    </row>
    <row r="1178" spans="2:19" x14ac:dyDescent="0.25">
      <c r="B1178" s="4">
        <v>30043661</v>
      </c>
      <c r="C1178" s="1" t="s">
        <v>717</v>
      </c>
      <c r="D1178" s="4" t="s">
        <v>86</v>
      </c>
      <c r="E1178" s="3"/>
      <c r="F1178" s="3" t="s">
        <v>68</v>
      </c>
      <c r="G1178" s="4">
        <v>2</v>
      </c>
      <c r="H1178" s="4">
        <v>1</v>
      </c>
      <c r="I1178" s="4">
        <v>0</v>
      </c>
      <c r="J1178" s="4" t="s">
        <v>8</v>
      </c>
      <c r="K1178" s="4" t="s">
        <v>13</v>
      </c>
      <c r="L1178" s="11"/>
      <c r="M1178" s="3"/>
      <c r="N1178">
        <v>4502662897</v>
      </c>
      <c r="O1178" s="4">
        <v>2</v>
      </c>
      <c r="P1178" s="1" t="s">
        <v>1575</v>
      </c>
      <c r="Q1178" s="22">
        <v>46161</v>
      </c>
      <c r="R1178"/>
      <c r="S1178" s="11" t="s">
        <v>1600</v>
      </c>
    </row>
    <row r="1179" spans="2:19" x14ac:dyDescent="0.25">
      <c r="B1179" s="4">
        <v>30043663</v>
      </c>
      <c r="C1179" s="1" t="s">
        <v>718</v>
      </c>
      <c r="D1179" s="4" t="s">
        <v>86</v>
      </c>
      <c r="E1179" s="3"/>
      <c r="F1179" s="3" t="s">
        <v>68</v>
      </c>
      <c r="G1179" s="4">
        <v>2</v>
      </c>
      <c r="H1179" s="4">
        <v>1</v>
      </c>
      <c r="I1179" s="4">
        <v>3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</row>
    <row r="1180" spans="2:19" x14ac:dyDescent="0.25">
      <c r="B1180" s="4">
        <v>30043665</v>
      </c>
      <c r="C1180" s="1" t="s">
        <v>719</v>
      </c>
      <c r="D1180" s="4" t="s">
        <v>86</v>
      </c>
      <c r="E1180" s="3"/>
      <c r="F1180" s="3" t="s">
        <v>68</v>
      </c>
      <c r="G1180" s="4">
        <v>2</v>
      </c>
      <c r="H1180" s="4">
        <v>1</v>
      </c>
      <c r="I1180" s="4">
        <v>3</v>
      </c>
      <c r="J1180" s="4" t="s">
        <v>8</v>
      </c>
      <c r="K1180" s="4" t="s">
        <v>7</v>
      </c>
      <c r="L1180" s="11"/>
      <c r="M1180" s="3"/>
      <c r="N1180"/>
      <c r="O1180" s="4"/>
      <c r="P1180" s="1"/>
      <c r="Q1180" s="22"/>
      <c r="R1180"/>
      <c r="S1180" s="11"/>
    </row>
    <row r="1181" spans="2:19" x14ac:dyDescent="0.25">
      <c r="B1181" s="4">
        <v>30043667</v>
      </c>
      <c r="C1181" s="1" t="s">
        <v>720</v>
      </c>
      <c r="D1181" s="4" t="s">
        <v>86</v>
      </c>
      <c r="E1181" s="3"/>
      <c r="F1181" s="3" t="s">
        <v>68</v>
      </c>
      <c r="G1181" s="4">
        <v>2</v>
      </c>
      <c r="H1181" s="4">
        <v>1</v>
      </c>
      <c r="I1181" s="4">
        <v>4</v>
      </c>
      <c r="J1181" s="4" t="s">
        <v>8</v>
      </c>
      <c r="K1181" s="4" t="s">
        <v>14</v>
      </c>
      <c r="L1181" s="11"/>
      <c r="M1181" s="3"/>
      <c r="N1181"/>
      <c r="O1181" s="4"/>
      <c r="P1181" s="1"/>
      <c r="Q1181" s="22"/>
      <c r="R1181"/>
      <c r="S1181" s="11"/>
    </row>
    <row r="1182" spans="2:19" x14ac:dyDescent="0.25">
      <c r="B1182" s="4">
        <v>30043762</v>
      </c>
      <c r="C1182" s="1" t="s">
        <v>721</v>
      </c>
      <c r="D1182" s="4" t="s">
        <v>86</v>
      </c>
      <c r="E1182" s="3"/>
      <c r="F1182" s="3" t="s">
        <v>68</v>
      </c>
      <c r="G1182" s="4">
        <v>3</v>
      </c>
      <c r="H1182" s="4">
        <v>5</v>
      </c>
      <c r="I1182" s="4">
        <v>0</v>
      </c>
      <c r="J1182" s="4" t="s">
        <v>8</v>
      </c>
      <c r="K1182" s="4" t="s">
        <v>13</v>
      </c>
      <c r="L1182" s="11">
        <v>1002663550</v>
      </c>
      <c r="M1182" s="3">
        <v>8</v>
      </c>
      <c r="N1182"/>
      <c r="O1182" s="4"/>
      <c r="P1182" s="1"/>
      <c r="Q1182" s="22"/>
      <c r="R1182"/>
      <c r="S1182" s="11"/>
    </row>
    <row r="1183" spans="2:19" x14ac:dyDescent="0.25">
      <c r="B1183" s="4">
        <v>30043767</v>
      </c>
      <c r="C1183" s="1" t="s">
        <v>722</v>
      </c>
      <c r="D1183" s="4" t="s">
        <v>86</v>
      </c>
      <c r="E1183" s="3"/>
      <c r="F1183" s="3" t="s">
        <v>68</v>
      </c>
      <c r="G1183" s="4">
        <v>4</v>
      </c>
      <c r="H1183" s="4">
        <v>4</v>
      </c>
      <c r="I1183" s="4">
        <v>6</v>
      </c>
      <c r="J1183" s="4" t="s">
        <v>8</v>
      </c>
      <c r="K1183" s="4" t="s">
        <v>7</v>
      </c>
      <c r="L1183" s="11"/>
      <c r="M1183" s="3"/>
      <c r="N1183"/>
      <c r="O1183" s="4"/>
      <c r="P1183" s="1"/>
      <c r="Q1183" s="22"/>
      <c r="R1183"/>
      <c r="S1183" s="11"/>
    </row>
    <row r="1184" spans="2:19" x14ac:dyDescent="0.25">
      <c r="B1184" s="4">
        <v>30043820</v>
      </c>
      <c r="C1184" s="1" t="s">
        <v>723</v>
      </c>
      <c r="D1184" s="4" t="s">
        <v>86</v>
      </c>
      <c r="E1184" s="3"/>
      <c r="F1184" s="3" t="s">
        <v>68</v>
      </c>
      <c r="G1184" s="4">
        <v>2</v>
      </c>
      <c r="H1184" s="4">
        <v>2</v>
      </c>
      <c r="I1184" s="4">
        <v>5</v>
      </c>
      <c r="J1184" s="4" t="s">
        <v>8</v>
      </c>
      <c r="K1184" s="4" t="s">
        <v>14</v>
      </c>
      <c r="L1184" s="11"/>
      <c r="M1184" s="3"/>
      <c r="N1184"/>
      <c r="O1184" s="4"/>
      <c r="P1184" s="1"/>
      <c r="Q1184" s="22"/>
      <c r="R1184"/>
      <c r="S1184" s="11"/>
    </row>
    <row r="1185" spans="2:19" x14ac:dyDescent="0.25">
      <c r="B1185" s="4">
        <v>30043856</v>
      </c>
      <c r="C1185" s="1" t="s">
        <v>724</v>
      </c>
      <c r="D1185" s="4" t="s">
        <v>86</v>
      </c>
      <c r="E1185" s="3"/>
      <c r="F1185" s="3" t="s">
        <v>68</v>
      </c>
      <c r="G1185" s="4">
        <v>4</v>
      </c>
      <c r="H1185" s="4">
        <v>4</v>
      </c>
      <c r="I1185" s="4">
        <v>4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</row>
    <row r="1186" spans="2:19" x14ac:dyDescent="0.25">
      <c r="B1186" s="4">
        <v>30043879</v>
      </c>
      <c r="C1186" s="1" t="s">
        <v>725</v>
      </c>
      <c r="D1186" s="4" t="s">
        <v>86</v>
      </c>
      <c r="E1186" s="3"/>
      <c r="F1186" s="3" t="s">
        <v>68</v>
      </c>
      <c r="G1186" s="4">
        <v>2</v>
      </c>
      <c r="H1186" s="4">
        <v>2</v>
      </c>
      <c r="I1186" s="4">
        <v>3</v>
      </c>
      <c r="J1186" s="4" t="s">
        <v>8</v>
      </c>
      <c r="K1186" s="4" t="s">
        <v>7</v>
      </c>
      <c r="L1186" s="11"/>
      <c r="M1186" s="3"/>
      <c r="N1186"/>
      <c r="O1186" s="4"/>
      <c r="P1186" s="1"/>
      <c r="Q1186" s="22"/>
      <c r="R1186"/>
      <c r="S1186" s="11"/>
    </row>
    <row r="1187" spans="2:19" x14ac:dyDescent="0.25">
      <c r="B1187" s="4">
        <v>30043884</v>
      </c>
      <c r="C1187" s="1" t="s">
        <v>726</v>
      </c>
      <c r="D1187" s="4" t="s">
        <v>86</v>
      </c>
      <c r="E1187" s="3"/>
      <c r="F1187" s="3" t="s">
        <v>68</v>
      </c>
      <c r="G1187" s="4">
        <v>2</v>
      </c>
      <c r="H1187" s="4">
        <v>2</v>
      </c>
      <c r="I1187" s="4">
        <v>5</v>
      </c>
      <c r="J1187" s="4" t="s">
        <v>8</v>
      </c>
      <c r="K1187" s="4" t="s">
        <v>14</v>
      </c>
      <c r="L1187" s="11"/>
      <c r="M1187" s="3"/>
      <c r="N1187"/>
      <c r="O1187" s="4"/>
      <c r="P1187" s="1"/>
      <c r="Q1187" s="22"/>
      <c r="R1187"/>
      <c r="S1187" s="11"/>
    </row>
    <row r="1188" spans="2:19" x14ac:dyDescent="0.25">
      <c r="B1188" s="4">
        <v>30044002</v>
      </c>
      <c r="C1188" s="1" t="s">
        <v>727</v>
      </c>
      <c r="D1188" s="4" t="s">
        <v>86</v>
      </c>
      <c r="E1188" s="3"/>
      <c r="F1188" s="3" t="s">
        <v>68</v>
      </c>
      <c r="G1188" s="4">
        <v>2</v>
      </c>
      <c r="H1188" s="4">
        <v>1</v>
      </c>
      <c r="I1188" s="4">
        <v>21</v>
      </c>
      <c r="J1188" s="4" t="s">
        <v>8</v>
      </c>
      <c r="K1188" s="4" t="s">
        <v>14</v>
      </c>
      <c r="L1188" s="11"/>
      <c r="M1188" s="3"/>
      <c r="N1188"/>
      <c r="O1188" s="4"/>
      <c r="P1188" s="1"/>
      <c r="Q1188" s="22"/>
      <c r="R1188"/>
      <c r="S1188" s="11"/>
    </row>
    <row r="1189" spans="2:19" x14ac:dyDescent="0.25">
      <c r="B1189" s="4">
        <v>30045704</v>
      </c>
      <c r="C1189" s="1" t="s">
        <v>728</v>
      </c>
      <c r="D1189" s="4" t="s">
        <v>86</v>
      </c>
      <c r="E1189" s="3"/>
      <c r="F1189" s="3" t="s">
        <v>68</v>
      </c>
      <c r="G1189" s="4">
        <v>2</v>
      </c>
      <c r="H1189" s="4">
        <v>2</v>
      </c>
      <c r="I1189" s="4">
        <v>3</v>
      </c>
      <c r="J1189" s="4" t="s">
        <v>8</v>
      </c>
      <c r="K1189" s="4" t="s">
        <v>7</v>
      </c>
      <c r="L1189" s="11"/>
      <c r="M1189" s="3"/>
      <c r="N1189"/>
      <c r="O1189" s="4"/>
      <c r="P1189" s="1"/>
      <c r="Q1189" s="22"/>
      <c r="R1189"/>
      <c r="S1189" s="11"/>
    </row>
    <row r="1190" spans="2:19" x14ac:dyDescent="0.25">
      <c r="B1190" s="4">
        <v>30048788</v>
      </c>
      <c r="C1190" s="1" t="s">
        <v>730</v>
      </c>
      <c r="D1190" s="4" t="s">
        <v>86</v>
      </c>
      <c r="E1190" s="3"/>
      <c r="F1190" s="3" t="s">
        <v>68</v>
      </c>
      <c r="G1190" s="4">
        <v>22</v>
      </c>
      <c r="H1190" s="4">
        <v>37</v>
      </c>
      <c r="I1190" s="4">
        <v>30</v>
      </c>
      <c r="J1190" s="4" t="s">
        <v>10</v>
      </c>
      <c r="K1190" s="4" t="s">
        <v>7</v>
      </c>
      <c r="L1190" s="11"/>
      <c r="M1190" s="3"/>
      <c r="N1190"/>
      <c r="O1190" s="4"/>
      <c r="P1190" s="1"/>
      <c r="Q1190" s="22"/>
      <c r="R1190"/>
      <c r="S1190" s="11"/>
    </row>
    <row r="1191" spans="2:19" x14ac:dyDescent="0.25">
      <c r="B1191" s="4">
        <v>30050566</v>
      </c>
      <c r="C1191" s="1" t="s">
        <v>731</v>
      </c>
      <c r="D1191" s="4" t="s">
        <v>86</v>
      </c>
      <c r="E1191" s="3"/>
      <c r="F1191" s="3" t="s">
        <v>68</v>
      </c>
      <c r="G1191" s="4">
        <v>2</v>
      </c>
      <c r="H1191" s="4">
        <v>1</v>
      </c>
      <c r="I1191" s="4">
        <v>2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</row>
    <row r="1192" spans="2:19" x14ac:dyDescent="0.25">
      <c r="B1192" s="4">
        <v>30050573</v>
      </c>
      <c r="C1192" s="1" t="s">
        <v>1089</v>
      </c>
      <c r="D1192" s="4" t="s">
        <v>86</v>
      </c>
      <c r="E1192" s="3"/>
      <c r="F1192" s="3" t="s">
        <v>102</v>
      </c>
      <c r="G1192" s="4">
        <v>73</v>
      </c>
      <c r="H1192" s="4">
        <v>72</v>
      </c>
      <c r="I1192" s="4">
        <v>239</v>
      </c>
      <c r="J1192" s="4" t="s">
        <v>8</v>
      </c>
      <c r="K1192" s="4" t="s">
        <v>14</v>
      </c>
      <c r="L1192" s="11"/>
      <c r="M1192" s="3"/>
      <c r="N1192"/>
      <c r="O1192" s="4"/>
      <c r="P1192" s="1"/>
      <c r="Q1192" s="22"/>
      <c r="R1192"/>
      <c r="S1192" s="11"/>
    </row>
    <row r="1193" spans="2:19" x14ac:dyDescent="0.25">
      <c r="B1193" s="4">
        <v>30050574</v>
      </c>
      <c r="C1193" s="1" t="s">
        <v>732</v>
      </c>
      <c r="D1193" s="4" t="s">
        <v>86</v>
      </c>
      <c r="E1193" s="3"/>
      <c r="F1193" s="3" t="s">
        <v>68</v>
      </c>
      <c r="G1193" s="4">
        <v>8</v>
      </c>
      <c r="H1193" s="4">
        <v>15</v>
      </c>
      <c r="I1193" s="4">
        <v>9</v>
      </c>
      <c r="J1193" s="4" t="s">
        <v>8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</row>
    <row r="1194" spans="2:19" x14ac:dyDescent="0.25">
      <c r="B1194" s="4">
        <v>30050579</v>
      </c>
      <c r="C1194" s="1" t="s">
        <v>733</v>
      </c>
      <c r="D1194" s="4" t="s">
        <v>86</v>
      </c>
      <c r="E1194" s="3"/>
      <c r="F1194" s="3" t="s">
        <v>68</v>
      </c>
      <c r="G1194" s="4">
        <v>3</v>
      </c>
      <c r="H1194" s="4">
        <v>5</v>
      </c>
      <c r="I1194" s="4">
        <v>34</v>
      </c>
      <c r="J1194" s="4" t="s">
        <v>8</v>
      </c>
      <c r="K1194" s="4" t="s">
        <v>14</v>
      </c>
      <c r="L1194" s="11"/>
      <c r="M1194" s="3"/>
      <c r="N1194"/>
      <c r="O1194" s="4"/>
      <c r="P1194" s="1"/>
      <c r="Q1194" s="22"/>
      <c r="R1194"/>
      <c r="S1194" s="11"/>
    </row>
    <row r="1195" spans="2:19" x14ac:dyDescent="0.25">
      <c r="B1195" s="4">
        <v>30050583</v>
      </c>
      <c r="C1195" s="1" t="s">
        <v>734</v>
      </c>
      <c r="D1195" s="4" t="s">
        <v>86</v>
      </c>
      <c r="E1195" s="3"/>
      <c r="F1195" s="3" t="s">
        <v>68</v>
      </c>
      <c r="G1195" s="4">
        <v>2</v>
      </c>
      <c r="H1195" s="4">
        <v>3</v>
      </c>
      <c r="I1195" s="4">
        <v>2</v>
      </c>
      <c r="J1195" s="4" t="s">
        <v>8</v>
      </c>
      <c r="K1195" s="4" t="s">
        <v>7</v>
      </c>
      <c r="L1195" s="11"/>
      <c r="M1195" s="3"/>
      <c r="N1195"/>
      <c r="O1195" s="4"/>
      <c r="P1195" s="1"/>
      <c r="Q1195" s="22"/>
      <c r="R1195"/>
      <c r="S1195" s="11"/>
    </row>
    <row r="1196" spans="2:19" x14ac:dyDescent="0.25">
      <c r="B1196" s="4">
        <v>30050586</v>
      </c>
      <c r="C1196" s="1" t="s">
        <v>1090</v>
      </c>
      <c r="D1196" s="4" t="s">
        <v>86</v>
      </c>
      <c r="E1196" s="3"/>
      <c r="F1196" s="3" t="s">
        <v>102</v>
      </c>
      <c r="G1196" s="4">
        <v>17</v>
      </c>
      <c r="H1196" s="4">
        <v>16</v>
      </c>
      <c r="I1196" s="4">
        <v>26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</row>
    <row r="1197" spans="2:19" x14ac:dyDescent="0.25">
      <c r="B1197" s="4">
        <v>30050731</v>
      </c>
      <c r="C1197" s="1" t="s">
        <v>735</v>
      </c>
      <c r="D1197" s="4" t="s">
        <v>86</v>
      </c>
      <c r="E1197" s="3"/>
      <c r="F1197" s="3" t="s">
        <v>68</v>
      </c>
      <c r="G1197" s="4">
        <v>2</v>
      </c>
      <c r="H1197" s="4">
        <v>2</v>
      </c>
      <c r="I1197" s="4">
        <v>3</v>
      </c>
      <c r="J1197" s="4" t="s">
        <v>8</v>
      </c>
      <c r="K1197" s="4" t="s">
        <v>7</v>
      </c>
      <c r="L1197" s="11"/>
      <c r="M1197" s="3"/>
      <c r="N1197"/>
      <c r="O1197" s="4"/>
      <c r="P1197" s="1"/>
      <c r="Q1197" s="22"/>
      <c r="R1197"/>
      <c r="S1197" s="11"/>
    </row>
    <row r="1198" spans="2:19" x14ac:dyDescent="0.25">
      <c r="B1198" s="4">
        <v>30050887</v>
      </c>
      <c r="C1198" s="1" t="s">
        <v>863</v>
      </c>
      <c r="D1198" s="4" t="s">
        <v>86</v>
      </c>
      <c r="E1198" s="3"/>
      <c r="F1198" s="3" t="s">
        <v>102</v>
      </c>
      <c r="G1198" s="4">
        <v>2</v>
      </c>
      <c r="H1198" s="4">
        <v>4</v>
      </c>
      <c r="I1198" s="4">
        <v>10</v>
      </c>
      <c r="J1198" s="4" t="s">
        <v>8</v>
      </c>
      <c r="K1198" s="4" t="s">
        <v>14</v>
      </c>
      <c r="L1198" s="11"/>
      <c r="M1198" s="3"/>
      <c r="N1198"/>
      <c r="O1198" s="4"/>
      <c r="P1198" s="1"/>
      <c r="Q1198" s="22"/>
      <c r="R1198"/>
      <c r="S1198" s="11"/>
    </row>
    <row r="1199" spans="2:19" x14ac:dyDescent="0.25">
      <c r="B1199" s="4">
        <v>30050889</v>
      </c>
      <c r="C1199" s="1" t="s">
        <v>864</v>
      </c>
      <c r="D1199" s="4" t="s">
        <v>86</v>
      </c>
      <c r="E1199" s="3"/>
      <c r="F1199" s="3" t="s">
        <v>102</v>
      </c>
      <c r="G1199" s="4">
        <v>1</v>
      </c>
      <c r="H1199" s="4">
        <v>2</v>
      </c>
      <c r="I1199" s="4">
        <v>5</v>
      </c>
      <c r="J1199" s="4" t="s">
        <v>8</v>
      </c>
      <c r="K1199" s="4" t="s">
        <v>14</v>
      </c>
      <c r="L1199" s="11"/>
      <c r="M1199" s="3"/>
      <c r="N1199"/>
      <c r="O1199" s="4"/>
      <c r="P1199" s="1"/>
      <c r="Q1199" s="22"/>
      <c r="R1199"/>
      <c r="S1199" s="11"/>
    </row>
    <row r="1200" spans="2:19" x14ac:dyDescent="0.25">
      <c r="B1200" s="4">
        <v>30050922</v>
      </c>
      <c r="C1200" s="1" t="s">
        <v>918</v>
      </c>
      <c r="D1200" s="4" t="s">
        <v>86</v>
      </c>
      <c r="E1200" s="3"/>
      <c r="F1200" s="3" t="s">
        <v>102</v>
      </c>
      <c r="G1200" s="4">
        <v>5</v>
      </c>
      <c r="H1200" s="4">
        <v>4</v>
      </c>
      <c r="I1200" s="4">
        <v>9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</row>
    <row r="1201" spans="2:19" x14ac:dyDescent="0.25">
      <c r="B1201" s="4">
        <v>30050978</v>
      </c>
      <c r="C1201" s="1" t="s">
        <v>736</v>
      </c>
      <c r="D1201" s="4" t="s">
        <v>86</v>
      </c>
      <c r="E1201" s="3"/>
      <c r="F1201" s="3" t="s">
        <v>68</v>
      </c>
      <c r="G1201" s="4">
        <v>2</v>
      </c>
      <c r="H1201" s="4">
        <v>1</v>
      </c>
      <c r="I1201" s="4">
        <v>2</v>
      </c>
      <c r="J1201" s="4" t="s">
        <v>8</v>
      </c>
      <c r="K1201" s="4" t="s">
        <v>7</v>
      </c>
      <c r="L1201" s="11"/>
      <c r="M1201" s="3"/>
      <c r="N1201"/>
      <c r="O1201" s="4"/>
      <c r="P1201" s="1"/>
      <c r="Q1201" s="22"/>
      <c r="R1201"/>
      <c r="S1201" s="11"/>
    </row>
    <row r="1202" spans="2:19" x14ac:dyDescent="0.25">
      <c r="B1202" s="4">
        <v>30050979</v>
      </c>
      <c r="C1202" s="1" t="s">
        <v>737</v>
      </c>
      <c r="D1202" s="4" t="s">
        <v>86</v>
      </c>
      <c r="E1202" s="74"/>
      <c r="F1202" s="3" t="s">
        <v>68</v>
      </c>
      <c r="G1202" s="4">
        <v>2</v>
      </c>
      <c r="H1202" s="4">
        <v>2</v>
      </c>
      <c r="I1202" s="4">
        <v>2</v>
      </c>
      <c r="J1202" s="4" t="s">
        <v>8</v>
      </c>
      <c r="K1202" s="4" t="s">
        <v>7</v>
      </c>
      <c r="L1202" s="11"/>
      <c r="M1202" s="3"/>
      <c r="N1202"/>
      <c r="O1202" s="4"/>
      <c r="P1202" s="1"/>
      <c r="Q1202" s="22"/>
      <c r="R1202"/>
      <c r="S1202" s="11"/>
    </row>
    <row r="1203" spans="2:19" x14ac:dyDescent="0.25">
      <c r="B1203" s="4">
        <v>30050981</v>
      </c>
      <c r="C1203" s="1" t="s">
        <v>739</v>
      </c>
      <c r="D1203" s="4" t="s">
        <v>86</v>
      </c>
      <c r="E1203" s="3"/>
      <c r="F1203" s="3" t="s">
        <v>68</v>
      </c>
      <c r="G1203" s="4">
        <v>1</v>
      </c>
      <c r="H1203" s="4">
        <v>1</v>
      </c>
      <c r="I1203" s="4">
        <v>1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</row>
    <row r="1204" spans="2:19" x14ac:dyDescent="0.25">
      <c r="B1204" s="4">
        <v>30051087</v>
      </c>
      <c r="C1204" s="1" t="s">
        <v>740</v>
      </c>
      <c r="D1204" s="4" t="s">
        <v>86</v>
      </c>
      <c r="E1204" s="3"/>
      <c r="F1204" s="3" t="s">
        <v>68</v>
      </c>
      <c r="G1204" s="4">
        <v>6</v>
      </c>
      <c r="H1204" s="4">
        <v>4</v>
      </c>
      <c r="I1204" s="4">
        <v>6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</row>
    <row r="1205" spans="2:19" x14ac:dyDescent="0.25">
      <c r="B1205" s="4">
        <v>30051088</v>
      </c>
      <c r="C1205" s="1" t="s">
        <v>741</v>
      </c>
      <c r="D1205" s="4" t="s">
        <v>86</v>
      </c>
      <c r="E1205" s="3"/>
      <c r="F1205" s="3" t="s">
        <v>68</v>
      </c>
      <c r="G1205" s="4">
        <v>5</v>
      </c>
      <c r="H1205" s="4">
        <v>3</v>
      </c>
      <c r="I1205" s="4">
        <v>3</v>
      </c>
      <c r="J1205" s="4" t="s">
        <v>8</v>
      </c>
      <c r="K1205" s="4" t="s">
        <v>9</v>
      </c>
      <c r="L1205" s="11"/>
      <c r="M1205" s="3"/>
      <c r="N1205">
        <v>4502694826</v>
      </c>
      <c r="O1205" s="4">
        <v>3</v>
      </c>
      <c r="P1205" s="1" t="s">
        <v>1607</v>
      </c>
      <c r="Q1205" s="22">
        <v>46233</v>
      </c>
      <c r="R1205"/>
      <c r="S1205" s="11"/>
    </row>
    <row r="1206" spans="2:19" x14ac:dyDescent="0.25">
      <c r="B1206" s="4">
        <v>30051089</v>
      </c>
      <c r="C1206" s="1" t="s">
        <v>742</v>
      </c>
      <c r="D1206" s="4" t="s">
        <v>86</v>
      </c>
      <c r="E1206" s="3"/>
      <c r="F1206" s="3" t="s">
        <v>68</v>
      </c>
      <c r="G1206" s="4">
        <v>7</v>
      </c>
      <c r="H1206" s="4">
        <v>4</v>
      </c>
      <c r="I1206" s="4">
        <v>5</v>
      </c>
      <c r="J1206" s="4" t="s">
        <v>8</v>
      </c>
      <c r="K1206" s="4" t="s">
        <v>9</v>
      </c>
      <c r="L1206" s="11">
        <v>1002674974</v>
      </c>
      <c r="M1206" s="3">
        <v>4</v>
      </c>
      <c r="N1206"/>
      <c r="O1206" s="4"/>
      <c r="P1206" s="1"/>
      <c r="Q1206" s="22"/>
      <c r="R1206"/>
      <c r="S1206" s="11"/>
    </row>
    <row r="1207" spans="2:19" x14ac:dyDescent="0.25">
      <c r="B1207" s="4">
        <v>30051090</v>
      </c>
      <c r="C1207" s="1" t="s">
        <v>743</v>
      </c>
      <c r="D1207" s="4" t="s">
        <v>86</v>
      </c>
      <c r="E1207" s="74"/>
      <c r="F1207" s="3" t="s">
        <v>68</v>
      </c>
      <c r="G1207" s="4">
        <v>7</v>
      </c>
      <c r="H1207" s="4">
        <v>4</v>
      </c>
      <c r="I1207" s="4">
        <v>3</v>
      </c>
      <c r="J1207" s="4" t="s">
        <v>8</v>
      </c>
      <c r="K1207" s="4" t="s">
        <v>9</v>
      </c>
      <c r="L1207" s="11"/>
      <c r="M1207" s="3"/>
      <c r="N1207">
        <v>4502696023</v>
      </c>
      <c r="O1207" s="4">
        <v>4</v>
      </c>
      <c r="P1207" s="1" t="s">
        <v>1607</v>
      </c>
      <c r="Q1207" s="22">
        <v>46286</v>
      </c>
      <c r="R1207"/>
      <c r="S1207" s="11" t="s">
        <v>1633</v>
      </c>
    </row>
    <row r="1208" spans="2:19" x14ac:dyDescent="0.25">
      <c r="B1208" s="4">
        <v>30051091</v>
      </c>
      <c r="C1208" s="1" t="s">
        <v>744</v>
      </c>
      <c r="D1208" s="4" t="s">
        <v>86</v>
      </c>
      <c r="E1208" s="3"/>
      <c r="F1208" s="3" t="s">
        <v>68</v>
      </c>
      <c r="G1208" s="4">
        <v>9</v>
      </c>
      <c r="H1208" s="4">
        <v>4</v>
      </c>
      <c r="I1208" s="4">
        <v>9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</row>
    <row r="1209" spans="2:19" x14ac:dyDescent="0.25">
      <c r="B1209" s="4">
        <v>30051092</v>
      </c>
      <c r="C1209" s="1" t="s">
        <v>745</v>
      </c>
      <c r="D1209" s="4" t="s">
        <v>86</v>
      </c>
      <c r="E1209" s="3"/>
      <c r="F1209" s="3" t="s">
        <v>68</v>
      </c>
      <c r="G1209" s="4">
        <v>11</v>
      </c>
      <c r="H1209" s="4">
        <v>5</v>
      </c>
      <c r="I1209" s="4">
        <v>10</v>
      </c>
      <c r="J1209" s="4" t="s">
        <v>8</v>
      </c>
      <c r="K1209" s="4" t="s">
        <v>9</v>
      </c>
      <c r="L1209" s="11"/>
      <c r="M1209" s="3"/>
      <c r="N1209">
        <v>4502697024</v>
      </c>
      <c r="O1209" s="4">
        <v>5</v>
      </c>
      <c r="P1209" s="1" t="s">
        <v>1607</v>
      </c>
      <c r="Q1209" s="22">
        <v>46233</v>
      </c>
      <c r="R1209"/>
      <c r="S1209" s="11"/>
    </row>
    <row r="1210" spans="2:19" x14ac:dyDescent="0.25">
      <c r="B1210" s="4">
        <v>30051123</v>
      </c>
      <c r="C1210" s="1" t="s">
        <v>746</v>
      </c>
      <c r="D1210" s="4" t="s">
        <v>86</v>
      </c>
      <c r="E1210" s="3"/>
      <c r="F1210" s="3" t="s">
        <v>68</v>
      </c>
      <c r="G1210" s="4">
        <v>9</v>
      </c>
      <c r="H1210" s="4">
        <v>6</v>
      </c>
      <c r="I1210" s="4">
        <v>9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</row>
    <row r="1211" spans="2:19" x14ac:dyDescent="0.25">
      <c r="B1211" s="4">
        <v>30051124</v>
      </c>
      <c r="C1211" s="1" t="s">
        <v>747</v>
      </c>
      <c r="D1211" s="4" t="s">
        <v>86</v>
      </c>
      <c r="E1211" s="3"/>
      <c r="F1211" s="3" t="s">
        <v>68</v>
      </c>
      <c r="G1211" s="4">
        <v>16</v>
      </c>
      <c r="H1211" s="4">
        <v>16</v>
      </c>
      <c r="I1211" s="4">
        <v>18</v>
      </c>
      <c r="J1211" s="4" t="s">
        <v>8</v>
      </c>
      <c r="K1211" s="4" t="s">
        <v>7</v>
      </c>
      <c r="L1211" s="11"/>
      <c r="M1211" s="3"/>
      <c r="N1211">
        <v>4502696023</v>
      </c>
      <c r="O1211" s="4">
        <v>14</v>
      </c>
      <c r="P1211" s="1" t="s">
        <v>1607</v>
      </c>
      <c r="Q1211" s="22">
        <v>46286</v>
      </c>
      <c r="R1211"/>
      <c r="S1211" s="11" t="s">
        <v>1633</v>
      </c>
    </row>
    <row r="1212" spans="2:19" x14ac:dyDescent="0.25">
      <c r="B1212" s="4">
        <v>30051126</v>
      </c>
      <c r="C1212" s="1" t="s">
        <v>1253</v>
      </c>
      <c r="D1212" s="4" t="s">
        <v>86</v>
      </c>
      <c r="E1212" s="3"/>
      <c r="F1212" s="3" t="s">
        <v>68</v>
      </c>
      <c r="G1212" s="4">
        <v>7</v>
      </c>
      <c r="H1212" s="4">
        <v>4</v>
      </c>
      <c r="I1212" s="4">
        <v>8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</row>
    <row r="1213" spans="2:19" x14ac:dyDescent="0.25">
      <c r="B1213" s="4">
        <v>30051127</v>
      </c>
      <c r="C1213" s="1" t="s">
        <v>1254</v>
      </c>
      <c r="D1213" s="4" t="s">
        <v>86</v>
      </c>
      <c r="E1213" s="3"/>
      <c r="F1213" s="3" t="s">
        <v>68</v>
      </c>
      <c r="G1213" s="4">
        <v>7</v>
      </c>
      <c r="H1213" s="4">
        <v>4</v>
      </c>
      <c r="I1213" s="4">
        <v>8</v>
      </c>
      <c r="J1213" s="4" t="s">
        <v>8</v>
      </c>
      <c r="K1213" s="4" t="s">
        <v>7</v>
      </c>
      <c r="L1213" s="11"/>
      <c r="M1213" s="3"/>
      <c r="N1213"/>
      <c r="O1213" s="4"/>
      <c r="P1213" s="1"/>
      <c r="Q1213" s="22"/>
      <c r="R1213"/>
      <c r="S1213" s="11"/>
    </row>
    <row r="1214" spans="2:19" x14ac:dyDescent="0.25">
      <c r="B1214" s="4">
        <v>30051148</v>
      </c>
      <c r="C1214" s="1" t="s">
        <v>748</v>
      </c>
      <c r="D1214" s="4" t="s">
        <v>86</v>
      </c>
      <c r="E1214" s="3"/>
      <c r="F1214" s="3" t="s">
        <v>68</v>
      </c>
      <c r="G1214" s="4">
        <v>4</v>
      </c>
      <c r="H1214" s="4">
        <v>2</v>
      </c>
      <c r="I1214" s="4">
        <v>5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 t="s">
        <v>1601</v>
      </c>
    </row>
    <row r="1215" spans="2:19" x14ac:dyDescent="0.25">
      <c r="B1215" s="4">
        <v>30051149</v>
      </c>
      <c r="C1215" s="1" t="s">
        <v>870</v>
      </c>
      <c r="D1215" s="4" t="s">
        <v>86</v>
      </c>
      <c r="E1215" s="74"/>
      <c r="F1215" s="3" t="s">
        <v>102</v>
      </c>
      <c r="G1215" s="4">
        <v>4</v>
      </c>
      <c r="H1215" s="4">
        <v>3</v>
      </c>
      <c r="I1215" s="4">
        <v>4</v>
      </c>
      <c r="J1215" s="4" t="s">
        <v>8</v>
      </c>
      <c r="K1215" s="4" t="s">
        <v>7</v>
      </c>
      <c r="L1215" s="11"/>
      <c r="M1215" s="3"/>
      <c r="N1215"/>
      <c r="O1215" s="4"/>
      <c r="P1215" s="1"/>
      <c r="Q1215" s="22"/>
      <c r="R1215"/>
      <c r="S1215" s="11"/>
    </row>
    <row r="1216" spans="2:19" x14ac:dyDescent="0.25">
      <c r="B1216" s="4">
        <v>30051151</v>
      </c>
      <c r="C1216" s="1" t="s">
        <v>919</v>
      </c>
      <c r="D1216" s="4" t="s">
        <v>86</v>
      </c>
      <c r="E1216" s="3" t="s">
        <v>1225</v>
      </c>
      <c r="F1216" s="3" t="s">
        <v>102</v>
      </c>
      <c r="G1216" s="4">
        <v>4</v>
      </c>
      <c r="H1216" s="4">
        <v>3</v>
      </c>
      <c r="I1216" s="4">
        <v>6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</row>
    <row r="1217" spans="2:19" x14ac:dyDescent="0.25">
      <c r="B1217" s="4">
        <v>30051303</v>
      </c>
      <c r="C1217" s="1" t="s">
        <v>749</v>
      </c>
      <c r="D1217" s="4" t="s">
        <v>86</v>
      </c>
      <c r="E1217" s="3"/>
      <c r="F1217" s="3" t="s">
        <v>68</v>
      </c>
      <c r="G1217" s="4">
        <v>2</v>
      </c>
      <c r="H1217" s="4">
        <v>3</v>
      </c>
      <c r="I1217" s="4">
        <v>2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</row>
    <row r="1218" spans="2:19" x14ac:dyDescent="0.25">
      <c r="B1218" s="4">
        <v>30051390</v>
      </c>
      <c r="C1218" s="1" t="s">
        <v>750</v>
      </c>
      <c r="D1218" s="4" t="s">
        <v>86</v>
      </c>
      <c r="E1218" s="3"/>
      <c r="F1218" s="3" t="s">
        <v>68</v>
      </c>
      <c r="G1218" s="4">
        <v>54</v>
      </c>
      <c r="H1218" s="4">
        <v>54</v>
      </c>
      <c r="I1218" s="4">
        <v>75</v>
      </c>
      <c r="J1218" s="4" t="s">
        <v>25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/>
    </row>
    <row r="1219" spans="2:19" x14ac:dyDescent="0.25">
      <c r="B1219" s="4">
        <v>30051434</v>
      </c>
      <c r="C1219" s="1" t="s">
        <v>751</v>
      </c>
      <c r="D1219" s="4" t="s">
        <v>86</v>
      </c>
      <c r="E1219" s="3"/>
      <c r="F1219" s="3" t="s">
        <v>68</v>
      </c>
      <c r="G1219" s="4">
        <v>30</v>
      </c>
      <c r="H1219" s="4">
        <v>30</v>
      </c>
      <c r="I1219" s="4">
        <v>30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</row>
    <row r="1220" spans="2:19" x14ac:dyDescent="0.25">
      <c r="B1220" s="4">
        <v>30051435</v>
      </c>
      <c r="C1220" s="1" t="s">
        <v>752</v>
      </c>
      <c r="D1220" s="4" t="s">
        <v>86</v>
      </c>
      <c r="E1220" s="3"/>
      <c r="F1220" s="3" t="s">
        <v>68</v>
      </c>
      <c r="G1220" s="4">
        <v>28</v>
      </c>
      <c r="H1220" s="4">
        <v>20</v>
      </c>
      <c r="I1220" s="4">
        <v>46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</row>
    <row r="1221" spans="2:19" x14ac:dyDescent="0.25">
      <c r="B1221" s="4">
        <v>30051440</v>
      </c>
      <c r="C1221" s="1" t="s">
        <v>753</v>
      </c>
      <c r="D1221" s="4" t="s">
        <v>86</v>
      </c>
      <c r="E1221" s="3"/>
      <c r="F1221" s="3" t="s">
        <v>68</v>
      </c>
      <c r="G1221" s="4">
        <v>3500</v>
      </c>
      <c r="H1221" s="4">
        <v>12740</v>
      </c>
      <c r="I1221" s="4">
        <v>3538</v>
      </c>
      <c r="J1221" s="4" t="s">
        <v>23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</row>
    <row r="1222" spans="2:19" x14ac:dyDescent="0.25">
      <c r="B1222" s="4">
        <v>30051455</v>
      </c>
      <c r="C1222" s="1" t="s">
        <v>754</v>
      </c>
      <c r="D1222" s="4" t="s">
        <v>86</v>
      </c>
      <c r="E1222" s="3"/>
      <c r="F1222" s="3" t="s">
        <v>68</v>
      </c>
      <c r="G1222" s="4">
        <v>3</v>
      </c>
      <c r="H1222" s="4">
        <v>3</v>
      </c>
      <c r="I1222" s="4">
        <v>4</v>
      </c>
      <c r="J1222" s="4" t="s">
        <v>8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</row>
    <row r="1223" spans="2:19" x14ac:dyDescent="0.25">
      <c r="B1223" s="4">
        <v>30051537</v>
      </c>
      <c r="C1223" s="1" t="s">
        <v>755</v>
      </c>
      <c r="D1223" s="4" t="s">
        <v>86</v>
      </c>
      <c r="E1223" s="3"/>
      <c r="F1223" s="3" t="s">
        <v>68</v>
      </c>
      <c r="G1223" s="4">
        <v>11</v>
      </c>
      <c r="H1223" s="4">
        <v>18</v>
      </c>
      <c r="I1223" s="4">
        <v>44</v>
      </c>
      <c r="J1223" s="4" t="s">
        <v>8</v>
      </c>
      <c r="K1223" s="4" t="s">
        <v>14</v>
      </c>
      <c r="L1223" s="11"/>
      <c r="M1223" s="3"/>
      <c r="N1223">
        <v>4502674443</v>
      </c>
      <c r="O1223" s="4">
        <v>300</v>
      </c>
      <c r="P1223" s="1" t="s">
        <v>1510</v>
      </c>
      <c r="Q1223" s="22">
        <v>46169</v>
      </c>
      <c r="R1223"/>
      <c r="S1223" s="11"/>
    </row>
    <row r="1224" spans="2:19" x14ac:dyDescent="0.25">
      <c r="B1224" s="4">
        <v>30051538</v>
      </c>
      <c r="C1224" s="1" t="s">
        <v>756</v>
      </c>
      <c r="D1224" s="4" t="s">
        <v>86</v>
      </c>
      <c r="E1224" s="3"/>
      <c r="F1224" s="3" t="s">
        <v>68</v>
      </c>
      <c r="G1224" s="4">
        <v>40</v>
      </c>
      <c r="H1224" s="4">
        <v>100</v>
      </c>
      <c r="I1224" s="4">
        <v>3</v>
      </c>
      <c r="J1224" s="4" t="s">
        <v>8</v>
      </c>
      <c r="K1224" s="4" t="s">
        <v>9</v>
      </c>
      <c r="L1224" s="11"/>
      <c r="M1224" s="3"/>
      <c r="N1224">
        <v>4502674443</v>
      </c>
      <c r="O1224" s="4">
        <v>200</v>
      </c>
      <c r="P1224" s="1" t="s">
        <v>1510</v>
      </c>
      <c r="Q1224" s="22">
        <v>46169</v>
      </c>
      <c r="R1224"/>
      <c r="S1224" s="11"/>
    </row>
    <row r="1225" spans="2:19" x14ac:dyDescent="0.25">
      <c r="B1225" s="4">
        <v>30051539</v>
      </c>
      <c r="C1225" s="1" t="s">
        <v>1507</v>
      </c>
      <c r="D1225" s="4" t="s">
        <v>86</v>
      </c>
      <c r="E1225" s="3"/>
      <c r="F1225" s="3" t="s">
        <v>68</v>
      </c>
      <c r="G1225" s="4">
        <v>100</v>
      </c>
      <c r="H1225" s="4">
        <v>300</v>
      </c>
      <c r="I1225" s="4">
        <v>400</v>
      </c>
      <c r="J1225" s="4" t="s">
        <v>8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</row>
    <row r="1226" spans="2:19" x14ac:dyDescent="0.25">
      <c r="B1226" s="4">
        <v>30051540</v>
      </c>
      <c r="C1226" s="1" t="s">
        <v>757</v>
      </c>
      <c r="D1226" s="4" t="s">
        <v>86</v>
      </c>
      <c r="E1226" s="3"/>
      <c r="F1226" s="3" t="s">
        <v>68</v>
      </c>
      <c r="G1226" s="4">
        <v>150</v>
      </c>
      <c r="H1226" s="4">
        <v>300</v>
      </c>
      <c r="I1226" s="4">
        <v>300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</row>
    <row r="1227" spans="2:19" x14ac:dyDescent="0.25">
      <c r="B1227" s="4">
        <v>30051541</v>
      </c>
      <c r="C1227" s="1" t="s">
        <v>758</v>
      </c>
      <c r="D1227" s="4" t="s">
        <v>86</v>
      </c>
      <c r="E1227" s="3"/>
      <c r="F1227" s="3" t="s">
        <v>68</v>
      </c>
      <c r="G1227" s="4">
        <v>2</v>
      </c>
      <c r="H1227" s="4">
        <v>2</v>
      </c>
      <c r="I1227" s="4">
        <v>8</v>
      </c>
      <c r="J1227" s="4" t="s">
        <v>8</v>
      </c>
      <c r="K1227" s="4" t="s">
        <v>14</v>
      </c>
      <c r="L1227" s="11"/>
      <c r="M1227" s="3"/>
      <c r="N1227"/>
      <c r="O1227" s="4"/>
      <c r="P1227" s="1"/>
      <c r="Q1227" s="22"/>
      <c r="R1227"/>
      <c r="S1227" s="11"/>
    </row>
    <row r="1228" spans="2:19" x14ac:dyDescent="0.25">
      <c r="B1228" s="4">
        <v>30051542</v>
      </c>
      <c r="C1228" s="1" t="s">
        <v>1343</v>
      </c>
      <c r="D1228" s="4" t="s">
        <v>86</v>
      </c>
      <c r="E1228" s="74"/>
      <c r="F1228" s="3" t="s">
        <v>68</v>
      </c>
      <c r="G1228" s="4">
        <v>3</v>
      </c>
      <c r="H1228" s="4">
        <v>4</v>
      </c>
      <c r="I1228" s="4">
        <v>4</v>
      </c>
      <c r="J1228" s="4" t="s">
        <v>8</v>
      </c>
      <c r="K1228" s="4" t="s">
        <v>7</v>
      </c>
      <c r="L1228" s="11"/>
      <c r="M1228" s="3"/>
      <c r="N1228"/>
      <c r="O1228" s="4"/>
      <c r="P1228" s="1"/>
      <c r="Q1228" s="22"/>
      <c r="R1228"/>
      <c r="S1228" s="11"/>
    </row>
    <row r="1229" spans="2:19" x14ac:dyDescent="0.25">
      <c r="B1229" s="4">
        <v>30051548</v>
      </c>
      <c r="C1229" s="1" t="s">
        <v>1169</v>
      </c>
      <c r="D1229" s="4" t="s">
        <v>86</v>
      </c>
      <c r="E1229" s="3" t="s">
        <v>1225</v>
      </c>
      <c r="F1229" s="3" t="s">
        <v>102</v>
      </c>
      <c r="G1229" s="4">
        <v>3</v>
      </c>
      <c r="H1229" s="4">
        <v>2</v>
      </c>
      <c r="I1229" s="4">
        <v>2</v>
      </c>
      <c r="J1229" s="4" t="s">
        <v>8</v>
      </c>
      <c r="K1229" s="4" t="s">
        <v>9</v>
      </c>
      <c r="L1229" s="11"/>
      <c r="M1229" s="3"/>
      <c r="N1229">
        <v>4502693668</v>
      </c>
      <c r="O1229" s="4">
        <v>3</v>
      </c>
      <c r="P1229" s="1" t="s">
        <v>1646</v>
      </c>
      <c r="Q1229" s="22">
        <v>46350</v>
      </c>
      <c r="R1229"/>
      <c r="S1229" s="11" t="s">
        <v>1635</v>
      </c>
    </row>
    <row r="1230" spans="2:19" x14ac:dyDescent="0.25">
      <c r="B1230" s="4">
        <v>30051604</v>
      </c>
      <c r="C1230" s="1" t="s">
        <v>759</v>
      </c>
      <c r="D1230" s="4" t="s">
        <v>86</v>
      </c>
      <c r="E1230" s="3"/>
      <c r="F1230" s="3" t="s">
        <v>68</v>
      </c>
      <c r="G1230" s="4">
        <v>2</v>
      </c>
      <c r="H1230" s="4">
        <v>2</v>
      </c>
      <c r="I1230" s="4">
        <v>6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</row>
    <row r="1231" spans="2:19" x14ac:dyDescent="0.25">
      <c r="B1231" s="4">
        <v>30051653</v>
      </c>
      <c r="C1231" s="1" t="s">
        <v>760</v>
      </c>
      <c r="D1231" s="4" t="s">
        <v>86</v>
      </c>
      <c r="E1231" s="3"/>
      <c r="F1231" s="3" t="s">
        <v>68</v>
      </c>
      <c r="G1231" s="4">
        <v>2</v>
      </c>
      <c r="H1231" s="4">
        <v>3</v>
      </c>
      <c r="I1231" s="4">
        <v>0</v>
      </c>
      <c r="J1231" s="4" t="s">
        <v>8</v>
      </c>
      <c r="K1231" s="4" t="s">
        <v>13</v>
      </c>
      <c r="L1231" s="11">
        <v>1002671085</v>
      </c>
      <c r="M1231" s="3">
        <v>5</v>
      </c>
      <c r="N1231"/>
      <c r="O1231" s="4"/>
      <c r="P1231" s="1"/>
      <c r="Q1231" s="22"/>
      <c r="R1231"/>
      <c r="S1231" s="11"/>
    </row>
    <row r="1232" spans="2:19" x14ac:dyDescent="0.25">
      <c r="B1232" s="4">
        <v>30051659</v>
      </c>
      <c r="C1232" s="1" t="s">
        <v>761</v>
      </c>
      <c r="D1232" s="4" t="s">
        <v>86</v>
      </c>
      <c r="E1232" s="3"/>
      <c r="F1232" s="3" t="s">
        <v>68</v>
      </c>
      <c r="G1232" s="4">
        <v>7</v>
      </c>
      <c r="H1232" s="4">
        <v>4</v>
      </c>
      <c r="I1232" s="4">
        <v>8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</row>
    <row r="1233" spans="2:19" x14ac:dyDescent="0.25">
      <c r="B1233" s="4">
        <v>30051725</v>
      </c>
      <c r="C1233" s="1" t="s">
        <v>762</v>
      </c>
      <c r="D1233" s="4" t="s">
        <v>86</v>
      </c>
      <c r="E1233" s="3"/>
      <c r="F1233" s="3" t="s">
        <v>68</v>
      </c>
      <c r="G1233" s="4">
        <v>2</v>
      </c>
      <c r="H1233" s="4">
        <v>3</v>
      </c>
      <c r="I1233" s="4">
        <v>3</v>
      </c>
      <c r="J1233" s="4" t="s">
        <v>8</v>
      </c>
      <c r="K1233" s="4" t="s">
        <v>7</v>
      </c>
      <c r="L1233" s="11"/>
      <c r="M1233" s="3"/>
      <c r="N1233"/>
      <c r="O1233" s="4"/>
      <c r="P1233" s="1"/>
      <c r="Q1233" s="22"/>
      <c r="R1233"/>
      <c r="S1233" s="11"/>
    </row>
    <row r="1234" spans="2:19" x14ac:dyDescent="0.25">
      <c r="B1234" s="4">
        <v>30051767</v>
      </c>
      <c r="C1234" s="1" t="s">
        <v>763</v>
      </c>
      <c r="D1234" s="4" t="s">
        <v>86</v>
      </c>
      <c r="E1234" s="3"/>
      <c r="F1234" s="3" t="s">
        <v>68</v>
      </c>
      <c r="G1234" s="4">
        <v>20</v>
      </c>
      <c r="H1234" s="4">
        <v>20</v>
      </c>
      <c r="I1234" s="4">
        <v>36</v>
      </c>
      <c r="J1234" s="4" t="s">
        <v>10</v>
      </c>
      <c r="K1234" s="4" t="s">
        <v>7</v>
      </c>
      <c r="L1234" s="11"/>
      <c r="M1234" s="3"/>
      <c r="N1234"/>
      <c r="O1234" s="4"/>
      <c r="P1234" s="1"/>
      <c r="Q1234" s="22"/>
      <c r="R1234"/>
      <c r="S1234" s="11"/>
    </row>
    <row r="1235" spans="2:19" x14ac:dyDescent="0.25">
      <c r="B1235" s="4">
        <v>30052253</v>
      </c>
      <c r="C1235" s="1" t="s">
        <v>764</v>
      </c>
      <c r="D1235" s="4" t="s">
        <v>86</v>
      </c>
      <c r="E1235" s="3"/>
      <c r="F1235" s="3" t="s">
        <v>68</v>
      </c>
      <c r="G1235" s="4">
        <v>3</v>
      </c>
      <c r="H1235" s="4">
        <v>5</v>
      </c>
      <c r="I1235" s="4">
        <v>2</v>
      </c>
      <c r="J1235" s="4" t="s">
        <v>8</v>
      </c>
      <c r="K1235" s="4" t="s">
        <v>9</v>
      </c>
      <c r="L1235" s="11">
        <v>1002648063</v>
      </c>
      <c r="M1235" s="3">
        <v>5</v>
      </c>
      <c r="N1235"/>
      <c r="O1235" s="4"/>
      <c r="P1235" s="1"/>
      <c r="Q1235" s="22"/>
      <c r="R1235"/>
      <c r="S1235" s="11"/>
    </row>
    <row r="1236" spans="2:19" x14ac:dyDescent="0.25">
      <c r="B1236" s="4">
        <v>30052303</v>
      </c>
      <c r="C1236" s="1" t="s">
        <v>765</v>
      </c>
      <c r="D1236" s="4" t="s">
        <v>86</v>
      </c>
      <c r="E1236" s="3"/>
      <c r="F1236" s="3" t="s">
        <v>68</v>
      </c>
      <c r="G1236" s="4">
        <v>2</v>
      </c>
      <c r="H1236" s="4">
        <v>2</v>
      </c>
      <c r="I1236" s="4">
        <v>2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</row>
    <row r="1237" spans="2:19" x14ac:dyDescent="0.25">
      <c r="B1237" s="4">
        <v>30052311</v>
      </c>
      <c r="C1237" s="1" t="s">
        <v>766</v>
      </c>
      <c r="D1237" s="4" t="s">
        <v>86</v>
      </c>
      <c r="E1237" s="3"/>
      <c r="F1237" s="3" t="s">
        <v>68</v>
      </c>
      <c r="G1237" s="4">
        <v>2</v>
      </c>
      <c r="H1237" s="4">
        <v>1</v>
      </c>
      <c r="I1237" s="4">
        <v>18</v>
      </c>
      <c r="J1237" s="4" t="s">
        <v>8</v>
      </c>
      <c r="K1237" s="4" t="s">
        <v>14</v>
      </c>
      <c r="L1237" s="11"/>
      <c r="M1237" s="3"/>
      <c r="N1237"/>
      <c r="O1237" s="4"/>
      <c r="P1237" s="1"/>
      <c r="Q1237" s="22"/>
      <c r="R1237"/>
      <c r="S1237" s="11"/>
    </row>
    <row r="1238" spans="2:19" x14ac:dyDescent="0.25">
      <c r="B1238" s="4">
        <v>30052324</v>
      </c>
      <c r="C1238" s="1" t="s">
        <v>767</v>
      </c>
      <c r="D1238" s="4" t="s">
        <v>86</v>
      </c>
      <c r="E1238" s="3"/>
      <c r="F1238" s="3" t="s">
        <v>68</v>
      </c>
      <c r="G1238" s="4">
        <v>2</v>
      </c>
      <c r="H1238" s="4">
        <v>1</v>
      </c>
      <c r="I1238" s="4">
        <v>27</v>
      </c>
      <c r="J1238" s="4" t="s">
        <v>8</v>
      </c>
      <c r="K1238" s="4" t="s">
        <v>14</v>
      </c>
      <c r="L1238" s="11"/>
      <c r="M1238" s="3"/>
      <c r="N1238"/>
      <c r="O1238" s="4"/>
      <c r="P1238" s="1"/>
      <c r="Q1238" s="22"/>
      <c r="R1238"/>
      <c r="S1238" s="11"/>
    </row>
    <row r="1239" spans="2:19" x14ac:dyDescent="0.25">
      <c r="B1239" s="4">
        <v>30052991</v>
      </c>
      <c r="C1239" s="1" t="s">
        <v>1092</v>
      </c>
      <c r="D1239" s="4" t="s">
        <v>86</v>
      </c>
      <c r="E1239" s="3"/>
      <c r="F1239" s="3" t="s">
        <v>102</v>
      </c>
      <c r="G1239" s="4">
        <v>2</v>
      </c>
      <c r="H1239" s="4">
        <v>1</v>
      </c>
      <c r="I1239" s="4">
        <v>3</v>
      </c>
      <c r="J1239" s="4" t="s">
        <v>8</v>
      </c>
      <c r="K1239" s="4" t="s">
        <v>7</v>
      </c>
      <c r="L1239" s="11"/>
      <c r="M1239" s="3"/>
      <c r="N1239"/>
      <c r="O1239" s="4"/>
      <c r="P1239" s="1"/>
      <c r="Q1239" s="22"/>
      <c r="R1239"/>
      <c r="S1239" s="11"/>
    </row>
    <row r="1240" spans="2:19" x14ac:dyDescent="0.25">
      <c r="B1240" s="4">
        <v>30053002</v>
      </c>
      <c r="C1240" s="1" t="s">
        <v>920</v>
      </c>
      <c r="D1240" s="4" t="s">
        <v>86</v>
      </c>
      <c r="E1240" s="3" t="s">
        <v>1225</v>
      </c>
      <c r="F1240" s="3" t="s">
        <v>102</v>
      </c>
      <c r="G1240" s="4">
        <v>3</v>
      </c>
      <c r="H1240" s="4">
        <v>2</v>
      </c>
      <c r="I1240" s="4">
        <v>3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</row>
    <row r="1241" spans="2:19" x14ac:dyDescent="0.25">
      <c r="B1241" s="4">
        <v>30053005</v>
      </c>
      <c r="C1241" s="1" t="s">
        <v>921</v>
      </c>
      <c r="D1241" s="4" t="s">
        <v>86</v>
      </c>
      <c r="E1241" s="3" t="s">
        <v>1225</v>
      </c>
      <c r="F1241" s="3" t="s">
        <v>102</v>
      </c>
      <c r="G1241" s="4">
        <v>2</v>
      </c>
      <c r="H1241" s="4">
        <v>2</v>
      </c>
      <c r="I1241" s="4">
        <v>3</v>
      </c>
      <c r="J1241" s="4" t="s">
        <v>8</v>
      </c>
      <c r="K1241" s="4" t="s">
        <v>7</v>
      </c>
      <c r="L1241" s="11"/>
      <c r="M1241" s="3"/>
      <c r="N1241"/>
      <c r="O1241" s="4"/>
      <c r="P1241" s="1"/>
      <c r="Q1241" s="22"/>
      <c r="R1241"/>
      <c r="S1241" s="11"/>
    </row>
    <row r="1242" spans="2:19" x14ac:dyDescent="0.25">
      <c r="B1242" s="4">
        <v>30053006</v>
      </c>
      <c r="C1242" s="1" t="s">
        <v>922</v>
      </c>
      <c r="D1242" s="4" t="s">
        <v>86</v>
      </c>
      <c r="E1242" s="3" t="s">
        <v>1225</v>
      </c>
      <c r="F1242" s="3" t="s">
        <v>102</v>
      </c>
      <c r="G1242" s="4">
        <v>2</v>
      </c>
      <c r="H1242" s="4">
        <v>2</v>
      </c>
      <c r="I1242" s="4">
        <v>3</v>
      </c>
      <c r="J1242" s="4" t="s">
        <v>8</v>
      </c>
      <c r="K1242" s="4" t="s">
        <v>7</v>
      </c>
      <c r="L1242" s="11"/>
      <c r="M1242" s="3"/>
      <c r="N1242"/>
      <c r="O1242" s="4"/>
      <c r="P1242" s="1"/>
      <c r="Q1242" s="22"/>
      <c r="R1242"/>
      <c r="S1242" s="11"/>
    </row>
    <row r="1243" spans="2:19" x14ac:dyDescent="0.25">
      <c r="B1243" s="4">
        <v>30053007</v>
      </c>
      <c r="C1243" s="1" t="s">
        <v>923</v>
      </c>
      <c r="D1243" s="4" t="s">
        <v>86</v>
      </c>
      <c r="E1243" s="3" t="s">
        <v>1225</v>
      </c>
      <c r="F1243" s="3" t="s">
        <v>102</v>
      </c>
      <c r="G1243" s="4">
        <v>2</v>
      </c>
      <c r="H1243" s="4">
        <v>2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</row>
    <row r="1244" spans="2:19" x14ac:dyDescent="0.25">
      <c r="B1244" s="4">
        <v>30053069</v>
      </c>
      <c r="C1244" s="1" t="s">
        <v>1376</v>
      </c>
      <c r="D1244" s="4" t="s">
        <v>86</v>
      </c>
      <c r="E1244" s="3"/>
      <c r="F1244" s="3" t="s">
        <v>68</v>
      </c>
      <c r="G1244" s="4">
        <v>1</v>
      </c>
      <c r="H1244" s="4">
        <v>1</v>
      </c>
      <c r="I1244" s="4">
        <v>1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</row>
    <row r="1245" spans="2:19" x14ac:dyDescent="0.25">
      <c r="B1245" s="4">
        <v>30053076</v>
      </c>
      <c r="C1245" s="1" t="s">
        <v>768</v>
      </c>
      <c r="D1245" s="4" t="s">
        <v>86</v>
      </c>
      <c r="E1245" s="3"/>
      <c r="F1245" s="3" t="s">
        <v>68</v>
      </c>
      <c r="G1245" s="4">
        <v>5</v>
      </c>
      <c r="H1245" s="4">
        <v>4</v>
      </c>
      <c r="I1245" s="4">
        <v>4</v>
      </c>
      <c r="J1245" s="4" t="s">
        <v>8</v>
      </c>
      <c r="K1245" s="4" t="s">
        <v>9</v>
      </c>
      <c r="L1245" s="11">
        <v>1002648063</v>
      </c>
      <c r="M1245" s="3">
        <v>4</v>
      </c>
      <c r="N1245"/>
      <c r="O1245" s="4"/>
      <c r="P1245" s="1"/>
      <c r="Q1245" s="22"/>
      <c r="R1245"/>
      <c r="S1245" s="11"/>
    </row>
    <row r="1246" spans="2:19" x14ac:dyDescent="0.25">
      <c r="B1246" s="4">
        <v>30053079</v>
      </c>
      <c r="C1246" s="1" t="s">
        <v>769</v>
      </c>
      <c r="D1246" s="4" t="s">
        <v>86</v>
      </c>
      <c r="E1246" s="3"/>
      <c r="F1246" s="3" t="s">
        <v>68</v>
      </c>
      <c r="G1246" s="4">
        <v>3</v>
      </c>
      <c r="H1246" s="4">
        <v>3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</row>
    <row r="1247" spans="2:19" x14ac:dyDescent="0.25">
      <c r="B1247" s="4">
        <v>30053405</v>
      </c>
      <c r="C1247" s="1" t="s">
        <v>770</v>
      </c>
      <c r="D1247" s="4" t="s">
        <v>86</v>
      </c>
      <c r="E1247" s="3"/>
      <c r="F1247" s="3" t="s">
        <v>68</v>
      </c>
      <c r="G1247" s="4">
        <v>1</v>
      </c>
      <c r="H1247" s="4">
        <v>2</v>
      </c>
      <c r="I1247" s="4">
        <v>2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</row>
    <row r="1248" spans="2:19" x14ac:dyDescent="0.25">
      <c r="B1248" s="4">
        <v>30053646</v>
      </c>
      <c r="C1248" s="1" t="s">
        <v>771</v>
      </c>
      <c r="D1248" s="4" t="s">
        <v>86</v>
      </c>
      <c r="E1248" s="3"/>
      <c r="F1248" s="3" t="s">
        <v>68</v>
      </c>
      <c r="G1248" s="4">
        <v>6</v>
      </c>
      <c r="H1248" s="4">
        <v>8</v>
      </c>
      <c r="I1248" s="4">
        <v>5</v>
      </c>
      <c r="J1248" s="4" t="s">
        <v>8</v>
      </c>
      <c r="K1248" s="4" t="s">
        <v>9</v>
      </c>
      <c r="L1248" s="11">
        <v>1002637281</v>
      </c>
      <c r="M1248" s="3">
        <v>8</v>
      </c>
      <c r="N1248"/>
      <c r="O1248" s="4"/>
      <c r="P1248" s="1"/>
      <c r="Q1248" s="22"/>
      <c r="R1248"/>
      <c r="S1248" s="11" t="s">
        <v>1633</v>
      </c>
    </row>
    <row r="1249" spans="2:19" x14ac:dyDescent="0.25">
      <c r="B1249" s="4">
        <v>30053650</v>
      </c>
      <c r="C1249" s="1" t="s">
        <v>772</v>
      </c>
      <c r="D1249" s="4" t="s">
        <v>86</v>
      </c>
      <c r="E1249" s="3"/>
      <c r="F1249" s="3" t="s">
        <v>68</v>
      </c>
      <c r="G1249" s="4">
        <v>5</v>
      </c>
      <c r="H1249" s="4">
        <v>8</v>
      </c>
      <c r="I1249" s="4">
        <v>9</v>
      </c>
      <c r="J1249" s="4" t="s">
        <v>8</v>
      </c>
      <c r="K1249" s="4" t="s">
        <v>7</v>
      </c>
      <c r="L1249" s="11"/>
      <c r="M1249" s="3"/>
      <c r="N1249"/>
      <c r="O1249" s="4"/>
      <c r="P1249" s="1"/>
      <c r="Q1249" s="22"/>
      <c r="R1249"/>
      <c r="S1249" s="11"/>
    </row>
    <row r="1250" spans="2:19" x14ac:dyDescent="0.25">
      <c r="B1250" s="4">
        <v>30053694</v>
      </c>
      <c r="C1250" s="1" t="s">
        <v>773</v>
      </c>
      <c r="D1250" s="4" t="s">
        <v>86</v>
      </c>
      <c r="E1250" s="3"/>
      <c r="F1250" s="3" t="s">
        <v>68</v>
      </c>
      <c r="G1250" s="4">
        <v>8</v>
      </c>
      <c r="H1250" s="4">
        <v>8</v>
      </c>
      <c r="I1250" s="4">
        <v>10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</row>
    <row r="1251" spans="2:19" x14ac:dyDescent="0.25">
      <c r="B1251" s="4">
        <v>30060410</v>
      </c>
      <c r="C1251" s="1" t="s">
        <v>1419</v>
      </c>
      <c r="D1251" s="4" t="s">
        <v>86</v>
      </c>
      <c r="E1251" s="3"/>
      <c r="F1251" s="3" t="s">
        <v>68</v>
      </c>
      <c r="G1251" s="4">
        <v>2</v>
      </c>
      <c r="H1251" s="4">
        <v>4</v>
      </c>
      <c r="I1251" s="4">
        <v>7</v>
      </c>
      <c r="J1251" s="4" t="s">
        <v>8</v>
      </c>
      <c r="K1251" s="4" t="s">
        <v>14</v>
      </c>
      <c r="L1251" s="11"/>
      <c r="M1251" s="3"/>
      <c r="N1251"/>
      <c r="O1251" s="4"/>
      <c r="P1251" s="1"/>
      <c r="Q1251" s="22"/>
      <c r="R1251"/>
      <c r="S1251" s="11"/>
    </row>
    <row r="1252" spans="2:19" x14ac:dyDescent="0.25">
      <c r="B1252" s="4">
        <v>30060836</v>
      </c>
      <c r="C1252" s="1" t="s">
        <v>774</v>
      </c>
      <c r="D1252" s="4" t="s">
        <v>86</v>
      </c>
      <c r="E1252" s="3"/>
      <c r="F1252" s="3" t="s">
        <v>68</v>
      </c>
      <c r="G1252" s="4">
        <v>32</v>
      </c>
      <c r="H1252" s="4">
        <v>32</v>
      </c>
      <c r="I1252" s="4">
        <v>32</v>
      </c>
      <c r="J1252" s="4" t="s">
        <v>8</v>
      </c>
      <c r="K1252" s="4" t="s">
        <v>7</v>
      </c>
      <c r="L1252" s="11"/>
      <c r="M1252" s="3"/>
      <c r="N1252"/>
      <c r="O1252" s="4"/>
      <c r="P1252" s="1"/>
      <c r="Q1252" s="22"/>
      <c r="R1252"/>
      <c r="S1252" s="11" t="s">
        <v>1597</v>
      </c>
    </row>
    <row r="1253" spans="2:19" x14ac:dyDescent="0.25">
      <c r="B1253" s="4">
        <v>30063224</v>
      </c>
      <c r="C1253" s="1" t="s">
        <v>775</v>
      </c>
      <c r="D1253" s="4" t="s">
        <v>86</v>
      </c>
      <c r="E1253" s="3"/>
      <c r="F1253" s="3" t="s">
        <v>68</v>
      </c>
      <c r="G1253" s="4">
        <v>10</v>
      </c>
      <c r="H1253" s="4">
        <v>10</v>
      </c>
      <c r="I1253" s="4">
        <v>22</v>
      </c>
      <c r="J1253" s="4" t="s">
        <v>8</v>
      </c>
      <c r="K1253" s="4" t="s">
        <v>14</v>
      </c>
      <c r="L1253" s="11"/>
      <c r="M1253" s="3"/>
      <c r="N1253"/>
      <c r="O1253" s="4"/>
      <c r="P1253" s="1"/>
      <c r="Q1253" s="22"/>
      <c r="R1253"/>
      <c r="S1253" s="11"/>
    </row>
    <row r="1254" spans="2:19" x14ac:dyDescent="0.25">
      <c r="B1254" s="4">
        <v>30063274</v>
      </c>
      <c r="C1254" s="1" t="s">
        <v>924</v>
      </c>
      <c r="D1254" s="4" t="s">
        <v>86</v>
      </c>
      <c r="E1254" s="3" t="s">
        <v>1225</v>
      </c>
      <c r="F1254" s="3" t="s">
        <v>102</v>
      </c>
      <c r="G1254" s="4">
        <v>3</v>
      </c>
      <c r="H1254" s="4">
        <v>2</v>
      </c>
      <c r="I1254" s="4">
        <v>1</v>
      </c>
      <c r="J1254" s="4" t="s">
        <v>8</v>
      </c>
      <c r="K1254" s="4" t="s">
        <v>9</v>
      </c>
      <c r="L1254" s="11" t="s">
        <v>1623</v>
      </c>
      <c r="M1254" s="3"/>
      <c r="N1254"/>
      <c r="O1254" s="4"/>
      <c r="P1254" s="1"/>
      <c r="Q1254" s="22"/>
      <c r="R1254"/>
      <c r="S1254" s="11" t="s">
        <v>1588</v>
      </c>
    </row>
    <row r="1255" spans="2:19" x14ac:dyDescent="0.25">
      <c r="B1255" s="4">
        <v>30063455</v>
      </c>
      <c r="C1255" s="1" t="s">
        <v>1252</v>
      </c>
      <c r="D1255" s="4" t="s">
        <v>86</v>
      </c>
      <c r="E1255" s="3"/>
      <c r="F1255" s="3" t="s">
        <v>68</v>
      </c>
      <c r="G1255" s="4">
        <v>500</v>
      </c>
      <c r="H1255" s="4">
        <v>200</v>
      </c>
      <c r="I1255" s="4">
        <v>588</v>
      </c>
      <c r="J1255" s="4" t="s">
        <v>8</v>
      </c>
      <c r="K1255" s="4" t="s">
        <v>7</v>
      </c>
      <c r="L1255" s="11"/>
      <c r="M1255" s="3"/>
      <c r="N1255"/>
      <c r="O1255" s="4"/>
      <c r="P1255" s="1"/>
      <c r="Q1255" s="22"/>
      <c r="R1255"/>
      <c r="S1255" s="11"/>
    </row>
    <row r="1256" spans="2:19" x14ac:dyDescent="0.25">
      <c r="B1256" s="4">
        <v>30063479</v>
      </c>
      <c r="C1256" s="1" t="s">
        <v>776</v>
      </c>
      <c r="D1256" s="4" t="s">
        <v>86</v>
      </c>
      <c r="E1256" s="3"/>
      <c r="F1256" s="3" t="s">
        <v>68</v>
      </c>
      <c r="G1256" s="4">
        <v>50</v>
      </c>
      <c r="H1256" s="4">
        <v>30</v>
      </c>
      <c r="I1256" s="4">
        <v>54</v>
      </c>
      <c r="J1256" s="4" t="s">
        <v>8</v>
      </c>
      <c r="K1256" s="4" t="s">
        <v>7</v>
      </c>
      <c r="L1256" s="11"/>
      <c r="M1256" s="3"/>
      <c r="N1256"/>
      <c r="O1256" s="4"/>
      <c r="P1256" s="1"/>
      <c r="Q1256" s="22"/>
      <c r="R1256"/>
      <c r="S1256" s="11"/>
    </row>
    <row r="1257" spans="2:19" x14ac:dyDescent="0.25">
      <c r="B1257" s="4">
        <v>30063480</v>
      </c>
      <c r="C1257" s="1" t="s">
        <v>777</v>
      </c>
      <c r="D1257" s="4" t="s">
        <v>86</v>
      </c>
      <c r="E1257" s="3"/>
      <c r="F1257" s="3" t="s">
        <v>68</v>
      </c>
      <c r="G1257" s="4">
        <v>50</v>
      </c>
      <c r="H1257" s="4">
        <v>30</v>
      </c>
      <c r="I1257" s="4">
        <v>34</v>
      </c>
      <c r="J1257" s="4" t="s">
        <v>8</v>
      </c>
      <c r="K1257" s="4" t="s">
        <v>9</v>
      </c>
      <c r="L1257" s="11"/>
      <c r="M1257" s="3"/>
      <c r="N1257">
        <v>4502690184</v>
      </c>
      <c r="O1257" s="4">
        <v>30</v>
      </c>
      <c r="P1257" s="1" t="s">
        <v>1621</v>
      </c>
      <c r="Q1257" s="22">
        <v>46223</v>
      </c>
      <c r="R1257"/>
      <c r="S1257" s="11"/>
    </row>
    <row r="1258" spans="2:19" x14ac:dyDescent="0.25">
      <c r="B1258" s="4">
        <v>30063865</v>
      </c>
      <c r="C1258" s="1" t="s">
        <v>778</v>
      </c>
      <c r="D1258" s="4" t="s">
        <v>86</v>
      </c>
      <c r="E1258" s="3"/>
      <c r="F1258" s="3" t="s">
        <v>68</v>
      </c>
      <c r="G1258" s="4">
        <v>8</v>
      </c>
      <c r="H1258" s="4">
        <v>4</v>
      </c>
      <c r="I1258" s="4">
        <v>11</v>
      </c>
      <c r="J1258" s="4" t="s">
        <v>8</v>
      </c>
      <c r="K1258" s="4" t="s">
        <v>7</v>
      </c>
      <c r="L1258" s="11"/>
      <c r="M1258" s="3"/>
      <c r="N1258"/>
      <c r="O1258" s="4"/>
      <c r="P1258" s="1"/>
      <c r="Q1258" s="22"/>
      <c r="R1258"/>
      <c r="S1258" s="11"/>
    </row>
    <row r="1259" spans="2:19" x14ac:dyDescent="0.25">
      <c r="B1259" s="4">
        <v>30063866</v>
      </c>
      <c r="C1259" s="1" t="s">
        <v>779</v>
      </c>
      <c r="D1259" s="4" t="s">
        <v>86</v>
      </c>
      <c r="E1259" s="3"/>
      <c r="F1259" s="3" t="s">
        <v>68</v>
      </c>
      <c r="G1259" s="4">
        <v>480</v>
      </c>
      <c r="H1259" s="4">
        <v>240</v>
      </c>
      <c r="I1259" s="4">
        <v>660</v>
      </c>
      <c r="J1259" s="4" t="s">
        <v>23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</row>
    <row r="1260" spans="2:19" x14ac:dyDescent="0.25">
      <c r="B1260" s="4">
        <v>30063870</v>
      </c>
      <c r="C1260" s="1" t="s">
        <v>1319</v>
      </c>
      <c r="D1260" s="4" t="s">
        <v>86</v>
      </c>
      <c r="E1260" s="3"/>
      <c r="F1260" s="3" t="s">
        <v>68</v>
      </c>
      <c r="G1260" s="4">
        <v>4</v>
      </c>
      <c r="H1260" s="4">
        <v>8</v>
      </c>
      <c r="I1260" s="4">
        <v>5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</row>
    <row r="1261" spans="2:19" x14ac:dyDescent="0.25">
      <c r="B1261" s="4">
        <v>30063922</v>
      </c>
      <c r="C1261" s="1" t="s">
        <v>780</v>
      </c>
      <c r="D1261" s="4" t="s">
        <v>86</v>
      </c>
      <c r="E1261" s="3"/>
      <c r="F1261" s="3" t="s">
        <v>68</v>
      </c>
      <c r="G1261" s="4">
        <v>8</v>
      </c>
      <c r="H1261" s="4">
        <v>5</v>
      </c>
      <c r="I1261" s="4">
        <v>12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</row>
    <row r="1262" spans="2:19" x14ac:dyDescent="0.25">
      <c r="B1262" s="4">
        <v>30064038</v>
      </c>
      <c r="C1262" s="1" t="s">
        <v>925</v>
      </c>
      <c r="D1262" s="4" t="s">
        <v>86</v>
      </c>
      <c r="E1262" s="3"/>
      <c r="F1262" s="3" t="s">
        <v>102</v>
      </c>
      <c r="G1262" s="4">
        <v>1</v>
      </c>
      <c r="H1262" s="4">
        <v>2</v>
      </c>
      <c r="I1262" s="4">
        <v>2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</row>
    <row r="1263" spans="2:19" x14ac:dyDescent="0.25">
      <c r="B1263" s="4">
        <v>30064039</v>
      </c>
      <c r="C1263" s="1" t="s">
        <v>865</v>
      </c>
      <c r="D1263" s="4" t="s">
        <v>86</v>
      </c>
      <c r="E1263" s="3"/>
      <c r="F1263" s="3" t="s">
        <v>102</v>
      </c>
      <c r="G1263" s="4">
        <v>1</v>
      </c>
      <c r="H1263" s="4">
        <v>2</v>
      </c>
      <c r="I1263" s="4">
        <v>1</v>
      </c>
      <c r="J1263" s="4" t="s">
        <v>781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</row>
    <row r="1264" spans="2:19" x14ac:dyDescent="0.25">
      <c r="B1264" s="4">
        <v>30064145</v>
      </c>
      <c r="C1264" s="1" t="s">
        <v>1337</v>
      </c>
      <c r="D1264" s="4" t="s">
        <v>86</v>
      </c>
      <c r="E1264" s="3"/>
      <c r="F1264" s="3" t="s">
        <v>68</v>
      </c>
      <c r="G1264" s="4">
        <v>1</v>
      </c>
      <c r="H1264" s="4">
        <v>2</v>
      </c>
      <c r="I1264" s="4">
        <v>1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</row>
    <row r="1265" spans="2:19" x14ac:dyDescent="0.25">
      <c r="B1265" s="4">
        <v>30064192</v>
      </c>
      <c r="C1265" s="1" t="s">
        <v>866</v>
      </c>
      <c r="D1265" s="4" t="s">
        <v>86</v>
      </c>
      <c r="E1265" s="3"/>
      <c r="F1265" s="3" t="s">
        <v>102</v>
      </c>
      <c r="G1265" s="4">
        <v>8</v>
      </c>
      <c r="H1265" s="4">
        <v>16</v>
      </c>
      <c r="I1265" s="4">
        <v>20</v>
      </c>
      <c r="J1265" s="4" t="s">
        <v>8</v>
      </c>
      <c r="K1265" s="4" t="s">
        <v>7</v>
      </c>
      <c r="L1265" s="11"/>
      <c r="M1265" s="3"/>
      <c r="N1265"/>
      <c r="O1265" s="4"/>
      <c r="P1265" s="1"/>
      <c r="Q1265" s="22"/>
      <c r="R1265"/>
      <c r="S1265" s="11"/>
    </row>
    <row r="1266" spans="2:19" x14ac:dyDescent="0.25">
      <c r="B1266" s="4">
        <v>30064435</v>
      </c>
      <c r="C1266" s="1" t="s">
        <v>1059</v>
      </c>
      <c r="D1266" s="4" t="s">
        <v>86</v>
      </c>
      <c r="E1266" s="3"/>
      <c r="F1266" s="3" t="s">
        <v>68</v>
      </c>
      <c r="G1266" s="4">
        <v>2</v>
      </c>
      <c r="H1266" s="4">
        <v>2</v>
      </c>
      <c r="I1266" s="4">
        <v>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</row>
    <row r="1267" spans="2:19" x14ac:dyDescent="0.25">
      <c r="B1267" s="4">
        <v>30064436</v>
      </c>
      <c r="C1267" s="1" t="s">
        <v>867</v>
      </c>
      <c r="D1267" s="4" t="s">
        <v>86</v>
      </c>
      <c r="E1267" s="3"/>
      <c r="F1267" s="3" t="s">
        <v>68</v>
      </c>
      <c r="G1267" s="4">
        <v>2</v>
      </c>
      <c r="H1267" s="4">
        <v>2</v>
      </c>
      <c r="I1267" s="4">
        <v>2</v>
      </c>
      <c r="J1267" s="4" t="s">
        <v>8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</row>
    <row r="1268" spans="2:19" x14ac:dyDescent="0.25">
      <c r="B1268" s="4">
        <v>30064437</v>
      </c>
      <c r="C1268" s="1" t="s">
        <v>868</v>
      </c>
      <c r="D1268" s="4" t="s">
        <v>86</v>
      </c>
      <c r="E1268" s="3"/>
      <c r="F1268" s="3" t="s">
        <v>68</v>
      </c>
      <c r="G1268" s="4">
        <v>10</v>
      </c>
      <c r="H1268" s="4">
        <v>10</v>
      </c>
      <c r="I1268" s="4">
        <v>14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</row>
    <row r="1269" spans="2:19" x14ac:dyDescent="0.25">
      <c r="B1269" s="4">
        <v>30064456</v>
      </c>
      <c r="C1269" s="1" t="s">
        <v>1256</v>
      </c>
      <c r="D1269" s="4" t="s">
        <v>86</v>
      </c>
      <c r="E1269" s="3"/>
      <c r="F1269" s="3" t="s">
        <v>68</v>
      </c>
      <c r="G1269" s="4">
        <v>5</v>
      </c>
      <c r="H1269" s="4">
        <v>8</v>
      </c>
      <c r="I1269" s="4">
        <v>8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 t="s">
        <v>1602</v>
      </c>
    </row>
    <row r="1270" spans="2:19" x14ac:dyDescent="0.25">
      <c r="B1270" s="4">
        <v>30064643</v>
      </c>
      <c r="C1270" s="1" t="s">
        <v>782</v>
      </c>
      <c r="D1270" s="4" t="s">
        <v>86</v>
      </c>
      <c r="E1270" s="3"/>
      <c r="F1270" s="3" t="s">
        <v>68</v>
      </c>
      <c r="G1270" s="4">
        <v>3</v>
      </c>
      <c r="H1270" s="4">
        <v>2</v>
      </c>
      <c r="I1270" s="4">
        <v>3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</row>
    <row r="1271" spans="2:19" x14ac:dyDescent="0.25">
      <c r="B1271" s="4">
        <v>30064717</v>
      </c>
      <c r="C1271" s="1" t="s">
        <v>1440</v>
      </c>
      <c r="D1271" s="4" t="s">
        <v>86</v>
      </c>
      <c r="E1271" s="3"/>
      <c r="F1271" s="3" t="s">
        <v>68</v>
      </c>
      <c r="G1271" s="4">
        <v>4</v>
      </c>
      <c r="H1271" s="4">
        <v>4</v>
      </c>
      <c r="I1271" s="4">
        <v>4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</row>
    <row r="1272" spans="2:19" x14ac:dyDescent="0.25">
      <c r="B1272" s="4">
        <v>30064722</v>
      </c>
      <c r="C1272" s="1" t="s">
        <v>1320</v>
      </c>
      <c r="D1272" s="4" t="s">
        <v>86</v>
      </c>
      <c r="E1272" s="3"/>
      <c r="F1272" s="3" t="s">
        <v>68</v>
      </c>
      <c r="G1272" s="4">
        <v>10</v>
      </c>
      <c r="H1272" s="4">
        <v>20</v>
      </c>
      <c r="I1272" s="4">
        <v>20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</row>
    <row r="1273" spans="2:19" x14ac:dyDescent="0.25">
      <c r="B1273" s="4">
        <v>30064723</v>
      </c>
      <c r="C1273" s="1" t="s">
        <v>1216</v>
      </c>
      <c r="D1273" s="4" t="s">
        <v>86</v>
      </c>
      <c r="E1273" s="3"/>
      <c r="F1273" s="3" t="s">
        <v>89</v>
      </c>
      <c r="G1273" s="4">
        <v>11</v>
      </c>
      <c r="H1273" s="4">
        <v>18</v>
      </c>
      <c r="I1273" s="4">
        <v>13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/>
    </row>
    <row r="1274" spans="2:19" x14ac:dyDescent="0.25">
      <c r="B1274" s="4">
        <v>30064984</v>
      </c>
      <c r="C1274" s="1" t="s">
        <v>783</v>
      </c>
      <c r="D1274" s="4" t="s">
        <v>86</v>
      </c>
      <c r="E1274" s="3"/>
      <c r="F1274" s="3" t="s">
        <v>68</v>
      </c>
      <c r="G1274" s="4">
        <v>2</v>
      </c>
      <c r="H1274" s="4">
        <v>1</v>
      </c>
      <c r="I1274" s="4">
        <v>2</v>
      </c>
      <c r="J1274" s="4" t="s">
        <v>781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</row>
    <row r="1275" spans="2:19" x14ac:dyDescent="0.25">
      <c r="B1275" s="4">
        <v>30065038</v>
      </c>
      <c r="C1275" s="1" t="s">
        <v>1371</v>
      </c>
      <c r="D1275" s="4" t="s">
        <v>86</v>
      </c>
      <c r="E1275" s="3"/>
      <c r="F1275" s="3" t="s">
        <v>68</v>
      </c>
      <c r="G1275" s="4">
        <v>4</v>
      </c>
      <c r="H1275" s="4">
        <v>2</v>
      </c>
      <c r="I1275" s="4">
        <v>5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</row>
    <row r="1276" spans="2:19" x14ac:dyDescent="0.25">
      <c r="B1276" s="4">
        <v>30065415</v>
      </c>
      <c r="C1276" s="1" t="s">
        <v>784</v>
      </c>
      <c r="D1276" s="4" t="s">
        <v>86</v>
      </c>
      <c r="E1276" s="3"/>
      <c r="F1276" s="3" t="s">
        <v>68</v>
      </c>
      <c r="G1276" s="4">
        <v>2</v>
      </c>
      <c r="H1276" s="4">
        <v>2</v>
      </c>
      <c r="I1276" s="4">
        <v>2</v>
      </c>
      <c r="J1276" s="4" t="s">
        <v>8</v>
      </c>
      <c r="K1276" s="4" t="s">
        <v>7</v>
      </c>
      <c r="L1276" s="11"/>
      <c r="M1276" s="3"/>
      <c r="N1276"/>
      <c r="O1276" s="4"/>
      <c r="P1276" s="1"/>
      <c r="Q1276" s="22"/>
      <c r="R1276"/>
      <c r="S1276" s="11"/>
    </row>
    <row r="1277" spans="2:19" x14ac:dyDescent="0.25">
      <c r="B1277" s="4">
        <v>30065416</v>
      </c>
      <c r="C1277" s="1" t="s">
        <v>785</v>
      </c>
      <c r="D1277" s="4" t="s">
        <v>86</v>
      </c>
      <c r="E1277" s="3"/>
      <c r="F1277" s="3" t="s">
        <v>68</v>
      </c>
      <c r="G1277" s="4">
        <v>2</v>
      </c>
      <c r="H1277" s="4">
        <v>2</v>
      </c>
      <c r="I1277" s="4">
        <v>3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</row>
    <row r="1278" spans="2:19" x14ac:dyDescent="0.25">
      <c r="B1278" s="4">
        <v>30066447</v>
      </c>
      <c r="C1278" s="1" t="s">
        <v>786</v>
      </c>
      <c r="D1278" s="4" t="s">
        <v>86</v>
      </c>
      <c r="E1278" s="3"/>
      <c r="F1278" s="3" t="s">
        <v>68</v>
      </c>
      <c r="G1278" s="4">
        <v>2</v>
      </c>
      <c r="H1278" s="4">
        <v>2</v>
      </c>
      <c r="I1278" s="4">
        <v>2</v>
      </c>
      <c r="J1278" s="4" t="s">
        <v>8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</row>
    <row r="1279" spans="2:19" x14ac:dyDescent="0.25">
      <c r="B1279" s="4">
        <v>30066732</v>
      </c>
      <c r="C1279" s="1" t="s">
        <v>1420</v>
      </c>
      <c r="D1279" s="4" t="s">
        <v>86</v>
      </c>
      <c r="E1279" s="3"/>
      <c r="F1279" s="3" t="s">
        <v>68</v>
      </c>
      <c r="G1279" s="4">
        <v>2</v>
      </c>
      <c r="H1279" s="4">
        <v>4</v>
      </c>
      <c r="I1279" s="4">
        <v>12</v>
      </c>
      <c r="J1279" s="4" t="s">
        <v>8</v>
      </c>
      <c r="K1279" s="4" t="s">
        <v>14</v>
      </c>
      <c r="L1279" s="11"/>
      <c r="M1279" s="3"/>
      <c r="N1279"/>
      <c r="O1279" s="4"/>
      <c r="P1279" s="1"/>
      <c r="Q1279" s="22"/>
      <c r="R1279"/>
      <c r="S1279" s="11"/>
    </row>
    <row r="1280" spans="2:19" x14ac:dyDescent="0.25">
      <c r="B1280" s="4">
        <v>30066759</v>
      </c>
      <c r="C1280" s="1" t="s">
        <v>1321</v>
      </c>
      <c r="D1280" s="4" t="s">
        <v>86</v>
      </c>
      <c r="E1280" s="3"/>
      <c r="F1280" s="3" t="s">
        <v>68</v>
      </c>
      <c r="G1280" s="4">
        <v>1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</row>
    <row r="1281" spans="2:19" x14ac:dyDescent="0.25">
      <c r="B1281" s="4">
        <v>30067046</v>
      </c>
      <c r="C1281" s="1" t="s">
        <v>787</v>
      </c>
      <c r="D1281" s="4" t="s">
        <v>86</v>
      </c>
      <c r="E1281" s="3"/>
      <c r="F1281" s="3" t="s">
        <v>68</v>
      </c>
      <c r="G1281" s="4">
        <v>5</v>
      </c>
      <c r="H1281" s="4">
        <v>5</v>
      </c>
      <c r="I1281" s="4">
        <v>21</v>
      </c>
      <c r="J1281" s="4" t="s">
        <v>8</v>
      </c>
      <c r="K1281" s="4" t="s">
        <v>14</v>
      </c>
      <c r="L1281" s="11"/>
      <c r="M1281" s="3"/>
      <c r="N1281"/>
      <c r="O1281" s="4"/>
      <c r="P1281" s="1"/>
      <c r="Q1281" s="22"/>
      <c r="R1281"/>
      <c r="S1281" s="11"/>
    </row>
    <row r="1282" spans="2:19" x14ac:dyDescent="0.25">
      <c r="B1282" s="4">
        <v>30067094</v>
      </c>
      <c r="C1282" s="1" t="s">
        <v>788</v>
      </c>
      <c r="D1282" s="4" t="s">
        <v>86</v>
      </c>
      <c r="E1282" s="3"/>
      <c r="F1282" s="3" t="s">
        <v>68</v>
      </c>
      <c r="G1282" s="4">
        <v>3</v>
      </c>
      <c r="H1282" s="4">
        <v>2</v>
      </c>
      <c r="I1282" s="4">
        <v>4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</row>
    <row r="1283" spans="2:19" x14ac:dyDescent="0.25">
      <c r="B1283" s="4">
        <v>30067253</v>
      </c>
      <c r="C1283" s="1" t="s">
        <v>869</v>
      </c>
      <c r="D1283" s="4" t="s">
        <v>86</v>
      </c>
      <c r="E1283" s="3"/>
      <c r="F1283" s="3" t="s">
        <v>68</v>
      </c>
      <c r="G1283" s="4">
        <v>3</v>
      </c>
      <c r="H1283" s="4">
        <v>3</v>
      </c>
      <c r="I1283" s="4">
        <v>6</v>
      </c>
      <c r="J1283" s="4" t="s">
        <v>8</v>
      </c>
      <c r="K1283" s="4" t="s">
        <v>7</v>
      </c>
      <c r="L1283" s="11"/>
      <c r="M1283" s="3"/>
      <c r="N1283"/>
      <c r="O1283" s="4"/>
      <c r="P1283" s="1"/>
      <c r="Q1283" s="22"/>
      <c r="R1283"/>
      <c r="S1283" s="11"/>
    </row>
    <row r="1284" spans="2:19" x14ac:dyDescent="0.25">
      <c r="B1284" s="4">
        <v>30067420</v>
      </c>
      <c r="C1284" s="1" t="s">
        <v>1647</v>
      </c>
      <c r="D1284" s="4" t="s">
        <v>86</v>
      </c>
      <c r="E1284" s="3" t="s">
        <v>1225</v>
      </c>
      <c r="F1284" s="3" t="s">
        <v>102</v>
      </c>
      <c r="G1284" s="4">
        <v>1</v>
      </c>
      <c r="H1284" s="4">
        <v>1</v>
      </c>
      <c r="I1284" s="4">
        <v>0</v>
      </c>
      <c r="J1284" s="4" t="s">
        <v>8</v>
      </c>
      <c r="K1284" s="4" t="s">
        <v>13</v>
      </c>
      <c r="L1284" s="11"/>
      <c r="M1284" s="3"/>
      <c r="N1284">
        <v>4502667945</v>
      </c>
      <c r="O1284" s="4">
        <v>1</v>
      </c>
      <c r="P1284" s="1" t="s">
        <v>1563</v>
      </c>
      <c r="Q1284" s="22">
        <v>46244</v>
      </c>
      <c r="R1284"/>
      <c r="S1284" s="11"/>
    </row>
    <row r="1285" spans="2:19" x14ac:dyDescent="0.25">
      <c r="B1285" s="4">
        <v>30067433</v>
      </c>
      <c r="C1285" s="1" t="s">
        <v>1513</v>
      </c>
      <c r="D1285" s="4" t="s">
        <v>86</v>
      </c>
      <c r="E1285" s="3" t="s">
        <v>1225</v>
      </c>
      <c r="F1285" s="3" t="s">
        <v>102</v>
      </c>
      <c r="G1285" s="4">
        <v>1</v>
      </c>
      <c r="H1285" s="4">
        <v>1</v>
      </c>
      <c r="I1285" s="4">
        <v>2</v>
      </c>
      <c r="J1285" s="4" t="s">
        <v>8</v>
      </c>
      <c r="K1285" s="4" t="s">
        <v>7</v>
      </c>
      <c r="L1285" s="11"/>
      <c r="M1285" s="3"/>
      <c r="N1285"/>
      <c r="O1285" s="4"/>
      <c r="P1285" s="1"/>
      <c r="Q1285" s="22"/>
      <c r="R1285"/>
      <c r="S1285" s="11"/>
    </row>
    <row r="1286" spans="2:19" x14ac:dyDescent="0.25">
      <c r="B1286" s="4">
        <v>30067445</v>
      </c>
      <c r="C1286" s="1" t="s">
        <v>1648</v>
      </c>
      <c r="D1286" s="4" t="s">
        <v>86</v>
      </c>
      <c r="E1286" s="3" t="s">
        <v>1225</v>
      </c>
      <c r="F1286" s="3" t="s">
        <v>102</v>
      </c>
      <c r="G1286" s="4">
        <v>1</v>
      </c>
      <c r="H1286" s="4">
        <v>1</v>
      </c>
      <c r="I1286" s="4">
        <v>0</v>
      </c>
      <c r="J1286" s="4" t="s">
        <v>8</v>
      </c>
      <c r="K1286" s="4" t="s">
        <v>13</v>
      </c>
      <c r="L1286" s="11" t="s">
        <v>1673</v>
      </c>
      <c r="M1286" s="3">
        <v>1</v>
      </c>
      <c r="N1286"/>
      <c r="O1286" s="4"/>
      <c r="P1286" s="1"/>
      <c r="Q1286" s="22"/>
      <c r="R1286"/>
      <c r="S1286" s="11" t="s">
        <v>1674</v>
      </c>
    </row>
    <row r="1287" spans="2:19" x14ac:dyDescent="0.25">
      <c r="B1287" s="4">
        <v>30067446</v>
      </c>
      <c r="C1287" s="1" t="s">
        <v>1649</v>
      </c>
      <c r="D1287" s="4" t="s">
        <v>86</v>
      </c>
      <c r="E1287" s="3" t="s">
        <v>1225</v>
      </c>
      <c r="F1287" s="3" t="s">
        <v>102</v>
      </c>
      <c r="G1287" s="4">
        <v>1</v>
      </c>
      <c r="H1287" s="4">
        <v>1</v>
      </c>
      <c r="I1287" s="4">
        <v>1</v>
      </c>
      <c r="J1287" s="4" t="s">
        <v>8</v>
      </c>
      <c r="K1287" s="4" t="s">
        <v>7</v>
      </c>
      <c r="L1287" s="11"/>
      <c r="M1287" s="3"/>
      <c r="N1287"/>
      <c r="O1287" s="4"/>
      <c r="P1287" s="1"/>
      <c r="Q1287" s="22"/>
      <c r="R1287"/>
      <c r="S1287" s="11"/>
    </row>
    <row r="1288" spans="2:19" x14ac:dyDescent="0.25">
      <c r="B1288" s="4">
        <v>30067449</v>
      </c>
      <c r="C1288" s="1" t="s">
        <v>1650</v>
      </c>
      <c r="D1288" s="4" t="s">
        <v>86</v>
      </c>
      <c r="E1288" s="3" t="s">
        <v>1225</v>
      </c>
      <c r="F1288" s="3" t="s">
        <v>102</v>
      </c>
      <c r="G1288" s="4">
        <v>1</v>
      </c>
      <c r="H1288" s="4">
        <v>1</v>
      </c>
      <c r="I1288" s="4">
        <v>1</v>
      </c>
      <c r="J1288" s="4" t="s">
        <v>8</v>
      </c>
      <c r="K1288" s="4" t="s">
        <v>7</v>
      </c>
      <c r="L1288" s="11"/>
      <c r="M1288" s="3"/>
      <c r="N1288"/>
      <c r="O1288" s="4"/>
      <c r="P1288" s="1"/>
      <c r="Q1288" s="22"/>
      <c r="R1288"/>
      <c r="S1288" s="11"/>
    </row>
    <row r="1289" spans="2:19" x14ac:dyDescent="0.25">
      <c r="B1289" s="4">
        <v>30067450</v>
      </c>
      <c r="C1289" s="1" t="s">
        <v>1651</v>
      </c>
      <c r="D1289" s="4" t="s">
        <v>86</v>
      </c>
      <c r="E1289" s="3" t="s">
        <v>1225</v>
      </c>
      <c r="F1289" s="3" t="s">
        <v>102</v>
      </c>
      <c r="G1289" s="4">
        <v>2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</row>
    <row r="1290" spans="2:19" x14ac:dyDescent="0.25">
      <c r="B1290" s="4">
        <v>30067457</v>
      </c>
      <c r="C1290" s="1" t="s">
        <v>1480</v>
      </c>
      <c r="D1290" s="4" t="s">
        <v>86</v>
      </c>
      <c r="E1290" s="3"/>
      <c r="F1290" s="3" t="s">
        <v>68</v>
      </c>
      <c r="G1290" s="4">
        <v>3</v>
      </c>
      <c r="H1290" s="4">
        <v>5</v>
      </c>
      <c r="I1290" s="4">
        <v>5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</row>
    <row r="1291" spans="2:19" x14ac:dyDescent="0.25">
      <c r="B1291" s="4">
        <v>30068104</v>
      </c>
      <c r="C1291" s="1" t="s">
        <v>1257</v>
      </c>
      <c r="D1291" s="4" t="s">
        <v>86</v>
      </c>
      <c r="E1291" s="3"/>
      <c r="F1291" s="3" t="s">
        <v>68</v>
      </c>
      <c r="G1291" s="4">
        <v>4</v>
      </c>
      <c r="H1291" s="4">
        <v>4</v>
      </c>
      <c r="I1291" s="4">
        <v>6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</row>
    <row r="1292" spans="2:19" x14ac:dyDescent="0.25">
      <c r="B1292" s="4">
        <v>30069247</v>
      </c>
      <c r="C1292" s="1" t="s">
        <v>1508</v>
      </c>
      <c r="D1292" s="4" t="s">
        <v>86</v>
      </c>
      <c r="E1292" s="3"/>
      <c r="F1292" s="3" t="s">
        <v>68</v>
      </c>
      <c r="G1292" s="4">
        <v>2</v>
      </c>
      <c r="H1292" s="4">
        <v>1</v>
      </c>
      <c r="I1292" s="4">
        <v>2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</row>
    <row r="1293" spans="2:19" x14ac:dyDescent="0.25">
      <c r="B1293" s="4">
        <v>30069437</v>
      </c>
      <c r="C1293" s="1" t="s">
        <v>1354</v>
      </c>
      <c r="D1293" s="4" t="s">
        <v>86</v>
      </c>
      <c r="E1293" s="3"/>
      <c r="F1293" s="3" t="s">
        <v>68</v>
      </c>
      <c r="G1293" s="4">
        <v>1</v>
      </c>
      <c r="H1293" s="4">
        <v>2</v>
      </c>
      <c r="I1293" s="4">
        <v>1</v>
      </c>
      <c r="J1293" s="4" t="s">
        <v>8</v>
      </c>
      <c r="K1293" s="4" t="s">
        <v>7</v>
      </c>
      <c r="L1293" s="11"/>
      <c r="M1293" s="3"/>
      <c r="N1293"/>
      <c r="O1293" s="4"/>
      <c r="P1293" s="1"/>
      <c r="Q1293" s="22"/>
      <c r="R1293"/>
      <c r="S1293" s="11"/>
    </row>
    <row r="1294" spans="2:19" x14ac:dyDescent="0.25">
      <c r="B1294" s="4">
        <v>30069950</v>
      </c>
      <c r="C1294" s="1" t="s">
        <v>1292</v>
      </c>
      <c r="D1294" s="4" t="s">
        <v>86</v>
      </c>
      <c r="E1294" s="3"/>
      <c r="F1294" s="3" t="s">
        <v>68</v>
      </c>
      <c r="G1294" s="4">
        <v>2</v>
      </c>
      <c r="H1294" s="4">
        <v>1</v>
      </c>
      <c r="I1294" s="4">
        <v>2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</row>
    <row r="1295" spans="2:19" x14ac:dyDescent="0.25">
      <c r="B1295" s="4">
        <v>30070135</v>
      </c>
      <c r="C1295" s="1" t="s">
        <v>1293</v>
      </c>
      <c r="D1295" s="4" t="s">
        <v>86</v>
      </c>
      <c r="E1295" s="3"/>
      <c r="F1295" s="3" t="s">
        <v>68</v>
      </c>
      <c r="G1295" s="4">
        <v>4500</v>
      </c>
      <c r="H1295" s="4">
        <v>5000</v>
      </c>
      <c r="I1295" s="4">
        <v>5500</v>
      </c>
      <c r="J1295" s="4" t="s">
        <v>25</v>
      </c>
      <c r="K1295" s="4" t="s">
        <v>7</v>
      </c>
      <c r="L1295" s="11"/>
      <c r="M1295" s="3"/>
      <c r="N1295"/>
      <c r="O1295" s="4"/>
      <c r="P1295" s="1"/>
      <c r="Q1295" s="22"/>
      <c r="R1295"/>
      <c r="S1295" s="11"/>
    </row>
    <row r="1296" spans="2:19" x14ac:dyDescent="0.25">
      <c r="B1296" s="4">
        <v>30070293</v>
      </c>
      <c r="C1296" s="1" t="s">
        <v>1294</v>
      </c>
      <c r="D1296" s="4" t="s">
        <v>86</v>
      </c>
      <c r="E1296" s="3"/>
      <c r="F1296" s="3" t="s">
        <v>68</v>
      </c>
      <c r="G1296" s="4">
        <v>2</v>
      </c>
      <c r="H1296" s="4">
        <v>4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</row>
    <row r="1297" spans="2:19" x14ac:dyDescent="0.25">
      <c r="B1297" s="4">
        <v>30070323</v>
      </c>
      <c r="C1297" s="1" t="s">
        <v>1295</v>
      </c>
      <c r="D1297" s="4" t="s">
        <v>86</v>
      </c>
      <c r="E1297" s="3"/>
      <c r="F1297" s="3" t="s">
        <v>68</v>
      </c>
      <c r="G1297" s="4">
        <v>100</v>
      </c>
      <c r="H1297" s="4">
        <v>200</v>
      </c>
      <c r="I1297" s="4">
        <v>180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</row>
    <row r="1298" spans="2:19" x14ac:dyDescent="0.25">
      <c r="B1298" s="4">
        <v>30070447</v>
      </c>
      <c r="C1298" s="1" t="s">
        <v>1413</v>
      </c>
      <c r="D1298" s="4" t="s">
        <v>86</v>
      </c>
      <c r="E1298" s="3"/>
      <c r="F1298" s="3" t="s">
        <v>68</v>
      </c>
      <c r="G1298" s="4">
        <v>5</v>
      </c>
      <c r="H1298" s="4">
        <v>5</v>
      </c>
      <c r="I1298" s="4">
        <v>8</v>
      </c>
      <c r="J1298" s="4" t="s">
        <v>8</v>
      </c>
      <c r="K1298" s="4" t="s">
        <v>7</v>
      </c>
      <c r="L1298" s="11"/>
      <c r="M1298" s="3"/>
      <c r="N1298">
        <v>4502694872</v>
      </c>
      <c r="O1298" s="4">
        <v>7</v>
      </c>
      <c r="P1298" s="1" t="s">
        <v>1452</v>
      </c>
      <c r="Q1298" s="22">
        <v>46218</v>
      </c>
      <c r="R1298"/>
      <c r="S1298" s="11"/>
    </row>
    <row r="1299" spans="2:19" x14ac:dyDescent="0.25">
      <c r="B1299" s="4">
        <v>30070457</v>
      </c>
      <c r="C1299" s="1" t="s">
        <v>1322</v>
      </c>
      <c r="D1299" s="4" t="s">
        <v>86</v>
      </c>
      <c r="E1299" s="3"/>
      <c r="F1299" s="3" t="s">
        <v>68</v>
      </c>
      <c r="G1299" s="4">
        <v>3</v>
      </c>
      <c r="H1299" s="4">
        <v>6</v>
      </c>
      <c r="I1299" s="4">
        <v>5</v>
      </c>
      <c r="J1299" s="4" t="s">
        <v>8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</row>
    <row r="1300" spans="2:19" x14ac:dyDescent="0.25">
      <c r="B1300" s="4">
        <v>30070465</v>
      </c>
      <c r="C1300" s="1" t="s">
        <v>1364</v>
      </c>
      <c r="D1300" s="4" t="s">
        <v>86</v>
      </c>
      <c r="E1300" s="3"/>
      <c r="F1300" s="3" t="s">
        <v>68</v>
      </c>
      <c r="G1300" s="4">
        <v>1</v>
      </c>
      <c r="H1300" s="4">
        <v>2</v>
      </c>
      <c r="I1300" s="4">
        <v>12</v>
      </c>
      <c r="J1300" s="4" t="s">
        <v>8</v>
      </c>
      <c r="K1300" s="4" t="s">
        <v>14</v>
      </c>
      <c r="L1300" s="11"/>
      <c r="M1300" s="3"/>
      <c r="N1300"/>
      <c r="O1300" s="4"/>
      <c r="P1300" s="1"/>
      <c r="Q1300" s="22"/>
      <c r="R1300"/>
      <c r="S1300" s="11"/>
    </row>
    <row r="1301" spans="2:19" x14ac:dyDescent="0.25">
      <c r="B1301" s="4">
        <v>30070475</v>
      </c>
      <c r="C1301" s="1" t="s">
        <v>1335</v>
      </c>
      <c r="D1301" s="4" t="s">
        <v>86</v>
      </c>
      <c r="E1301" s="3"/>
      <c r="F1301" s="3" t="s">
        <v>68</v>
      </c>
      <c r="G1301" s="4">
        <v>1</v>
      </c>
      <c r="H1301" s="4">
        <v>2</v>
      </c>
      <c r="I1301" s="4">
        <v>1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</row>
    <row r="1302" spans="2:19" x14ac:dyDescent="0.25">
      <c r="B1302" s="4">
        <v>30070476</v>
      </c>
      <c r="C1302" s="1" t="s">
        <v>1296</v>
      </c>
      <c r="D1302" s="4" t="s">
        <v>86</v>
      </c>
      <c r="E1302" s="3"/>
      <c r="F1302" s="3" t="s">
        <v>68</v>
      </c>
      <c r="G1302" s="4">
        <v>2</v>
      </c>
      <c r="H1302" s="4">
        <v>1</v>
      </c>
      <c r="I1302" s="4">
        <v>2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</row>
    <row r="1303" spans="2:19" x14ac:dyDescent="0.25">
      <c r="B1303" s="4">
        <v>30070489</v>
      </c>
      <c r="C1303" s="1" t="s">
        <v>1323</v>
      </c>
      <c r="D1303" s="4" t="s">
        <v>86</v>
      </c>
      <c r="E1303" s="3"/>
      <c r="F1303" s="3" t="s">
        <v>68</v>
      </c>
      <c r="G1303" s="4">
        <v>40</v>
      </c>
      <c r="H1303" s="4">
        <v>40</v>
      </c>
      <c r="I1303" s="4">
        <v>40</v>
      </c>
      <c r="J1303" s="4" t="s">
        <v>25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</row>
    <row r="1304" spans="2:19" x14ac:dyDescent="0.25">
      <c r="B1304" s="4">
        <v>30070490</v>
      </c>
      <c r="C1304" s="1" t="s">
        <v>1297</v>
      </c>
      <c r="D1304" s="4" t="s">
        <v>86</v>
      </c>
      <c r="E1304" s="3"/>
      <c r="F1304" s="3" t="s">
        <v>68</v>
      </c>
      <c r="G1304" s="4">
        <v>1</v>
      </c>
      <c r="H1304" s="4">
        <v>2</v>
      </c>
      <c r="I1304" s="4">
        <v>1</v>
      </c>
      <c r="J1304" s="4" t="s">
        <v>8</v>
      </c>
      <c r="K1304" s="4" t="s">
        <v>7</v>
      </c>
      <c r="L1304" s="11"/>
      <c r="M1304" s="3"/>
      <c r="N1304"/>
      <c r="O1304" s="4"/>
      <c r="P1304" s="1"/>
      <c r="Q1304" s="22"/>
      <c r="R1304"/>
      <c r="S1304" s="11"/>
    </row>
    <row r="1305" spans="2:19" x14ac:dyDescent="0.25">
      <c r="B1305" s="4">
        <v>30070576</v>
      </c>
      <c r="C1305" s="1" t="s">
        <v>1298</v>
      </c>
      <c r="D1305" s="4" t="s">
        <v>86</v>
      </c>
      <c r="E1305" s="3"/>
      <c r="F1305" s="3" t="s">
        <v>68</v>
      </c>
      <c r="G1305" s="4">
        <v>2</v>
      </c>
      <c r="H1305" s="4">
        <v>2</v>
      </c>
      <c r="I1305" s="4">
        <v>3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</row>
    <row r="1306" spans="2:19" x14ac:dyDescent="0.25">
      <c r="B1306" s="4">
        <v>30070649</v>
      </c>
      <c r="C1306" s="1" t="s">
        <v>1559</v>
      </c>
      <c r="D1306" s="4" t="s">
        <v>86</v>
      </c>
      <c r="E1306" s="3"/>
      <c r="F1306" s="3" t="s">
        <v>68</v>
      </c>
      <c r="G1306" s="4">
        <v>2</v>
      </c>
      <c r="H1306" s="4">
        <v>1</v>
      </c>
      <c r="I1306" s="4">
        <v>4</v>
      </c>
      <c r="J1306" s="4" t="s">
        <v>8</v>
      </c>
      <c r="K1306" s="4" t="s">
        <v>14</v>
      </c>
      <c r="L1306" s="11"/>
      <c r="M1306" s="3"/>
      <c r="N1306"/>
      <c r="O1306" s="4"/>
      <c r="P1306" s="1"/>
      <c r="Q1306" s="22"/>
      <c r="R1306"/>
      <c r="S1306" s="11"/>
    </row>
    <row r="1307" spans="2:19" x14ac:dyDescent="0.25">
      <c r="B1307" s="4">
        <v>30070666</v>
      </c>
      <c r="C1307" s="1" t="s">
        <v>1324</v>
      </c>
      <c r="D1307" s="4" t="s">
        <v>86</v>
      </c>
      <c r="E1307" s="3"/>
      <c r="F1307" s="3" t="s">
        <v>68</v>
      </c>
      <c r="G1307" s="4">
        <v>2</v>
      </c>
      <c r="H1307" s="4">
        <v>4</v>
      </c>
      <c r="I1307" s="4">
        <v>2</v>
      </c>
      <c r="J1307" s="4" t="s">
        <v>8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</row>
    <row r="1308" spans="2:19" x14ac:dyDescent="0.25">
      <c r="B1308" s="4">
        <v>30070684</v>
      </c>
      <c r="C1308" s="1" t="s">
        <v>1355</v>
      </c>
      <c r="D1308" s="4" t="s">
        <v>86</v>
      </c>
      <c r="E1308" s="3"/>
      <c r="F1308" s="3" t="s">
        <v>68</v>
      </c>
      <c r="G1308" s="4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</row>
    <row r="1309" spans="2:19" x14ac:dyDescent="0.25">
      <c r="B1309" s="4">
        <v>30070687</v>
      </c>
      <c r="C1309" s="1" t="s">
        <v>1356</v>
      </c>
      <c r="D1309" s="4" t="s">
        <v>86</v>
      </c>
      <c r="E1309" s="3"/>
      <c r="F1309" s="3" t="s">
        <v>68</v>
      </c>
      <c r="G1309" s="4">
        <v>1</v>
      </c>
      <c r="H1309" s="4">
        <v>2</v>
      </c>
      <c r="I1309" s="4">
        <v>1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</row>
    <row r="1310" spans="2:19" x14ac:dyDescent="0.25">
      <c r="B1310" s="4">
        <v>30070688</v>
      </c>
      <c r="C1310" s="1" t="s">
        <v>1357</v>
      </c>
      <c r="D1310" s="4" t="s">
        <v>86</v>
      </c>
      <c r="E1310" s="3"/>
      <c r="F1310" s="3" t="s">
        <v>68</v>
      </c>
      <c r="G1310" s="4">
        <v>1</v>
      </c>
      <c r="H1310" s="4">
        <v>2</v>
      </c>
      <c r="I1310" s="4">
        <v>2</v>
      </c>
      <c r="J1310" s="4" t="s">
        <v>8</v>
      </c>
      <c r="K1310" s="4" t="s">
        <v>7</v>
      </c>
      <c r="L1310" s="11"/>
      <c r="M1310" s="3"/>
      <c r="N1310"/>
      <c r="O1310" s="4"/>
      <c r="P1310" s="1"/>
      <c r="Q1310" s="22"/>
      <c r="R1310"/>
      <c r="S1310" s="11"/>
    </row>
    <row r="1311" spans="2:19" x14ac:dyDescent="0.25">
      <c r="B1311" s="4">
        <v>30070745</v>
      </c>
      <c r="C1311" s="1" t="s">
        <v>1358</v>
      </c>
      <c r="D1311" s="4" t="s">
        <v>86</v>
      </c>
      <c r="E1311" s="3"/>
      <c r="F1311" s="3" t="s">
        <v>68</v>
      </c>
      <c r="G1311" s="4">
        <v>1</v>
      </c>
      <c r="H1311" s="4">
        <v>2</v>
      </c>
      <c r="I1311" s="4">
        <v>3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</row>
    <row r="1312" spans="2:19" x14ac:dyDescent="0.25">
      <c r="B1312" s="4">
        <v>30070752</v>
      </c>
      <c r="C1312" s="1" t="s">
        <v>1368</v>
      </c>
      <c r="D1312" s="4" t="s">
        <v>86</v>
      </c>
      <c r="E1312" s="3"/>
      <c r="F1312" s="3" t="s">
        <v>68</v>
      </c>
      <c r="G1312" s="4">
        <v>50</v>
      </c>
      <c r="H1312" s="4">
        <v>100</v>
      </c>
      <c r="I1312" s="4">
        <v>250</v>
      </c>
      <c r="J1312" s="4" t="s">
        <v>8</v>
      </c>
      <c r="K1312" s="4" t="s">
        <v>14</v>
      </c>
      <c r="L1312" s="11"/>
      <c r="M1312" s="3"/>
      <c r="N1312"/>
      <c r="O1312" s="4"/>
      <c r="P1312" s="1"/>
      <c r="Q1312" s="22"/>
      <c r="R1312"/>
      <c r="S1312" s="11"/>
    </row>
    <row r="1313" spans="2:19" x14ac:dyDescent="0.25">
      <c r="B1313" s="4">
        <v>30070790</v>
      </c>
      <c r="C1313" s="1" t="s">
        <v>1359</v>
      </c>
      <c r="D1313" s="4" t="s">
        <v>86</v>
      </c>
      <c r="E1313" s="3"/>
      <c r="F1313" s="3" t="s">
        <v>68</v>
      </c>
      <c r="G1313" s="4">
        <v>45</v>
      </c>
      <c r="H1313" s="4">
        <v>45</v>
      </c>
      <c r="I1313" s="4">
        <v>45</v>
      </c>
      <c r="J1313" s="4" t="s">
        <v>25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</row>
    <row r="1314" spans="2:19" x14ac:dyDescent="0.25">
      <c r="B1314" s="4">
        <v>30070831</v>
      </c>
      <c r="C1314" s="1" t="s">
        <v>1517</v>
      </c>
      <c r="D1314" s="4" t="s">
        <v>86</v>
      </c>
      <c r="E1314" s="3"/>
      <c r="F1314" s="3" t="s">
        <v>68</v>
      </c>
      <c r="G1314" s="4">
        <v>1</v>
      </c>
      <c r="H1314" s="4">
        <v>1</v>
      </c>
      <c r="I1314" s="4">
        <v>3</v>
      </c>
      <c r="J1314" s="4" t="s">
        <v>8</v>
      </c>
      <c r="K1314" s="4" t="s">
        <v>14</v>
      </c>
      <c r="L1314" s="11"/>
      <c r="M1314" s="3"/>
      <c r="N1314"/>
      <c r="O1314" s="4"/>
      <c r="P1314" s="1"/>
      <c r="Q1314" s="22"/>
      <c r="R1314"/>
      <c r="S1314" s="11"/>
    </row>
    <row r="1315" spans="2:19" x14ac:dyDescent="0.25">
      <c r="B1315" s="4">
        <v>30071052</v>
      </c>
      <c r="C1315" s="1" t="s">
        <v>1414</v>
      </c>
      <c r="D1315" s="4" t="s">
        <v>86</v>
      </c>
      <c r="E1315" s="3"/>
      <c r="F1315" s="3" t="s">
        <v>68</v>
      </c>
      <c r="G1315" s="4">
        <v>1</v>
      </c>
      <c r="H1315" s="4">
        <v>2</v>
      </c>
      <c r="I1315" s="4">
        <v>8</v>
      </c>
      <c r="J1315" s="4" t="s">
        <v>8</v>
      </c>
      <c r="K1315" s="4" t="s">
        <v>14</v>
      </c>
      <c r="L1315" s="11"/>
      <c r="M1315" s="3"/>
      <c r="N1315"/>
      <c r="O1315" s="4"/>
      <c r="P1315" s="1"/>
      <c r="Q1315" s="22"/>
      <c r="R1315"/>
      <c r="S1315" s="11"/>
    </row>
    <row r="1316" spans="2:19" x14ac:dyDescent="0.25">
      <c r="B1316" s="4">
        <v>30072741</v>
      </c>
      <c r="C1316" s="1" t="s">
        <v>1409</v>
      </c>
      <c r="D1316" s="4" t="s">
        <v>86</v>
      </c>
      <c r="E1316" s="3"/>
      <c r="F1316" s="3" t="s">
        <v>68</v>
      </c>
      <c r="G1316" s="4">
        <v>20</v>
      </c>
      <c r="H1316" s="4">
        <v>20</v>
      </c>
      <c r="I1316" s="4">
        <v>20</v>
      </c>
      <c r="J1316" s="4" t="s">
        <v>8</v>
      </c>
      <c r="K1316" s="4" t="s">
        <v>7</v>
      </c>
      <c r="L1316" s="11"/>
      <c r="M1316" s="3"/>
      <c r="N1316">
        <v>4502659781</v>
      </c>
      <c r="O1316" s="4">
        <v>30</v>
      </c>
      <c r="P1316" s="1" t="s">
        <v>1570</v>
      </c>
      <c r="Q1316" s="22">
        <v>46139</v>
      </c>
      <c r="R1316"/>
      <c r="S1316" s="11"/>
    </row>
    <row r="1317" spans="2:19" x14ac:dyDescent="0.25">
      <c r="B1317" s="4">
        <v>30073338</v>
      </c>
      <c r="C1317" s="1" t="s">
        <v>1441</v>
      </c>
      <c r="D1317" s="4" t="s">
        <v>86</v>
      </c>
      <c r="E1317" s="3"/>
      <c r="F1317" s="3" t="s">
        <v>68</v>
      </c>
      <c r="G1317" s="4">
        <v>10</v>
      </c>
      <c r="H1317" s="4">
        <v>15</v>
      </c>
      <c r="I1317" s="4">
        <v>22</v>
      </c>
      <c r="J1317" s="4" t="s">
        <v>8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</row>
    <row r="1318" spans="2:19" x14ac:dyDescent="0.25">
      <c r="B1318" s="4">
        <v>30073339</v>
      </c>
      <c r="C1318" s="1" t="s">
        <v>1430</v>
      </c>
      <c r="D1318" s="4" t="s">
        <v>86</v>
      </c>
      <c r="E1318" s="3"/>
      <c r="F1318" s="3" t="s">
        <v>68</v>
      </c>
      <c r="G1318" s="4">
        <v>7</v>
      </c>
      <c r="H1318" s="4">
        <v>10</v>
      </c>
      <c r="I1318" s="4">
        <v>5</v>
      </c>
      <c r="J1318" s="4" t="s">
        <v>8</v>
      </c>
      <c r="K1318" s="4" t="s">
        <v>9</v>
      </c>
      <c r="L1318" s="71"/>
      <c r="M1318" s="3"/>
      <c r="N1318">
        <v>4502690184</v>
      </c>
      <c r="O1318" s="4">
        <v>10</v>
      </c>
      <c r="P1318" s="1" t="s">
        <v>1621</v>
      </c>
      <c r="Q1318" s="22">
        <v>46223</v>
      </c>
      <c r="R1318"/>
      <c r="S1318" s="11"/>
    </row>
    <row r="1319" spans="2:19" x14ac:dyDescent="0.25">
      <c r="B1319" s="4">
        <v>30073690</v>
      </c>
      <c r="C1319" s="1" t="s">
        <v>1442</v>
      </c>
      <c r="D1319" s="4" t="s">
        <v>86</v>
      </c>
      <c r="E1319" s="3"/>
      <c r="F1319" s="3" t="s">
        <v>68</v>
      </c>
      <c r="G1319" s="4">
        <v>5</v>
      </c>
      <c r="H1319" s="4">
        <v>5</v>
      </c>
      <c r="I1319" s="4">
        <v>1</v>
      </c>
      <c r="J1319" s="4" t="s">
        <v>8</v>
      </c>
      <c r="K1319" s="4" t="s">
        <v>9</v>
      </c>
      <c r="L1319" s="11" t="s">
        <v>1672</v>
      </c>
      <c r="M1319" s="3">
        <v>9</v>
      </c>
      <c r="N1319"/>
      <c r="O1319" s="4"/>
      <c r="P1319" s="1"/>
      <c r="Q1319" s="22"/>
      <c r="R1319"/>
      <c r="S1319" s="11"/>
    </row>
    <row r="1320" spans="2:19" x14ac:dyDescent="0.25">
      <c r="B1320" s="4">
        <v>30073790</v>
      </c>
      <c r="C1320" s="1" t="s">
        <v>1556</v>
      </c>
      <c r="D1320" s="4" t="s">
        <v>86</v>
      </c>
      <c r="E1320" s="3"/>
      <c r="F1320" s="3" t="s">
        <v>68</v>
      </c>
      <c r="G1320" s="4">
        <v>2</v>
      </c>
      <c r="H1320" s="4">
        <v>2</v>
      </c>
      <c r="I1320" s="4">
        <v>0</v>
      </c>
      <c r="J1320" s="4" t="s">
        <v>8</v>
      </c>
      <c r="K1320" s="4" t="s">
        <v>13</v>
      </c>
      <c r="L1320" s="11">
        <v>1002671112</v>
      </c>
      <c r="M1320" s="3">
        <v>4</v>
      </c>
      <c r="N1320">
        <v>4502510417</v>
      </c>
      <c r="O1320" s="4">
        <v>1</v>
      </c>
      <c r="P1320" s="1" t="s">
        <v>1564</v>
      </c>
      <c r="Q1320" s="22">
        <v>46066</v>
      </c>
      <c r="R1320"/>
      <c r="S1320" s="11" t="s">
        <v>1603</v>
      </c>
    </row>
    <row r="1321" spans="2:19" x14ac:dyDescent="0.25">
      <c r="B1321" s="4">
        <v>30073791</v>
      </c>
      <c r="C1321" s="1" t="s">
        <v>1557</v>
      </c>
      <c r="D1321" s="4" t="s">
        <v>86</v>
      </c>
      <c r="E1321" s="3"/>
      <c r="F1321" s="3" t="s">
        <v>68</v>
      </c>
      <c r="G1321" s="4">
        <v>2</v>
      </c>
      <c r="H1321" s="4">
        <v>2</v>
      </c>
      <c r="I1321" s="4">
        <v>0</v>
      </c>
      <c r="J1321" s="4" t="s">
        <v>8</v>
      </c>
      <c r="K1321" s="4" t="s">
        <v>13</v>
      </c>
      <c r="L1321" s="11">
        <v>1002671112</v>
      </c>
      <c r="M1321" s="3">
        <v>4</v>
      </c>
      <c r="N1321">
        <v>4502510417</v>
      </c>
      <c r="O1321" s="4">
        <v>1</v>
      </c>
      <c r="P1321" s="1" t="s">
        <v>1564</v>
      </c>
      <c r="Q1321" s="22">
        <v>45701</v>
      </c>
      <c r="R1321"/>
      <c r="S1321" s="11" t="s">
        <v>1603</v>
      </c>
    </row>
    <row r="1322" spans="2:19" x14ac:dyDescent="0.25">
      <c r="B1322" s="4">
        <v>30073849</v>
      </c>
      <c r="C1322" s="1" t="s">
        <v>1614</v>
      </c>
      <c r="D1322" s="4" t="s">
        <v>86</v>
      </c>
      <c r="E1322" s="3"/>
      <c r="F1322" s="3" t="s">
        <v>68</v>
      </c>
      <c r="G1322" s="4">
        <v>6</v>
      </c>
      <c r="H1322" s="4">
        <v>9</v>
      </c>
      <c r="I1322" s="4">
        <v>31</v>
      </c>
      <c r="J1322" s="4" t="s">
        <v>8</v>
      </c>
      <c r="K1322" s="4" t="s">
        <v>14</v>
      </c>
      <c r="L1322" s="11"/>
      <c r="M1322" s="3"/>
      <c r="N1322"/>
      <c r="O1322" s="4"/>
      <c r="P1322" s="1"/>
      <c r="Q1322" s="22"/>
      <c r="R1322"/>
      <c r="S1322" s="11"/>
    </row>
    <row r="1323" spans="2:19" x14ac:dyDescent="0.25">
      <c r="B1323" s="4">
        <v>30074489</v>
      </c>
      <c r="C1323" s="1" t="s">
        <v>1471</v>
      </c>
      <c r="D1323" s="4" t="s">
        <v>86</v>
      </c>
      <c r="E1323" s="3"/>
      <c r="F1323" s="3" t="s">
        <v>68</v>
      </c>
      <c r="G1323" s="4">
        <v>5</v>
      </c>
      <c r="H1323" s="4">
        <v>10</v>
      </c>
      <c r="I1323" s="4">
        <v>7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</row>
    <row r="1324" spans="2:19" x14ac:dyDescent="0.25">
      <c r="B1324"/>
      <c r="C1324"/>
      <c r="D1324"/>
      <c r="E1324"/>
      <c r="F1324"/>
      <c r="G1324"/>
      <c r="H1324"/>
      <c r="I1324"/>
      <c r="J1324"/>
      <c r="K1324"/>
      <c r="L1324" s="11"/>
      <c r="M1324"/>
      <c r="N1324" s="3"/>
      <c r="O1324" s="11"/>
      <c r="P1324" s="11"/>
      <c r="Q1324" s="11"/>
      <c r="R1324" s="11"/>
      <c r="S1324" s="11"/>
    </row>
    <row r="1325" spans="2:19" x14ac:dyDescent="0.25">
      <c r="B1325"/>
      <c r="C1325"/>
      <c r="D1325"/>
      <c r="E1325"/>
      <c r="F1325"/>
      <c r="G1325"/>
      <c r="H1325"/>
      <c r="I1325"/>
      <c r="J1325"/>
      <c r="K1325"/>
      <c r="L1325" s="11"/>
      <c r="M1325"/>
      <c r="N1325" s="3"/>
      <c r="O1325" s="11"/>
      <c r="P1325" s="11"/>
      <c r="Q1325" s="11"/>
      <c r="R1325" s="11"/>
      <c r="S1325" s="11"/>
    </row>
    <row r="1326" spans="2:19" x14ac:dyDescent="0.25">
      <c r="B1326"/>
      <c r="C1326"/>
      <c r="D1326"/>
      <c r="E1326"/>
      <c r="F1326"/>
      <c r="G1326"/>
      <c r="H1326"/>
      <c r="I1326"/>
      <c r="J1326"/>
      <c r="K1326"/>
      <c r="L1326" s="11"/>
      <c r="M1326"/>
      <c r="N1326" s="3"/>
      <c r="O1326" s="11"/>
      <c r="P1326" s="11"/>
      <c r="Q1326" s="11"/>
      <c r="R1326" s="11"/>
      <c r="S1326" s="11"/>
    </row>
    <row r="1327" spans="2:19" x14ac:dyDescent="0.2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</row>
    <row r="1328" spans="2:19" x14ac:dyDescent="0.2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</row>
    <row r="1329" spans="2:19" x14ac:dyDescent="0.2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</row>
    <row r="1330" spans="2:19" x14ac:dyDescent="0.2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</row>
    <row r="1331" spans="2:19" x14ac:dyDescent="0.2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</row>
    <row r="1332" spans="2:19" x14ac:dyDescent="0.2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</row>
    <row r="1333" spans="2:19" x14ac:dyDescent="0.2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</row>
    <row r="1334" spans="2:19" x14ac:dyDescent="0.2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</row>
    <row r="1335" spans="2:19" x14ac:dyDescent="0.2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</row>
    <row r="1336" spans="2:19" x14ac:dyDescent="0.2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</row>
    <row r="1337" spans="2:19" x14ac:dyDescent="0.2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</row>
    <row r="1338" spans="2:19" x14ac:dyDescent="0.2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</row>
    <row r="1339" spans="2:19" x14ac:dyDescent="0.2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</row>
    <row r="1340" spans="2:19" x14ac:dyDescent="0.2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</row>
    <row r="1341" spans="2:19" x14ac:dyDescent="0.2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</row>
    <row r="1342" spans="2:19" x14ac:dyDescent="0.2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</row>
    <row r="1343" spans="2:19" x14ac:dyDescent="0.2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</row>
    <row r="1344" spans="2:19" x14ac:dyDescent="0.2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</row>
    <row r="1345" spans="2:19" x14ac:dyDescent="0.2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</row>
    <row r="1346" spans="2:19" x14ac:dyDescent="0.2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</row>
    <row r="1347" spans="2:19" x14ac:dyDescent="0.2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</row>
    <row r="1348" spans="2:19" x14ac:dyDescent="0.2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</row>
    <row r="1349" spans="2:19" x14ac:dyDescent="0.2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</row>
    <row r="1350" spans="2:19" x14ac:dyDescent="0.2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</row>
    <row r="1351" spans="2:19" x14ac:dyDescent="0.2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</row>
    <row r="1352" spans="2:19" x14ac:dyDescent="0.2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</row>
    <row r="1353" spans="2:19" x14ac:dyDescent="0.2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</row>
    <row r="1354" spans="2:19" x14ac:dyDescent="0.2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</row>
    <row r="1355" spans="2:19" x14ac:dyDescent="0.2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</row>
    <row r="1356" spans="2:19" x14ac:dyDescent="0.2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</row>
    <row r="1357" spans="2:19" x14ac:dyDescent="0.2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</row>
    <row r="1358" spans="2:19" x14ac:dyDescent="0.2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</row>
    <row r="1359" spans="2:19" x14ac:dyDescent="0.2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</row>
    <row r="1360" spans="2:19" x14ac:dyDescent="0.2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</row>
    <row r="1361" spans="2:19" x14ac:dyDescent="0.2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</row>
    <row r="1362" spans="2:19" x14ac:dyDescent="0.2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</row>
    <row r="1363" spans="2:19" x14ac:dyDescent="0.2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</row>
    <row r="1364" spans="2:19" x14ac:dyDescent="0.2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</row>
    <row r="1365" spans="2:19" x14ac:dyDescent="0.2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</row>
    <row r="1366" spans="2:19" x14ac:dyDescent="0.2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</row>
    <row r="1367" spans="2:19" x14ac:dyDescent="0.2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</row>
    <row r="1368" spans="2:19" x14ac:dyDescent="0.2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</row>
    <row r="1369" spans="2:19" x14ac:dyDescent="0.2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</row>
    <row r="1370" spans="2:19" x14ac:dyDescent="0.2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</row>
    <row r="1371" spans="2:19" x14ac:dyDescent="0.2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</row>
    <row r="1372" spans="2:19" x14ac:dyDescent="0.2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</row>
    <row r="1373" spans="2:19" x14ac:dyDescent="0.2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</row>
    <row r="1374" spans="2:19" x14ac:dyDescent="0.2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</row>
    <row r="1375" spans="2:19" x14ac:dyDescent="0.2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</row>
    <row r="1376" spans="2:19" x14ac:dyDescent="0.2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</row>
    <row r="1377" spans="2:19" x14ac:dyDescent="0.2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</row>
    <row r="1378" spans="2:19" x14ac:dyDescent="0.2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</row>
    <row r="1379" spans="2:19" x14ac:dyDescent="0.2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</row>
    <row r="1380" spans="2:19" x14ac:dyDescent="0.2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</row>
    <row r="1381" spans="2:19" x14ac:dyDescent="0.2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</row>
    <row r="1382" spans="2:19" x14ac:dyDescent="0.2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</row>
    <row r="1383" spans="2:19" x14ac:dyDescent="0.2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</row>
    <row r="1384" spans="2:19" x14ac:dyDescent="0.2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</row>
    <row r="1385" spans="2:19" x14ac:dyDescent="0.2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</row>
    <row r="1386" spans="2:19" x14ac:dyDescent="0.2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</row>
    <row r="1387" spans="2:19" x14ac:dyDescent="0.2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</row>
    <row r="1388" spans="2:19" x14ac:dyDescent="0.2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</row>
    <row r="1389" spans="2:19" x14ac:dyDescent="0.2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</row>
    <row r="1390" spans="2:19" x14ac:dyDescent="0.2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</row>
    <row r="1391" spans="2:19" x14ac:dyDescent="0.2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</row>
    <row r="1392" spans="2:19" x14ac:dyDescent="0.2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</row>
    <row r="1393" spans="2:19" x14ac:dyDescent="0.2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</row>
    <row r="1394" spans="2:19" x14ac:dyDescent="0.2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</row>
    <row r="1395" spans="2:19" x14ac:dyDescent="0.2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</row>
    <row r="1396" spans="2:19" x14ac:dyDescent="0.2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</row>
    <row r="1397" spans="2:19" x14ac:dyDescent="0.2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</row>
    <row r="1398" spans="2:19" x14ac:dyDescent="0.2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</row>
    <row r="1399" spans="2:19" x14ac:dyDescent="0.2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</row>
    <row r="1400" spans="2:19" x14ac:dyDescent="0.2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</row>
    <row r="1401" spans="2:19" x14ac:dyDescent="0.2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</row>
    <row r="1402" spans="2:19" x14ac:dyDescent="0.2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</row>
    <row r="1403" spans="2:19" x14ac:dyDescent="0.2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</row>
    <row r="1404" spans="2:19" x14ac:dyDescent="0.2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</row>
    <row r="1405" spans="2:19" x14ac:dyDescent="0.2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</row>
    <row r="1406" spans="2:19" x14ac:dyDescent="0.2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</row>
    <row r="1407" spans="2:19" x14ac:dyDescent="0.2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</row>
    <row r="1408" spans="2:19" x14ac:dyDescent="0.2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</row>
    <row r="1409" spans="2:19" x14ac:dyDescent="0.2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</row>
    <row r="1410" spans="2:19" x14ac:dyDescent="0.2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</row>
    <row r="1411" spans="2:19" x14ac:dyDescent="0.2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</row>
    <row r="1412" spans="2:19" x14ac:dyDescent="0.2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</row>
    <row r="1413" spans="2:19" x14ac:dyDescent="0.2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</row>
    <row r="1414" spans="2:19" x14ac:dyDescent="0.2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</row>
    <row r="1415" spans="2:19" x14ac:dyDescent="0.2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</row>
    <row r="1416" spans="2:19" x14ac:dyDescent="0.2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</row>
    <row r="1417" spans="2:19" x14ac:dyDescent="0.2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</row>
    <row r="1418" spans="2:19" x14ac:dyDescent="0.2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</row>
    <row r="1419" spans="2:19" x14ac:dyDescent="0.2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</row>
    <row r="1420" spans="2:19" x14ac:dyDescent="0.2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</row>
    <row r="1421" spans="2:19" x14ac:dyDescent="0.2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</row>
    <row r="1422" spans="2:19" x14ac:dyDescent="0.2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</row>
    <row r="1423" spans="2:19" x14ac:dyDescent="0.2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</row>
    <row r="1424" spans="2:19" x14ac:dyDescent="0.2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</row>
    <row r="1425" spans="2:19" x14ac:dyDescent="0.2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</row>
    <row r="1426" spans="2:19" x14ac:dyDescent="0.2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</row>
    <row r="1427" spans="2:19" x14ac:dyDescent="0.2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</row>
    <row r="1428" spans="2:19" x14ac:dyDescent="0.2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</row>
    <row r="1429" spans="2:19" x14ac:dyDescent="0.2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</row>
    <row r="1430" spans="2:19" x14ac:dyDescent="0.2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</row>
    <row r="1431" spans="2:19" x14ac:dyDescent="0.2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</row>
    <row r="1432" spans="2:19" x14ac:dyDescent="0.2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</row>
    <row r="1433" spans="2:19" x14ac:dyDescent="0.2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</row>
    <row r="1434" spans="2:19" x14ac:dyDescent="0.2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</row>
    <row r="1435" spans="2:19" x14ac:dyDescent="0.2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</row>
    <row r="1436" spans="2:19" x14ac:dyDescent="0.2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</row>
    <row r="1437" spans="2:19" x14ac:dyDescent="0.2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</row>
    <row r="1438" spans="2:19" x14ac:dyDescent="0.2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</row>
    <row r="1439" spans="2:19" x14ac:dyDescent="0.2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</row>
    <row r="1440" spans="2:19" x14ac:dyDescent="0.2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</row>
    <row r="1441" spans="2:19" x14ac:dyDescent="0.2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</row>
    <row r="1442" spans="2:19" x14ac:dyDescent="0.2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</row>
    <row r="1443" spans="2:19" x14ac:dyDescent="0.2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</row>
    <row r="1444" spans="2:19" x14ac:dyDescent="0.2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</row>
    <row r="1445" spans="2:19" x14ac:dyDescent="0.2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</row>
    <row r="1446" spans="2:19" x14ac:dyDescent="0.2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</row>
    <row r="1447" spans="2:19" x14ac:dyDescent="0.2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</row>
    <row r="1448" spans="2:19" x14ac:dyDescent="0.2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</row>
    <row r="1449" spans="2:19" x14ac:dyDescent="0.2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</row>
    <row r="1450" spans="2:19" x14ac:dyDescent="0.2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</row>
    <row r="1451" spans="2:19" x14ac:dyDescent="0.2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</row>
    <row r="1452" spans="2:19" x14ac:dyDescent="0.2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</row>
    <row r="1453" spans="2:19" x14ac:dyDescent="0.2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</row>
    <row r="1454" spans="2:19" x14ac:dyDescent="0.2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</row>
    <row r="1455" spans="2:19" x14ac:dyDescent="0.2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</row>
    <row r="1456" spans="2:19" x14ac:dyDescent="0.2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</row>
    <row r="1457" spans="2:19" x14ac:dyDescent="0.2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</row>
    <row r="1458" spans="2:19" x14ac:dyDescent="0.2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</row>
    <row r="1459" spans="2:19" x14ac:dyDescent="0.2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</row>
    <row r="1460" spans="2:19" x14ac:dyDescent="0.2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</row>
    <row r="1461" spans="2:19" x14ac:dyDescent="0.2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</row>
    <row r="1462" spans="2:19" x14ac:dyDescent="0.2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</row>
    <row r="1463" spans="2:19" x14ac:dyDescent="0.2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</row>
    <row r="1464" spans="2:19" x14ac:dyDescent="0.2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</row>
    <row r="1465" spans="2:19" x14ac:dyDescent="0.2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</row>
    <row r="1466" spans="2:19" x14ac:dyDescent="0.2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</row>
    <row r="1467" spans="2:19" x14ac:dyDescent="0.2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</row>
    <row r="1468" spans="2:19" x14ac:dyDescent="0.2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</row>
    <row r="1469" spans="2:19" x14ac:dyDescent="0.2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</row>
    <row r="1470" spans="2:19" x14ac:dyDescent="0.2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</row>
    <row r="1471" spans="2:19" x14ac:dyDescent="0.2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</row>
    <row r="1472" spans="2:19" x14ac:dyDescent="0.2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</row>
    <row r="1473" spans="2:19" x14ac:dyDescent="0.2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</row>
    <row r="1474" spans="2:19" x14ac:dyDescent="0.2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</row>
    <row r="1475" spans="2:19" x14ac:dyDescent="0.2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</row>
    <row r="1476" spans="2:19" x14ac:dyDescent="0.2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</row>
    <row r="1477" spans="2:19" x14ac:dyDescent="0.2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</row>
    <row r="1478" spans="2:19" x14ac:dyDescent="0.2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</row>
    <row r="1479" spans="2:19" x14ac:dyDescent="0.2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</row>
    <row r="1480" spans="2:19" x14ac:dyDescent="0.2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</row>
    <row r="1481" spans="2:19" x14ac:dyDescent="0.2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</row>
    <row r="1482" spans="2:19" x14ac:dyDescent="0.2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</row>
    <row r="1483" spans="2:19" x14ac:dyDescent="0.2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</row>
    <row r="1484" spans="2:19" x14ac:dyDescent="0.2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</row>
    <row r="1485" spans="2:19" x14ac:dyDescent="0.2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</row>
    <row r="1486" spans="2:19" x14ac:dyDescent="0.2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</row>
    <row r="1487" spans="2:19" x14ac:dyDescent="0.2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</row>
    <row r="1488" spans="2:19" x14ac:dyDescent="0.2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</row>
    <row r="1489" spans="2:19" x14ac:dyDescent="0.2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</row>
    <row r="1490" spans="2:19" x14ac:dyDescent="0.2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</row>
    <row r="1491" spans="2:19" x14ac:dyDescent="0.2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</row>
    <row r="1492" spans="2:19" x14ac:dyDescent="0.2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</row>
    <row r="1493" spans="2:19" x14ac:dyDescent="0.2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</row>
    <row r="1494" spans="2:19" x14ac:dyDescent="0.2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</row>
    <row r="1495" spans="2:19" x14ac:dyDescent="0.2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</row>
    <row r="1496" spans="2:19" x14ac:dyDescent="0.2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</row>
    <row r="1497" spans="2:19" x14ac:dyDescent="0.2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</row>
    <row r="1498" spans="2:19" x14ac:dyDescent="0.2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</row>
    <row r="1499" spans="2:19" x14ac:dyDescent="0.2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</row>
    <row r="1500" spans="2:19" x14ac:dyDescent="0.2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</row>
    <row r="1501" spans="2:19" x14ac:dyDescent="0.2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</row>
    <row r="1502" spans="2:19" x14ac:dyDescent="0.2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</row>
    <row r="1503" spans="2:19" x14ac:dyDescent="0.2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</row>
    <row r="1504" spans="2:19" x14ac:dyDescent="0.2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</row>
    <row r="1505" spans="2:19" x14ac:dyDescent="0.2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</row>
    <row r="1506" spans="2:19" x14ac:dyDescent="0.2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</row>
    <row r="1507" spans="2:19" x14ac:dyDescent="0.2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</row>
    <row r="1508" spans="2:19" x14ac:dyDescent="0.2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</row>
    <row r="1509" spans="2:19" x14ac:dyDescent="0.2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</row>
    <row r="1510" spans="2:19" x14ac:dyDescent="0.2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</row>
    <row r="1511" spans="2:19" x14ac:dyDescent="0.2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</row>
    <row r="1512" spans="2:19" x14ac:dyDescent="0.2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</row>
    <row r="1513" spans="2:19" x14ac:dyDescent="0.2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</row>
    <row r="1514" spans="2:19" x14ac:dyDescent="0.2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</row>
    <row r="1515" spans="2:19" x14ac:dyDescent="0.2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</row>
    <row r="1516" spans="2:19" x14ac:dyDescent="0.2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</row>
    <row r="1517" spans="2:19" x14ac:dyDescent="0.2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</row>
    <row r="1518" spans="2:19" x14ac:dyDescent="0.2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</row>
    <row r="1519" spans="2:19" x14ac:dyDescent="0.2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</row>
    <row r="1520" spans="2:19" x14ac:dyDescent="0.2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</row>
    <row r="1521" spans="2:19" x14ac:dyDescent="0.2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</row>
    <row r="1522" spans="2:19" x14ac:dyDescent="0.2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</row>
    <row r="1523" spans="2:19" x14ac:dyDescent="0.2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</row>
    <row r="1524" spans="2:19" x14ac:dyDescent="0.2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</row>
    <row r="1525" spans="2:19" x14ac:dyDescent="0.2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</row>
    <row r="1526" spans="2:19" x14ac:dyDescent="0.2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</row>
    <row r="1527" spans="2:19" x14ac:dyDescent="0.2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</row>
    <row r="1528" spans="2:19" x14ac:dyDescent="0.2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</row>
    <row r="1529" spans="2:19" x14ac:dyDescent="0.2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</row>
    <row r="1530" spans="2:19" x14ac:dyDescent="0.2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</row>
    <row r="1531" spans="2:19" x14ac:dyDescent="0.2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</row>
    <row r="1532" spans="2:19" x14ac:dyDescent="0.2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</row>
    <row r="1533" spans="2:19" x14ac:dyDescent="0.2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</row>
    <row r="1534" spans="2:19" x14ac:dyDescent="0.2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</row>
    <row r="1535" spans="2:19" x14ac:dyDescent="0.2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</row>
    <row r="1536" spans="2:19" x14ac:dyDescent="0.2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</row>
    <row r="1537" spans="2:19" x14ac:dyDescent="0.2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</row>
    <row r="1538" spans="2:19" x14ac:dyDescent="0.2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</row>
    <row r="1539" spans="2:19" x14ac:dyDescent="0.2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</row>
    <row r="1540" spans="2:19" x14ac:dyDescent="0.2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</row>
    <row r="1541" spans="2:19" x14ac:dyDescent="0.2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</row>
    <row r="1542" spans="2:19" x14ac:dyDescent="0.2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</row>
    <row r="1543" spans="2:19" x14ac:dyDescent="0.2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</row>
    <row r="1544" spans="2:19" x14ac:dyDescent="0.2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</row>
    <row r="1545" spans="2:19" x14ac:dyDescent="0.2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</row>
    <row r="1546" spans="2:19" x14ac:dyDescent="0.2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</row>
    <row r="1547" spans="2:19" x14ac:dyDescent="0.2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</row>
    <row r="1548" spans="2:19" x14ac:dyDescent="0.2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</row>
    <row r="1549" spans="2:19" x14ac:dyDescent="0.2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</row>
    <row r="1550" spans="2:19" x14ac:dyDescent="0.2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</row>
    <row r="1551" spans="2:19" x14ac:dyDescent="0.2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</row>
    <row r="1552" spans="2:19" x14ac:dyDescent="0.2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</row>
    <row r="1553" spans="2:19" x14ac:dyDescent="0.2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</row>
    <row r="1554" spans="2:19" x14ac:dyDescent="0.2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</row>
    <row r="1555" spans="2:19" x14ac:dyDescent="0.2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</row>
    <row r="1556" spans="2:19" x14ac:dyDescent="0.2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</row>
    <row r="1557" spans="2:19" x14ac:dyDescent="0.2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</row>
    <row r="1558" spans="2:19" x14ac:dyDescent="0.2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</row>
    <row r="1559" spans="2:19" x14ac:dyDescent="0.2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</row>
    <row r="1560" spans="2:19" x14ac:dyDescent="0.2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</row>
    <row r="1561" spans="2:19" x14ac:dyDescent="0.2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</row>
    <row r="1562" spans="2:19" x14ac:dyDescent="0.2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</row>
    <row r="1563" spans="2:19" x14ac:dyDescent="0.2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</row>
    <row r="1564" spans="2:19" x14ac:dyDescent="0.2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</row>
    <row r="1565" spans="2:19" x14ac:dyDescent="0.2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</row>
    <row r="1566" spans="2:19" x14ac:dyDescent="0.2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</row>
    <row r="1567" spans="2:19" x14ac:dyDescent="0.2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</row>
    <row r="1568" spans="2:19" x14ac:dyDescent="0.2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</row>
    <row r="1569" spans="2:19" x14ac:dyDescent="0.2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</row>
    <row r="1570" spans="2:19" x14ac:dyDescent="0.2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</row>
    <row r="1571" spans="2:19" x14ac:dyDescent="0.2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</row>
    <row r="1572" spans="2:19" x14ac:dyDescent="0.2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</row>
    <row r="1573" spans="2:19" x14ac:dyDescent="0.2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</row>
    <row r="1574" spans="2:19" x14ac:dyDescent="0.2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</row>
    <row r="1575" spans="2:19" x14ac:dyDescent="0.2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</row>
    <row r="1576" spans="2:19" x14ac:dyDescent="0.2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</row>
    <row r="1577" spans="2:19" x14ac:dyDescent="0.2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</row>
    <row r="1578" spans="2:19" x14ac:dyDescent="0.2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</row>
    <row r="1579" spans="2:19" x14ac:dyDescent="0.2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</row>
    <row r="1580" spans="2:19" x14ac:dyDescent="0.2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</row>
    <row r="1581" spans="2:19" x14ac:dyDescent="0.2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</row>
    <row r="1582" spans="2:19" x14ac:dyDescent="0.2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</row>
    <row r="1583" spans="2:19" x14ac:dyDescent="0.2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</row>
    <row r="1584" spans="2:19" x14ac:dyDescent="0.2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</row>
    <row r="1585" spans="2:19" x14ac:dyDescent="0.2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</row>
    <row r="1586" spans="2:19" x14ac:dyDescent="0.2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</row>
    <row r="1587" spans="2:19" x14ac:dyDescent="0.2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</row>
    <row r="1588" spans="2:19" x14ac:dyDescent="0.2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</row>
    <row r="1589" spans="2:19" x14ac:dyDescent="0.2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</row>
    <row r="1590" spans="2:19" x14ac:dyDescent="0.2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</row>
    <row r="1591" spans="2:19" x14ac:dyDescent="0.2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</row>
    <row r="1592" spans="2:19" x14ac:dyDescent="0.2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</row>
    <row r="1593" spans="2:19" x14ac:dyDescent="0.2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</row>
    <row r="1594" spans="2:19" x14ac:dyDescent="0.2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</row>
    <row r="1595" spans="2:19" x14ac:dyDescent="0.2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</row>
    <row r="1596" spans="2:19" x14ac:dyDescent="0.2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</row>
    <row r="1597" spans="2:19" x14ac:dyDescent="0.2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</row>
    <row r="1598" spans="2:19" x14ac:dyDescent="0.2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</row>
    <row r="1599" spans="2:19" x14ac:dyDescent="0.2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</row>
    <row r="1600" spans="2:19" x14ac:dyDescent="0.2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</row>
    <row r="1601" spans="2:19" x14ac:dyDescent="0.2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</row>
    <row r="1602" spans="2:19" x14ac:dyDescent="0.2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</row>
    <row r="1603" spans="2:19" x14ac:dyDescent="0.2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</row>
    <row r="1604" spans="2:19" x14ac:dyDescent="0.2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</row>
    <row r="1605" spans="2:19" x14ac:dyDescent="0.2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</row>
    <row r="1606" spans="2:19" x14ac:dyDescent="0.2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</row>
    <row r="1607" spans="2:19" x14ac:dyDescent="0.2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</row>
    <row r="1608" spans="2:19" x14ac:dyDescent="0.2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</row>
    <row r="1609" spans="2:19" x14ac:dyDescent="0.2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</row>
    <row r="1610" spans="2:19" x14ac:dyDescent="0.2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</row>
    <row r="1611" spans="2:19" x14ac:dyDescent="0.2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</row>
    <row r="1612" spans="2:19" x14ac:dyDescent="0.2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</row>
    <row r="1613" spans="2:19" x14ac:dyDescent="0.2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</row>
    <row r="1614" spans="2:19" x14ac:dyDescent="0.2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</row>
    <row r="1615" spans="2:19" x14ac:dyDescent="0.2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</row>
    <row r="1616" spans="2:19" x14ac:dyDescent="0.2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</row>
    <row r="1617" spans="2:19" x14ac:dyDescent="0.2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</row>
    <row r="1618" spans="2:19" x14ac:dyDescent="0.2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</row>
    <row r="1619" spans="2:19" x14ac:dyDescent="0.2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</row>
    <row r="1620" spans="2:19" x14ac:dyDescent="0.2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</row>
    <row r="1621" spans="2:19" x14ac:dyDescent="0.2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</row>
    <row r="1622" spans="2:19" x14ac:dyDescent="0.2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</row>
    <row r="1623" spans="2:19" x14ac:dyDescent="0.2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</row>
    <row r="1624" spans="2:19" x14ac:dyDescent="0.2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</row>
    <row r="1625" spans="2:19" x14ac:dyDescent="0.2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</row>
    <row r="1626" spans="2:19" x14ac:dyDescent="0.2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</row>
    <row r="1627" spans="2:19" x14ac:dyDescent="0.2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</row>
    <row r="1628" spans="2:19" x14ac:dyDescent="0.2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</row>
    <row r="1629" spans="2:19" x14ac:dyDescent="0.2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</row>
    <row r="1630" spans="2:19" x14ac:dyDescent="0.2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</row>
    <row r="1631" spans="2:19" x14ac:dyDescent="0.2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</row>
    <row r="1632" spans="2:19" x14ac:dyDescent="0.2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</row>
    <row r="1633" spans="2:19" x14ac:dyDescent="0.2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</row>
    <row r="1634" spans="2:19" x14ac:dyDescent="0.2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</row>
    <row r="1635" spans="2:19" x14ac:dyDescent="0.2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</row>
    <row r="1636" spans="2:19" x14ac:dyDescent="0.2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</row>
    <row r="1637" spans="2:19" x14ac:dyDescent="0.2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</row>
    <row r="1638" spans="2:19" x14ac:dyDescent="0.2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</row>
    <row r="1639" spans="2:19" x14ac:dyDescent="0.2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</row>
    <row r="1640" spans="2:19" x14ac:dyDescent="0.2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</row>
    <row r="1641" spans="2:19" x14ac:dyDescent="0.2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</row>
    <row r="1642" spans="2:19" x14ac:dyDescent="0.2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</row>
    <row r="1643" spans="2:19" x14ac:dyDescent="0.2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</row>
    <row r="1644" spans="2:19" x14ac:dyDescent="0.2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</row>
    <row r="1645" spans="2:19" x14ac:dyDescent="0.2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</row>
    <row r="1646" spans="2:19" x14ac:dyDescent="0.2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</row>
    <row r="1647" spans="2:19" x14ac:dyDescent="0.2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</row>
    <row r="1648" spans="2:19" x14ac:dyDescent="0.2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</row>
    <row r="1649" spans="2:19" x14ac:dyDescent="0.2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</row>
    <row r="1650" spans="2:19" x14ac:dyDescent="0.2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</row>
    <row r="1651" spans="2:19" x14ac:dyDescent="0.2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</row>
    <row r="1652" spans="2:19" x14ac:dyDescent="0.2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</row>
    <row r="1653" spans="2:19" x14ac:dyDescent="0.2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</row>
    <row r="1654" spans="2:19" x14ac:dyDescent="0.2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</row>
    <row r="1655" spans="2:19" x14ac:dyDescent="0.2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</row>
    <row r="1656" spans="2:19" x14ac:dyDescent="0.2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</row>
    <row r="1657" spans="2:19" x14ac:dyDescent="0.2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</row>
    <row r="1658" spans="2:19" x14ac:dyDescent="0.2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</row>
    <row r="1659" spans="2:19" x14ac:dyDescent="0.2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</row>
    <row r="1660" spans="2:19" x14ac:dyDescent="0.2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</row>
    <row r="1661" spans="2:19" x14ac:dyDescent="0.2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</row>
    <row r="1662" spans="2:19" x14ac:dyDescent="0.2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</row>
    <row r="1663" spans="2:19" x14ac:dyDescent="0.2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</row>
    <row r="1664" spans="2:19" x14ac:dyDescent="0.2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</row>
    <row r="1665" spans="2:19" x14ac:dyDescent="0.2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</row>
    <row r="1666" spans="2:19" x14ac:dyDescent="0.2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</row>
    <row r="1667" spans="2:19" x14ac:dyDescent="0.2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</row>
    <row r="1668" spans="2:19" x14ac:dyDescent="0.2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</row>
    <row r="1669" spans="2:19" x14ac:dyDescent="0.2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</row>
    <row r="1670" spans="2:19" x14ac:dyDescent="0.2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</row>
    <row r="1671" spans="2:19" x14ac:dyDescent="0.2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</row>
    <row r="1672" spans="2:19" x14ac:dyDescent="0.2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</row>
    <row r="1673" spans="2:19" x14ac:dyDescent="0.2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</row>
    <row r="1674" spans="2:19" x14ac:dyDescent="0.2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</row>
    <row r="1675" spans="2:19" x14ac:dyDescent="0.2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</row>
    <row r="1676" spans="2:19" x14ac:dyDescent="0.2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</row>
    <row r="1677" spans="2:19" x14ac:dyDescent="0.2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</row>
    <row r="1678" spans="2:19" x14ac:dyDescent="0.2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</row>
    <row r="1679" spans="2:19" x14ac:dyDescent="0.2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</row>
    <row r="1680" spans="2:19" x14ac:dyDescent="0.2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</row>
    <row r="1681" spans="2:19" x14ac:dyDescent="0.2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</row>
    <row r="1682" spans="2:19" x14ac:dyDescent="0.2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</row>
    <row r="1683" spans="2:19" x14ac:dyDescent="0.2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</row>
    <row r="1684" spans="2:19" x14ac:dyDescent="0.2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</row>
    <row r="1685" spans="2:19" x14ac:dyDescent="0.2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</row>
    <row r="1686" spans="2:19" x14ac:dyDescent="0.2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</row>
    <row r="1687" spans="2:19" x14ac:dyDescent="0.2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</row>
    <row r="1688" spans="2:19" x14ac:dyDescent="0.2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</row>
    <row r="1689" spans="2:19" x14ac:dyDescent="0.2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</row>
    <row r="1690" spans="2:19" x14ac:dyDescent="0.2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</row>
    <row r="1691" spans="2:19" x14ac:dyDescent="0.2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</row>
    <row r="1692" spans="2:19" x14ac:dyDescent="0.2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</row>
    <row r="1693" spans="2:19" x14ac:dyDescent="0.2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</row>
    <row r="1694" spans="2:19" x14ac:dyDescent="0.2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</row>
    <row r="1695" spans="2:19" x14ac:dyDescent="0.2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</row>
    <row r="1696" spans="2:19" x14ac:dyDescent="0.2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</row>
    <row r="1697" spans="2:19" x14ac:dyDescent="0.2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</row>
    <row r="1698" spans="2:19" x14ac:dyDescent="0.2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</row>
    <row r="1699" spans="2:19" x14ac:dyDescent="0.2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</row>
    <row r="1700" spans="2:19" x14ac:dyDescent="0.2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</row>
    <row r="1701" spans="2:19" x14ac:dyDescent="0.2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</row>
    <row r="1702" spans="2:19" x14ac:dyDescent="0.2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</row>
    <row r="1703" spans="2:19" x14ac:dyDescent="0.2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</row>
    <row r="1704" spans="2:19" x14ac:dyDescent="0.2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</row>
    <row r="1705" spans="2:19" x14ac:dyDescent="0.2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</row>
    <row r="1706" spans="2:19" x14ac:dyDescent="0.2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</row>
    <row r="1707" spans="2:19" x14ac:dyDescent="0.2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</row>
    <row r="1708" spans="2:19" x14ac:dyDescent="0.2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</row>
    <row r="1709" spans="2:19" x14ac:dyDescent="0.2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</row>
    <row r="1710" spans="2:19" x14ac:dyDescent="0.2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</row>
    <row r="1711" spans="2:19" x14ac:dyDescent="0.2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</row>
    <row r="1712" spans="2:19" x14ac:dyDescent="0.2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</row>
    <row r="1713" spans="2:19" x14ac:dyDescent="0.2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</row>
    <row r="1714" spans="2:19" x14ac:dyDescent="0.2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</row>
    <row r="1715" spans="2:19" x14ac:dyDescent="0.2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</row>
    <row r="1716" spans="2:19" x14ac:dyDescent="0.2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</row>
    <row r="1717" spans="2:19" x14ac:dyDescent="0.2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</row>
    <row r="1718" spans="2:19" x14ac:dyDescent="0.2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</row>
    <row r="1719" spans="2:19" x14ac:dyDescent="0.2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</row>
    <row r="1720" spans="2:19" x14ac:dyDescent="0.2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</row>
    <row r="1721" spans="2:19" x14ac:dyDescent="0.2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</row>
    <row r="1722" spans="2:19" x14ac:dyDescent="0.2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</row>
    <row r="1723" spans="2:19" x14ac:dyDescent="0.2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</row>
    <row r="1724" spans="2:19" x14ac:dyDescent="0.2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</row>
    <row r="1725" spans="2:19" x14ac:dyDescent="0.2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</row>
    <row r="1726" spans="2:19" x14ac:dyDescent="0.2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</row>
    <row r="1727" spans="2:19" x14ac:dyDescent="0.2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</row>
    <row r="1728" spans="2:19" x14ac:dyDescent="0.2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</row>
    <row r="1729" spans="2:19" x14ac:dyDescent="0.2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</row>
    <row r="1730" spans="2:19" x14ac:dyDescent="0.2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</row>
    <row r="1731" spans="2:19" x14ac:dyDescent="0.2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</row>
    <row r="1732" spans="2:19" x14ac:dyDescent="0.2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</row>
    <row r="1733" spans="2:19" x14ac:dyDescent="0.2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</row>
    <row r="1734" spans="2:19" x14ac:dyDescent="0.2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</row>
    <row r="1735" spans="2:19" x14ac:dyDescent="0.2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</row>
    <row r="1736" spans="2:19" x14ac:dyDescent="0.2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</row>
    <row r="1737" spans="2:19" x14ac:dyDescent="0.2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</row>
    <row r="1738" spans="2:19" x14ac:dyDescent="0.2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</row>
    <row r="1739" spans="2:19" x14ac:dyDescent="0.2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</row>
    <row r="1740" spans="2:19" x14ac:dyDescent="0.2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</row>
    <row r="1741" spans="2:19" x14ac:dyDescent="0.2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</row>
    <row r="1742" spans="2:19" x14ac:dyDescent="0.2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</row>
    <row r="1743" spans="2:19" x14ac:dyDescent="0.2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</row>
    <row r="1744" spans="2:19" x14ac:dyDescent="0.2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</row>
    <row r="1745" spans="2:19" x14ac:dyDescent="0.2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</row>
    <row r="1746" spans="2:19" x14ac:dyDescent="0.2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</row>
    <row r="1747" spans="2:19" x14ac:dyDescent="0.2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</row>
    <row r="1748" spans="2:19" x14ac:dyDescent="0.2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</row>
    <row r="1749" spans="2:19" x14ac:dyDescent="0.2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</row>
    <row r="1750" spans="2:19" x14ac:dyDescent="0.2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</row>
    <row r="1751" spans="2:19" x14ac:dyDescent="0.2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</row>
    <row r="1752" spans="2:19" x14ac:dyDescent="0.2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</row>
    <row r="1753" spans="2:19" x14ac:dyDescent="0.2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</row>
    <row r="1754" spans="2:19" x14ac:dyDescent="0.2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</row>
    <row r="1755" spans="2:19" x14ac:dyDescent="0.2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</row>
    <row r="1756" spans="2:19" x14ac:dyDescent="0.2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</row>
    <row r="1757" spans="2:19" x14ac:dyDescent="0.2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</row>
    <row r="1758" spans="2:19" x14ac:dyDescent="0.2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</row>
    <row r="1759" spans="2:19" x14ac:dyDescent="0.2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</row>
    <row r="1760" spans="2:19" x14ac:dyDescent="0.2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</row>
    <row r="1761" spans="2:19" x14ac:dyDescent="0.2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</row>
    <row r="1762" spans="2:19" x14ac:dyDescent="0.2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</row>
    <row r="1763" spans="2:19" x14ac:dyDescent="0.2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</row>
    <row r="1764" spans="2:19" x14ac:dyDescent="0.2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</row>
    <row r="1765" spans="2:19" x14ac:dyDescent="0.2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</row>
    <row r="1766" spans="2:19" x14ac:dyDescent="0.2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</row>
    <row r="1767" spans="2:19" x14ac:dyDescent="0.2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</row>
    <row r="1768" spans="2:19" x14ac:dyDescent="0.2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</row>
    <row r="1769" spans="2:19" x14ac:dyDescent="0.2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</row>
    <row r="1770" spans="2:19" x14ac:dyDescent="0.2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</row>
    <row r="1771" spans="2:19" x14ac:dyDescent="0.2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</row>
    <row r="1772" spans="2:19" x14ac:dyDescent="0.2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</row>
    <row r="1773" spans="2:19" x14ac:dyDescent="0.2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</row>
    <row r="1774" spans="2:19" x14ac:dyDescent="0.2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</row>
    <row r="1775" spans="2:19" x14ac:dyDescent="0.2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</row>
    <row r="1776" spans="2:19" x14ac:dyDescent="0.2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</row>
    <row r="1777" spans="2:19" x14ac:dyDescent="0.2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</row>
    <row r="1778" spans="2:19" x14ac:dyDescent="0.2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</row>
    <row r="1779" spans="2:19" x14ac:dyDescent="0.2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</row>
    <row r="1780" spans="2:19" x14ac:dyDescent="0.2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</row>
    <row r="1781" spans="2:19" x14ac:dyDescent="0.2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</row>
    <row r="1782" spans="2:19" x14ac:dyDescent="0.2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</row>
    <row r="1783" spans="2:19" x14ac:dyDescent="0.2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</row>
    <row r="1784" spans="2:19" x14ac:dyDescent="0.2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</row>
    <row r="1785" spans="2:19" x14ac:dyDescent="0.2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</row>
    <row r="1786" spans="2:19" x14ac:dyDescent="0.2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</row>
    <row r="1787" spans="2:19" x14ac:dyDescent="0.2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</row>
    <row r="1788" spans="2:19" x14ac:dyDescent="0.2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</row>
    <row r="1789" spans="2:19" x14ac:dyDescent="0.2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</row>
    <row r="1790" spans="2:19" x14ac:dyDescent="0.2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</row>
    <row r="1791" spans="2:19" x14ac:dyDescent="0.2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</row>
    <row r="1792" spans="2:19" x14ac:dyDescent="0.2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</row>
    <row r="1793" spans="2:19" x14ac:dyDescent="0.2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</row>
    <row r="1794" spans="2:19" x14ac:dyDescent="0.2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</row>
    <row r="1795" spans="2:19" x14ac:dyDescent="0.2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</row>
    <row r="1796" spans="2:19" x14ac:dyDescent="0.2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</row>
    <row r="1797" spans="2:19" x14ac:dyDescent="0.2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</row>
    <row r="1798" spans="2:19" x14ac:dyDescent="0.2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</row>
    <row r="1799" spans="2:19" x14ac:dyDescent="0.2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</row>
    <row r="1800" spans="2:19" x14ac:dyDescent="0.2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</row>
    <row r="1801" spans="2:19" x14ac:dyDescent="0.2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</row>
    <row r="1802" spans="2:19" x14ac:dyDescent="0.2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</row>
    <row r="1803" spans="2:19" x14ac:dyDescent="0.2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</row>
    <row r="1804" spans="2:19" x14ac:dyDescent="0.2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</row>
    <row r="1805" spans="2:19" x14ac:dyDescent="0.2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</row>
    <row r="1806" spans="2:19" x14ac:dyDescent="0.2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</row>
    <row r="1807" spans="2:19" x14ac:dyDescent="0.2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</row>
    <row r="1808" spans="2:19" x14ac:dyDescent="0.2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</row>
    <row r="1809" spans="2:19" x14ac:dyDescent="0.2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</row>
    <row r="1810" spans="2:19" x14ac:dyDescent="0.2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</row>
    <row r="1811" spans="2:19" x14ac:dyDescent="0.2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</row>
    <row r="1812" spans="2:19" x14ac:dyDescent="0.2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</row>
    <row r="1813" spans="2:19" x14ac:dyDescent="0.2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</row>
    <row r="1814" spans="2:19" x14ac:dyDescent="0.2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</row>
    <row r="1815" spans="2:19" x14ac:dyDescent="0.2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</row>
    <row r="1816" spans="2:19" x14ac:dyDescent="0.2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</row>
    <row r="1817" spans="2:19" x14ac:dyDescent="0.2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</row>
    <row r="1818" spans="2:19" x14ac:dyDescent="0.2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</row>
    <row r="1819" spans="2:19" x14ac:dyDescent="0.2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</row>
    <row r="1820" spans="2:19" x14ac:dyDescent="0.2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</row>
    <row r="1821" spans="2:19" x14ac:dyDescent="0.2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</row>
    <row r="1822" spans="2:19" x14ac:dyDescent="0.2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</row>
    <row r="1823" spans="2:19" x14ac:dyDescent="0.2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</row>
    <row r="1824" spans="2:19" x14ac:dyDescent="0.2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</row>
    <row r="1825" spans="2:19" x14ac:dyDescent="0.2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</row>
    <row r="1826" spans="2:19" x14ac:dyDescent="0.2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</row>
    <row r="1827" spans="2:19" x14ac:dyDescent="0.2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</row>
    <row r="1828" spans="2:19" x14ac:dyDescent="0.2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</row>
    <row r="1829" spans="2:19" x14ac:dyDescent="0.2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</row>
    <row r="1830" spans="2:19" x14ac:dyDescent="0.2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</row>
    <row r="1831" spans="2:19" x14ac:dyDescent="0.2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</row>
    <row r="1832" spans="2:19" x14ac:dyDescent="0.2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</row>
    <row r="1833" spans="2:19" x14ac:dyDescent="0.2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</row>
    <row r="1834" spans="2:19" x14ac:dyDescent="0.2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</row>
    <row r="1835" spans="2:19" x14ac:dyDescent="0.2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</row>
    <row r="1836" spans="2:19" x14ac:dyDescent="0.2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</row>
    <row r="1837" spans="2:19" x14ac:dyDescent="0.2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</row>
    <row r="1838" spans="2:19" x14ac:dyDescent="0.2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</row>
    <row r="1839" spans="2:19" x14ac:dyDescent="0.2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</row>
    <row r="1840" spans="2:19" x14ac:dyDescent="0.2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</row>
    <row r="1841" spans="2:19" x14ac:dyDescent="0.2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</row>
    <row r="1842" spans="2:19" x14ac:dyDescent="0.2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</row>
    <row r="1843" spans="2:19" x14ac:dyDescent="0.2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</row>
    <row r="1844" spans="2:19" x14ac:dyDescent="0.2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</row>
    <row r="1845" spans="2:19" x14ac:dyDescent="0.2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</row>
    <row r="1846" spans="2:19" x14ac:dyDescent="0.2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</row>
    <row r="1847" spans="2:19" x14ac:dyDescent="0.2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</row>
    <row r="1848" spans="2:19" x14ac:dyDescent="0.2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</row>
    <row r="1849" spans="2:19" x14ac:dyDescent="0.2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</row>
    <row r="1850" spans="2:19" x14ac:dyDescent="0.2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</row>
    <row r="1851" spans="2:19" x14ac:dyDescent="0.2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</row>
    <row r="1852" spans="2:19" x14ac:dyDescent="0.2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</row>
    <row r="1853" spans="2:19" x14ac:dyDescent="0.2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</row>
    <row r="1854" spans="2:19" x14ac:dyDescent="0.2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</row>
    <row r="1855" spans="2:19" x14ac:dyDescent="0.2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</row>
    <row r="1856" spans="2:19" x14ac:dyDescent="0.2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</row>
    <row r="1857" spans="2:19" x14ac:dyDescent="0.2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</row>
    <row r="1858" spans="2:19" x14ac:dyDescent="0.2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</row>
    <row r="1859" spans="2:19" x14ac:dyDescent="0.2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</row>
    <row r="1860" spans="2:19" x14ac:dyDescent="0.2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</row>
    <row r="1861" spans="2:19" x14ac:dyDescent="0.2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</row>
    <row r="1862" spans="2:19" x14ac:dyDescent="0.2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</row>
    <row r="1863" spans="2:19" x14ac:dyDescent="0.2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</row>
    <row r="1864" spans="2:19" x14ac:dyDescent="0.2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</row>
    <row r="1865" spans="2:19" x14ac:dyDescent="0.2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</row>
    <row r="1866" spans="2:19" x14ac:dyDescent="0.2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</row>
    <row r="1867" spans="2:19" x14ac:dyDescent="0.2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</row>
    <row r="1868" spans="2:19" x14ac:dyDescent="0.2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</row>
    <row r="1869" spans="2:19" x14ac:dyDescent="0.2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</row>
    <row r="1870" spans="2:19" x14ac:dyDescent="0.2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</row>
    <row r="1871" spans="2:19" x14ac:dyDescent="0.2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</row>
    <row r="1872" spans="2:19" x14ac:dyDescent="0.2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</row>
    <row r="1873" spans="2:19" x14ac:dyDescent="0.2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</row>
    <row r="1874" spans="2:19" x14ac:dyDescent="0.2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</row>
    <row r="1875" spans="2:19" x14ac:dyDescent="0.2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</row>
    <row r="1876" spans="2:19" x14ac:dyDescent="0.2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</row>
    <row r="1877" spans="2:19" x14ac:dyDescent="0.2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</row>
    <row r="1878" spans="2:19" x14ac:dyDescent="0.2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</row>
    <row r="1879" spans="2:19" x14ac:dyDescent="0.2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</row>
    <row r="1880" spans="2:19" x14ac:dyDescent="0.2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</row>
    <row r="1881" spans="2:19" x14ac:dyDescent="0.2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</row>
    <row r="1882" spans="2:19" x14ac:dyDescent="0.2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</row>
    <row r="1883" spans="2:19" x14ac:dyDescent="0.2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</row>
    <row r="1884" spans="2:19" x14ac:dyDescent="0.2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</row>
    <row r="1885" spans="2:19" x14ac:dyDescent="0.2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</row>
    <row r="1886" spans="2:19" x14ac:dyDescent="0.2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</row>
    <row r="1887" spans="2:19" x14ac:dyDescent="0.2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</row>
    <row r="1888" spans="2:19" x14ac:dyDescent="0.2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</row>
    <row r="1889" spans="2:19" x14ac:dyDescent="0.2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</row>
    <row r="1890" spans="2:19" x14ac:dyDescent="0.2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</row>
    <row r="1891" spans="2:19" x14ac:dyDescent="0.2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</row>
    <row r="1892" spans="2:19" x14ac:dyDescent="0.2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</row>
    <row r="1893" spans="2:19" x14ac:dyDescent="0.2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</row>
    <row r="1894" spans="2:19" x14ac:dyDescent="0.2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</row>
    <row r="1895" spans="2:19" x14ac:dyDescent="0.2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</row>
    <row r="1896" spans="2:19" x14ac:dyDescent="0.2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</row>
    <row r="1897" spans="2:19" x14ac:dyDescent="0.2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</row>
    <row r="1898" spans="2:19" x14ac:dyDescent="0.2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</row>
    <row r="1899" spans="2:19" x14ac:dyDescent="0.2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</row>
    <row r="1900" spans="2:19" x14ac:dyDescent="0.2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</row>
    <row r="1901" spans="2:19" x14ac:dyDescent="0.2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</row>
    <row r="1902" spans="2:19" x14ac:dyDescent="0.2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</row>
    <row r="1903" spans="2:19" x14ac:dyDescent="0.2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</row>
    <row r="1904" spans="2:19" x14ac:dyDescent="0.2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</row>
    <row r="1905" spans="2:19" x14ac:dyDescent="0.2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</row>
    <row r="1906" spans="2:19" x14ac:dyDescent="0.2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</row>
    <row r="1907" spans="2:19" x14ac:dyDescent="0.2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</row>
    <row r="1908" spans="2:19" x14ac:dyDescent="0.2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</row>
    <row r="1909" spans="2:19" x14ac:dyDescent="0.2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</row>
    <row r="1910" spans="2:19" x14ac:dyDescent="0.2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</row>
    <row r="1911" spans="2:19" x14ac:dyDescent="0.2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</row>
    <row r="1912" spans="2:19" x14ac:dyDescent="0.2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</row>
    <row r="1913" spans="2:19" x14ac:dyDescent="0.2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</row>
    <row r="1914" spans="2:19" x14ac:dyDescent="0.2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</row>
    <row r="1915" spans="2:19" x14ac:dyDescent="0.2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</row>
    <row r="1916" spans="2:19" x14ac:dyDescent="0.2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</row>
    <row r="1917" spans="2:19" x14ac:dyDescent="0.2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</row>
    <row r="1918" spans="2:19" x14ac:dyDescent="0.2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</row>
    <row r="1919" spans="2:19" x14ac:dyDescent="0.2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</row>
    <row r="1920" spans="2:19" x14ac:dyDescent="0.2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</row>
    <row r="1921" spans="2:19" x14ac:dyDescent="0.2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</row>
    <row r="1922" spans="2:19" x14ac:dyDescent="0.2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</row>
    <row r="1923" spans="2:19" x14ac:dyDescent="0.2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</row>
    <row r="1924" spans="2:19" x14ac:dyDescent="0.2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</row>
    <row r="1925" spans="2:19" x14ac:dyDescent="0.2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</row>
    <row r="1926" spans="2:19" x14ac:dyDescent="0.2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</row>
    <row r="1927" spans="2:19" x14ac:dyDescent="0.2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</row>
    <row r="1928" spans="2:19" x14ac:dyDescent="0.2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</row>
    <row r="1929" spans="2:19" x14ac:dyDescent="0.2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</row>
    <row r="1930" spans="2:19" x14ac:dyDescent="0.2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</row>
    <row r="1931" spans="2:19" x14ac:dyDescent="0.2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</row>
    <row r="1932" spans="2:19" x14ac:dyDescent="0.2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</row>
    <row r="1933" spans="2:19" x14ac:dyDescent="0.2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</row>
    <row r="1934" spans="2:19" x14ac:dyDescent="0.2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</row>
    <row r="1935" spans="2:19" x14ac:dyDescent="0.2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</row>
    <row r="1936" spans="2:19" x14ac:dyDescent="0.2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</row>
    <row r="1937" spans="2:19" x14ac:dyDescent="0.2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</row>
    <row r="1938" spans="2:19" x14ac:dyDescent="0.2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</row>
    <row r="1939" spans="2:19" x14ac:dyDescent="0.2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</row>
    <row r="1940" spans="2:19" x14ac:dyDescent="0.2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</row>
    <row r="1941" spans="2:19" x14ac:dyDescent="0.2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</row>
    <row r="1942" spans="2:19" x14ac:dyDescent="0.2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</row>
    <row r="1943" spans="2:19" x14ac:dyDescent="0.2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</row>
    <row r="1944" spans="2:19" x14ac:dyDescent="0.2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</row>
    <row r="1945" spans="2:19" x14ac:dyDescent="0.2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</row>
    <row r="1946" spans="2:19" x14ac:dyDescent="0.2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</row>
    <row r="1947" spans="2:19" x14ac:dyDescent="0.2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</row>
    <row r="1948" spans="2:19" x14ac:dyDescent="0.2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</row>
    <row r="1949" spans="2:19" x14ac:dyDescent="0.2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</row>
    <row r="1950" spans="2:19" x14ac:dyDescent="0.2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</row>
    <row r="1951" spans="2:19" x14ac:dyDescent="0.2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</row>
    <row r="1952" spans="2:19" x14ac:dyDescent="0.2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</row>
    <row r="1953" spans="2:19" x14ac:dyDescent="0.2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</row>
    <row r="1954" spans="2:19" x14ac:dyDescent="0.2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</row>
    <row r="1955" spans="2:19" x14ac:dyDescent="0.2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</row>
    <row r="1956" spans="2:19" x14ac:dyDescent="0.2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</row>
    <row r="1957" spans="2:19" x14ac:dyDescent="0.2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</row>
    <row r="1958" spans="2:19" x14ac:dyDescent="0.2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</row>
    <row r="1959" spans="2:19" x14ac:dyDescent="0.2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</row>
    <row r="1960" spans="2:19" x14ac:dyDescent="0.2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</row>
    <row r="1961" spans="2:19" x14ac:dyDescent="0.2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</row>
    <row r="1962" spans="2:19" x14ac:dyDescent="0.2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</row>
    <row r="1963" spans="2:19" x14ac:dyDescent="0.2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</row>
    <row r="1964" spans="2:19" x14ac:dyDescent="0.2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</row>
    <row r="1965" spans="2:19" x14ac:dyDescent="0.2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</row>
    <row r="1966" spans="2:19" x14ac:dyDescent="0.2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</row>
    <row r="1967" spans="2:19" x14ac:dyDescent="0.2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</row>
    <row r="1968" spans="2:19" x14ac:dyDescent="0.2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</row>
    <row r="1969" spans="2:19" x14ac:dyDescent="0.2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</row>
    <row r="1970" spans="2:19" x14ac:dyDescent="0.2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</row>
    <row r="1971" spans="2:19" x14ac:dyDescent="0.2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</row>
    <row r="1972" spans="2:19" x14ac:dyDescent="0.2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</row>
    <row r="1973" spans="2:19" x14ac:dyDescent="0.2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</row>
    <row r="1974" spans="2:19" x14ac:dyDescent="0.2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</row>
    <row r="1975" spans="2:19" x14ac:dyDescent="0.2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</row>
    <row r="1976" spans="2:19" x14ac:dyDescent="0.2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</row>
    <row r="1977" spans="2:19" x14ac:dyDescent="0.2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</row>
    <row r="1978" spans="2:19" x14ac:dyDescent="0.2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</row>
    <row r="1979" spans="2:19" x14ac:dyDescent="0.2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</row>
    <row r="1980" spans="2:19" x14ac:dyDescent="0.2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</row>
    <row r="1981" spans="2:19" x14ac:dyDescent="0.2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</row>
    <row r="1982" spans="2:19" x14ac:dyDescent="0.2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</row>
    <row r="1983" spans="2:19" x14ac:dyDescent="0.2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</row>
    <row r="1984" spans="2:19" x14ac:dyDescent="0.2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</row>
    <row r="1985" spans="2:19" x14ac:dyDescent="0.2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</row>
    <row r="1986" spans="2:19" x14ac:dyDescent="0.2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</row>
    <row r="1987" spans="2:19" x14ac:dyDescent="0.2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</row>
    <row r="1988" spans="2:19" x14ac:dyDescent="0.2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</row>
    <row r="1989" spans="2:19" x14ac:dyDescent="0.2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</row>
    <row r="1990" spans="2:19" x14ac:dyDescent="0.2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</row>
    <row r="1991" spans="2:19" x14ac:dyDescent="0.2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</row>
    <row r="1992" spans="2:19" x14ac:dyDescent="0.2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</row>
    <row r="1993" spans="2:19" x14ac:dyDescent="0.2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</row>
    <row r="1994" spans="2:19" x14ac:dyDescent="0.2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</row>
    <row r="1995" spans="2:19" x14ac:dyDescent="0.2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</row>
    <row r="1996" spans="2:19" x14ac:dyDescent="0.2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</row>
    <row r="1997" spans="2:19" x14ac:dyDescent="0.2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</row>
    <row r="1998" spans="2:19" x14ac:dyDescent="0.2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</row>
    <row r="1999" spans="2:19" x14ac:dyDescent="0.2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</row>
    <row r="2000" spans="2:19" x14ac:dyDescent="0.2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</row>
    <row r="2001" spans="2:19" x14ac:dyDescent="0.2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</row>
    <row r="2002" spans="2:19" x14ac:dyDescent="0.2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</row>
    <row r="2003" spans="2:19" x14ac:dyDescent="0.2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</row>
    <row r="2004" spans="2:19" x14ac:dyDescent="0.2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</row>
    <row r="2005" spans="2:19" x14ac:dyDescent="0.2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</row>
    <row r="2006" spans="2:19" x14ac:dyDescent="0.2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</row>
    <row r="2007" spans="2:19" x14ac:dyDescent="0.2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</row>
    <row r="2008" spans="2:19" x14ac:dyDescent="0.2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</row>
    <row r="2009" spans="2:19" x14ac:dyDescent="0.2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</row>
    <row r="2010" spans="2:19" x14ac:dyDescent="0.2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</row>
    <row r="2011" spans="2:19" x14ac:dyDescent="0.2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</row>
    <row r="2012" spans="2:19" x14ac:dyDescent="0.2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</row>
    <row r="2013" spans="2:19" x14ac:dyDescent="0.2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</row>
    <row r="2014" spans="2:19" x14ac:dyDescent="0.2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</row>
    <row r="2015" spans="2:19" x14ac:dyDescent="0.2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</row>
    <row r="2016" spans="2:19" x14ac:dyDescent="0.2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</row>
    <row r="2017" spans="2:19" x14ac:dyDescent="0.2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</row>
    <row r="2018" spans="2:19" x14ac:dyDescent="0.2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</row>
    <row r="2019" spans="2:19" x14ac:dyDescent="0.2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</row>
    <row r="2020" spans="2:19" x14ac:dyDescent="0.2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</row>
    <row r="2021" spans="2:19" x14ac:dyDescent="0.2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</row>
    <row r="2022" spans="2:19" x14ac:dyDescent="0.2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</row>
    <row r="2023" spans="2:19" x14ac:dyDescent="0.2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</row>
    <row r="2024" spans="2:19" x14ac:dyDescent="0.2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</row>
    <row r="2025" spans="2:19" x14ac:dyDescent="0.2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</row>
    <row r="2026" spans="2:19" x14ac:dyDescent="0.2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</row>
    <row r="2027" spans="2:19" x14ac:dyDescent="0.2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</row>
    <row r="2028" spans="2:19" x14ac:dyDescent="0.2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</row>
    <row r="2029" spans="2:19" x14ac:dyDescent="0.2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</row>
    <row r="2030" spans="2:19" x14ac:dyDescent="0.2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</row>
    <row r="2031" spans="2:19" x14ac:dyDescent="0.2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</row>
    <row r="2032" spans="2:19" x14ac:dyDescent="0.2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</row>
    <row r="2033" spans="2:19" x14ac:dyDescent="0.2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</row>
    <row r="2034" spans="2:19" x14ac:dyDescent="0.2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</row>
    <row r="2035" spans="2:19" x14ac:dyDescent="0.2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</row>
    <row r="2036" spans="2:19" x14ac:dyDescent="0.2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</row>
    <row r="2037" spans="2:19" x14ac:dyDescent="0.2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</row>
    <row r="2038" spans="2:19" x14ac:dyDescent="0.2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</row>
    <row r="2039" spans="2:19" x14ac:dyDescent="0.2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</row>
    <row r="2040" spans="2:19" x14ac:dyDescent="0.2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</row>
    <row r="2041" spans="2:19" x14ac:dyDescent="0.2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</row>
    <row r="2042" spans="2:19" x14ac:dyDescent="0.2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</row>
    <row r="2043" spans="2:19" x14ac:dyDescent="0.2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</row>
    <row r="2044" spans="2:19" x14ac:dyDescent="0.2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</row>
    <row r="2045" spans="2:19" x14ac:dyDescent="0.2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</row>
    <row r="2046" spans="2:19" x14ac:dyDescent="0.2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</row>
    <row r="2047" spans="2:19" x14ac:dyDescent="0.2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</row>
    <row r="2048" spans="2:19" x14ac:dyDescent="0.2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</row>
    <row r="2049" spans="2:19" x14ac:dyDescent="0.2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</row>
    <row r="2050" spans="2:19" x14ac:dyDescent="0.2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</row>
    <row r="2051" spans="2:19" x14ac:dyDescent="0.2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</row>
    <row r="2052" spans="2:19" x14ac:dyDescent="0.2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</row>
    <row r="2053" spans="2:19" x14ac:dyDescent="0.2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</row>
    <row r="2054" spans="2:19" x14ac:dyDescent="0.2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</row>
    <row r="2055" spans="2:19" x14ac:dyDescent="0.2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</row>
    <row r="2056" spans="2:19" x14ac:dyDescent="0.2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</row>
    <row r="2057" spans="2:19" x14ac:dyDescent="0.2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</row>
    <row r="2058" spans="2:19" x14ac:dyDescent="0.2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</row>
    <row r="2059" spans="2:19" x14ac:dyDescent="0.2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</row>
    <row r="2060" spans="2:19" x14ac:dyDescent="0.2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</row>
    <row r="2061" spans="2:19" x14ac:dyDescent="0.2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</row>
    <row r="2062" spans="2:19" x14ac:dyDescent="0.2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</row>
    <row r="2063" spans="2:19" x14ac:dyDescent="0.2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</row>
    <row r="2064" spans="2:19" x14ac:dyDescent="0.2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</row>
    <row r="2065" spans="2:19" x14ac:dyDescent="0.2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</row>
    <row r="2066" spans="2:19" x14ac:dyDescent="0.2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</row>
    <row r="2067" spans="2:19" x14ac:dyDescent="0.2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</row>
    <row r="2068" spans="2:19" x14ac:dyDescent="0.2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</row>
    <row r="2069" spans="2:19" x14ac:dyDescent="0.2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</row>
    <row r="2070" spans="2:19" x14ac:dyDescent="0.2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</row>
    <row r="2071" spans="2:19" x14ac:dyDescent="0.2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</row>
    <row r="2072" spans="2:19" x14ac:dyDescent="0.2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</row>
    <row r="2073" spans="2:19" x14ac:dyDescent="0.2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</row>
    <row r="2074" spans="2:19" x14ac:dyDescent="0.2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</row>
    <row r="2075" spans="2:19" x14ac:dyDescent="0.2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</row>
    <row r="2076" spans="2:19" x14ac:dyDescent="0.2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</row>
    <row r="2077" spans="2:19" x14ac:dyDescent="0.2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</row>
    <row r="2078" spans="2:19" x14ac:dyDescent="0.2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</row>
    <row r="2079" spans="2:19" x14ac:dyDescent="0.2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</row>
    <row r="2080" spans="2:19" x14ac:dyDescent="0.2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</row>
    <row r="2081" spans="2:19" x14ac:dyDescent="0.2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</row>
    <row r="2082" spans="2:19" x14ac:dyDescent="0.2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</row>
    <row r="2083" spans="2:19" x14ac:dyDescent="0.2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</row>
    <row r="2084" spans="2:19" x14ac:dyDescent="0.2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</row>
    <row r="2085" spans="2:19" x14ac:dyDescent="0.2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</row>
    <row r="2086" spans="2:19" x14ac:dyDescent="0.2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</row>
    <row r="2087" spans="2:19" x14ac:dyDescent="0.2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</row>
    <row r="2088" spans="2:19" x14ac:dyDescent="0.2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</row>
    <row r="2089" spans="2:19" x14ac:dyDescent="0.2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</row>
    <row r="2090" spans="2:19" x14ac:dyDescent="0.2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</row>
    <row r="2091" spans="2:19" x14ac:dyDescent="0.2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</row>
    <row r="2092" spans="2:19" x14ac:dyDescent="0.2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</row>
    <row r="2093" spans="2:19" x14ac:dyDescent="0.2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</row>
    <row r="2094" spans="2:19" x14ac:dyDescent="0.2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</row>
    <row r="2095" spans="2:19" x14ac:dyDescent="0.2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</row>
    <row r="2096" spans="2:19" x14ac:dyDescent="0.2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</row>
    <row r="2097" spans="2:19" x14ac:dyDescent="0.2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</row>
    <row r="2098" spans="2:19" x14ac:dyDescent="0.2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</row>
    <row r="2099" spans="2:19" x14ac:dyDescent="0.2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</row>
    <row r="2100" spans="2:19" x14ac:dyDescent="0.2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</row>
    <row r="2101" spans="2:19" x14ac:dyDescent="0.2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</row>
    <row r="2102" spans="2:19" x14ac:dyDescent="0.2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</row>
    <row r="2103" spans="2:19" x14ac:dyDescent="0.2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</row>
    <row r="2104" spans="2:19" x14ac:dyDescent="0.2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</row>
    <row r="2105" spans="2:19" x14ac:dyDescent="0.2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</row>
    <row r="2106" spans="2:19" x14ac:dyDescent="0.2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</row>
    <row r="2107" spans="2:19" x14ac:dyDescent="0.2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</row>
    <row r="2108" spans="2:19" x14ac:dyDescent="0.2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</row>
    <row r="2109" spans="2:19" x14ac:dyDescent="0.2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</row>
    <row r="2110" spans="2:19" x14ac:dyDescent="0.2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</row>
    <row r="2111" spans="2:19" x14ac:dyDescent="0.2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</row>
    <row r="2112" spans="2:19" x14ac:dyDescent="0.2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</row>
    <row r="2113" spans="2:19" x14ac:dyDescent="0.2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</row>
    <row r="2114" spans="2:19" x14ac:dyDescent="0.2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</row>
    <row r="2115" spans="2:19" x14ac:dyDescent="0.2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</row>
    <row r="2116" spans="2:19" x14ac:dyDescent="0.2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</row>
    <row r="2117" spans="2:19" x14ac:dyDescent="0.2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</row>
    <row r="2118" spans="2:19" x14ac:dyDescent="0.2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</row>
    <row r="2119" spans="2:19" x14ac:dyDescent="0.2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</row>
    <row r="2120" spans="2:19" x14ac:dyDescent="0.2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</row>
    <row r="2121" spans="2:19" x14ac:dyDescent="0.2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</row>
    <row r="2122" spans="2:19" x14ac:dyDescent="0.2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</row>
    <row r="2123" spans="2:19" x14ac:dyDescent="0.2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</row>
    <row r="2124" spans="2:19" x14ac:dyDescent="0.2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</row>
    <row r="2125" spans="2:19" x14ac:dyDescent="0.2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</row>
    <row r="2126" spans="2:19" x14ac:dyDescent="0.2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</row>
    <row r="2127" spans="2:19" x14ac:dyDescent="0.2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</row>
    <row r="2128" spans="2:19" x14ac:dyDescent="0.2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</row>
    <row r="2129" spans="2:19" x14ac:dyDescent="0.2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</row>
    <row r="2130" spans="2:19" x14ac:dyDescent="0.2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</row>
    <row r="2131" spans="2:19" x14ac:dyDescent="0.2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</row>
    <row r="2132" spans="2:19" x14ac:dyDescent="0.2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</row>
    <row r="2133" spans="2:19" x14ac:dyDescent="0.2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</row>
    <row r="2134" spans="2:19" x14ac:dyDescent="0.2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</row>
    <row r="2135" spans="2:19" x14ac:dyDescent="0.2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</row>
    <row r="2136" spans="2:19" x14ac:dyDescent="0.2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</row>
    <row r="2137" spans="2:19" x14ac:dyDescent="0.2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</row>
    <row r="2138" spans="2:19" x14ac:dyDescent="0.2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</row>
    <row r="2139" spans="2:19" x14ac:dyDescent="0.2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</row>
    <row r="2140" spans="2:19" x14ac:dyDescent="0.2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</row>
    <row r="2141" spans="2:19" x14ac:dyDescent="0.2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</row>
    <row r="2142" spans="2:19" x14ac:dyDescent="0.2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</row>
    <row r="2143" spans="2:19" x14ac:dyDescent="0.2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</row>
    <row r="2144" spans="2:19" x14ac:dyDescent="0.2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</row>
    <row r="2145" spans="2:19" x14ac:dyDescent="0.2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</row>
    <row r="2146" spans="2:19" x14ac:dyDescent="0.2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</row>
    <row r="2147" spans="2:19" x14ac:dyDescent="0.2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</row>
    <row r="2148" spans="2:19" x14ac:dyDescent="0.2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</row>
    <row r="2149" spans="2:19" x14ac:dyDescent="0.2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</row>
    <row r="2150" spans="2:19" x14ac:dyDescent="0.2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</row>
    <row r="2151" spans="2:19" x14ac:dyDescent="0.2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</row>
    <row r="2152" spans="2:19" x14ac:dyDescent="0.2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</row>
    <row r="2153" spans="2:19" x14ac:dyDescent="0.2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</row>
    <row r="2154" spans="2:19" x14ac:dyDescent="0.2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</row>
    <row r="2155" spans="2:19" x14ac:dyDescent="0.2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</row>
    <row r="2156" spans="2:19" x14ac:dyDescent="0.2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</row>
    <row r="2157" spans="2:19" x14ac:dyDescent="0.2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</row>
    <row r="2158" spans="2:19" x14ac:dyDescent="0.2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</row>
    <row r="2159" spans="2:19" x14ac:dyDescent="0.2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</row>
    <row r="2160" spans="2:19" x14ac:dyDescent="0.2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</row>
    <row r="2161" spans="2:19" x14ac:dyDescent="0.2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</row>
    <row r="2162" spans="2:19" x14ac:dyDescent="0.2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</row>
    <row r="2163" spans="2:19" x14ac:dyDescent="0.2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</row>
    <row r="2164" spans="2:19" x14ac:dyDescent="0.2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</row>
    <row r="2165" spans="2:19" x14ac:dyDescent="0.2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</row>
    <row r="2166" spans="2:19" x14ac:dyDescent="0.2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</row>
    <row r="2167" spans="2:19" x14ac:dyDescent="0.2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</row>
    <row r="2168" spans="2:19" x14ac:dyDescent="0.2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</row>
    <row r="2169" spans="2:19" x14ac:dyDescent="0.2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</row>
    <row r="2170" spans="2:19" x14ac:dyDescent="0.2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</row>
    <row r="2171" spans="2:19" x14ac:dyDescent="0.2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</row>
    <row r="2172" spans="2:19" x14ac:dyDescent="0.2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</row>
    <row r="2173" spans="2:19" x14ac:dyDescent="0.2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</row>
    <row r="2174" spans="2:19" x14ac:dyDescent="0.2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</row>
    <row r="2175" spans="2:19" x14ac:dyDescent="0.2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</row>
    <row r="2176" spans="2:19" x14ac:dyDescent="0.2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</row>
    <row r="2177" spans="2:19" x14ac:dyDescent="0.2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</row>
    <row r="2178" spans="2:19" x14ac:dyDescent="0.2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</row>
    <row r="2179" spans="2:19" x14ac:dyDescent="0.2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</row>
    <row r="2180" spans="2:19" x14ac:dyDescent="0.2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</row>
    <row r="2181" spans="2:19" x14ac:dyDescent="0.2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</row>
    <row r="2182" spans="2:19" x14ac:dyDescent="0.2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</row>
    <row r="2183" spans="2:19" x14ac:dyDescent="0.2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</row>
    <row r="2184" spans="2:19" x14ac:dyDescent="0.2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</row>
    <row r="2185" spans="2:19" x14ac:dyDescent="0.2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</row>
    <row r="2186" spans="2:19" x14ac:dyDescent="0.2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</row>
    <row r="2187" spans="2:19" x14ac:dyDescent="0.2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</row>
    <row r="2188" spans="2:19" x14ac:dyDescent="0.2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</row>
    <row r="2189" spans="2:19" x14ac:dyDescent="0.2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</row>
    <row r="2190" spans="2:19" x14ac:dyDescent="0.2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</row>
    <row r="2191" spans="2:19" x14ac:dyDescent="0.2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</row>
    <row r="2192" spans="2:19" x14ac:dyDescent="0.2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</row>
    <row r="2193" spans="2:19" x14ac:dyDescent="0.2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</row>
    <row r="2194" spans="2:19" x14ac:dyDescent="0.2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</row>
    <row r="2195" spans="2:19" x14ac:dyDescent="0.2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</row>
    <row r="2196" spans="2:19" x14ac:dyDescent="0.2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</row>
    <row r="2197" spans="2:19" x14ac:dyDescent="0.2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</row>
    <row r="2198" spans="2:19" x14ac:dyDescent="0.2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</row>
    <row r="2199" spans="2:19" x14ac:dyDescent="0.2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</row>
    <row r="2200" spans="2:19" x14ac:dyDescent="0.2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</row>
    <row r="2201" spans="2:19" x14ac:dyDescent="0.2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</row>
    <row r="2202" spans="2:19" x14ac:dyDescent="0.2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</row>
    <row r="2203" spans="2:19" x14ac:dyDescent="0.2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</row>
    <row r="2204" spans="2:19" x14ac:dyDescent="0.2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</row>
    <row r="2205" spans="2:19" x14ac:dyDescent="0.2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</row>
    <row r="2206" spans="2:19" x14ac:dyDescent="0.2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</row>
    <row r="2207" spans="2:19" x14ac:dyDescent="0.2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</row>
    <row r="2208" spans="2:19" x14ac:dyDescent="0.2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</row>
    <row r="2209" spans="2:19" x14ac:dyDescent="0.2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</row>
    <row r="2210" spans="2:19" x14ac:dyDescent="0.2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</row>
    <row r="2211" spans="2:19" x14ac:dyDescent="0.2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</row>
    <row r="2212" spans="2:19" x14ac:dyDescent="0.2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</row>
    <row r="2213" spans="2:19" x14ac:dyDescent="0.2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</row>
    <row r="2214" spans="2:19" x14ac:dyDescent="0.2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</row>
    <row r="2215" spans="2:19" x14ac:dyDescent="0.2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</row>
    <row r="2216" spans="2:19" x14ac:dyDescent="0.2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</row>
    <row r="2217" spans="2:19" x14ac:dyDescent="0.2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</row>
    <row r="2218" spans="2:19" x14ac:dyDescent="0.2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</row>
    <row r="2219" spans="2:19" x14ac:dyDescent="0.2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</row>
    <row r="2220" spans="2:19" x14ac:dyDescent="0.2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</row>
    <row r="2221" spans="2:19" x14ac:dyDescent="0.2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</row>
    <row r="2222" spans="2:19" x14ac:dyDescent="0.2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</row>
    <row r="2223" spans="2:19" x14ac:dyDescent="0.2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</row>
    <row r="2224" spans="2:19" x14ac:dyDescent="0.2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</row>
    <row r="2225" spans="2:19" x14ac:dyDescent="0.2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</row>
    <row r="2226" spans="2:19" x14ac:dyDescent="0.2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</row>
    <row r="2227" spans="2:19" x14ac:dyDescent="0.2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</row>
    <row r="2228" spans="2:19" x14ac:dyDescent="0.2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</row>
    <row r="2229" spans="2:19" x14ac:dyDescent="0.2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</row>
    <row r="2230" spans="2:19" x14ac:dyDescent="0.2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</row>
    <row r="2231" spans="2:19" x14ac:dyDescent="0.2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</row>
    <row r="2232" spans="2:19" x14ac:dyDescent="0.2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</row>
    <row r="2233" spans="2:19" x14ac:dyDescent="0.2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</row>
    <row r="2234" spans="2:19" x14ac:dyDescent="0.2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</row>
    <row r="2235" spans="2:19" x14ac:dyDescent="0.2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</row>
    <row r="2236" spans="2:19" x14ac:dyDescent="0.2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</row>
    <row r="2237" spans="2:19" x14ac:dyDescent="0.2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</row>
    <row r="2238" spans="2:19" x14ac:dyDescent="0.2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</row>
    <row r="2239" spans="2:19" x14ac:dyDescent="0.2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</row>
    <row r="2240" spans="2:19" x14ac:dyDescent="0.2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</row>
    <row r="2241" spans="2:19" x14ac:dyDescent="0.2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</row>
    <row r="2242" spans="2:19" x14ac:dyDescent="0.2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</row>
    <row r="2243" spans="2:19" x14ac:dyDescent="0.2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</row>
    <row r="2244" spans="2:19" x14ac:dyDescent="0.2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</row>
    <row r="2245" spans="2:19" x14ac:dyDescent="0.2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</row>
    <row r="2246" spans="2:19" x14ac:dyDescent="0.2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</row>
    <row r="2247" spans="2:19" x14ac:dyDescent="0.2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</row>
    <row r="2248" spans="2:19" x14ac:dyDescent="0.2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</row>
    <row r="2249" spans="2:19" x14ac:dyDescent="0.2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</row>
    <row r="2250" spans="2:19" x14ac:dyDescent="0.2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</row>
    <row r="2251" spans="2:19" x14ac:dyDescent="0.2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</row>
    <row r="2252" spans="2:19" x14ac:dyDescent="0.2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</row>
    <row r="2253" spans="2:19" x14ac:dyDescent="0.2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</row>
    <row r="2254" spans="2:19" x14ac:dyDescent="0.2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</row>
    <row r="2255" spans="2:19" x14ac:dyDescent="0.2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</row>
    <row r="2256" spans="2:19" x14ac:dyDescent="0.2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</row>
    <row r="2257" spans="2:19" x14ac:dyDescent="0.2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</row>
    <row r="2258" spans="2:19" x14ac:dyDescent="0.2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</row>
    <row r="2259" spans="2:19" x14ac:dyDescent="0.2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</row>
    <row r="2260" spans="2:19" x14ac:dyDescent="0.2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</row>
    <row r="2261" spans="2:19" x14ac:dyDescent="0.2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</row>
    <row r="2262" spans="2:19" x14ac:dyDescent="0.2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</row>
    <row r="2263" spans="2:19" x14ac:dyDescent="0.2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</row>
    <row r="2264" spans="2:19" x14ac:dyDescent="0.2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</row>
    <row r="2265" spans="2:19" x14ac:dyDescent="0.2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</row>
    <row r="2266" spans="2:19" x14ac:dyDescent="0.2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</row>
    <row r="2267" spans="2:19" x14ac:dyDescent="0.2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</row>
    <row r="2268" spans="2:19" x14ac:dyDescent="0.2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</row>
    <row r="2269" spans="2:19" x14ac:dyDescent="0.2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</row>
    <row r="2270" spans="2:19" x14ac:dyDescent="0.2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</row>
    <row r="2271" spans="2:19" x14ac:dyDescent="0.2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</row>
    <row r="2272" spans="2:19" x14ac:dyDescent="0.2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</row>
    <row r="2273" spans="2:19" x14ac:dyDescent="0.2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</row>
    <row r="2274" spans="2:19" x14ac:dyDescent="0.2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</row>
    <row r="2275" spans="2:19" x14ac:dyDescent="0.2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</row>
    <row r="2276" spans="2:19" x14ac:dyDescent="0.2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</row>
    <row r="2277" spans="2:19" x14ac:dyDescent="0.2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</row>
    <row r="2278" spans="2:19" x14ac:dyDescent="0.2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</row>
    <row r="2279" spans="2:19" x14ac:dyDescent="0.2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</row>
    <row r="2280" spans="2:19" x14ac:dyDescent="0.2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</row>
    <row r="2281" spans="2:19" x14ac:dyDescent="0.2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</row>
    <row r="2282" spans="2:19" x14ac:dyDescent="0.2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</row>
    <row r="2283" spans="2:19" x14ac:dyDescent="0.2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</row>
    <row r="2284" spans="2:19" x14ac:dyDescent="0.2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</row>
    <row r="2285" spans="2:19" x14ac:dyDescent="0.2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</row>
    <row r="2286" spans="2:19" x14ac:dyDescent="0.2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</row>
    <row r="2287" spans="2:19" x14ac:dyDescent="0.2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</row>
    <row r="2288" spans="2:19" x14ac:dyDescent="0.2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</row>
    <row r="2289" spans="2:19" x14ac:dyDescent="0.2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</row>
    <row r="2290" spans="2:19" x14ac:dyDescent="0.2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</row>
    <row r="2291" spans="2:19" x14ac:dyDescent="0.2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</row>
    <row r="2292" spans="2:19" x14ac:dyDescent="0.2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</row>
    <row r="2293" spans="2:19" x14ac:dyDescent="0.2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</row>
    <row r="2294" spans="2:19" x14ac:dyDescent="0.2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</row>
    <row r="2295" spans="2:19" x14ac:dyDescent="0.2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</row>
    <row r="2296" spans="2:19" x14ac:dyDescent="0.2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</row>
    <row r="2297" spans="2:19" x14ac:dyDescent="0.2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</row>
    <row r="2298" spans="2:19" x14ac:dyDescent="0.2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</row>
    <row r="2299" spans="2:19" x14ac:dyDescent="0.2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</row>
    <row r="2300" spans="2:19" x14ac:dyDescent="0.2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</row>
    <row r="2301" spans="2:19" x14ac:dyDescent="0.2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</row>
    <row r="2302" spans="2:19" x14ac:dyDescent="0.2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</row>
    <row r="2303" spans="2:19" x14ac:dyDescent="0.2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</row>
    <row r="2304" spans="2:19" x14ac:dyDescent="0.2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</row>
    <row r="2305" spans="2:19" x14ac:dyDescent="0.2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</row>
    <row r="2306" spans="2:19" x14ac:dyDescent="0.2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</row>
    <row r="2307" spans="2:19" x14ac:dyDescent="0.2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</row>
    <row r="2308" spans="2:19" x14ac:dyDescent="0.2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</row>
    <row r="2309" spans="2:19" x14ac:dyDescent="0.2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</row>
    <row r="2310" spans="2:19" x14ac:dyDescent="0.2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</row>
    <row r="2311" spans="2:19" x14ac:dyDescent="0.2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</row>
    <row r="2312" spans="2:19" x14ac:dyDescent="0.2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</row>
    <row r="2313" spans="2:19" x14ac:dyDescent="0.2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</row>
    <row r="2314" spans="2:19" x14ac:dyDescent="0.2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</row>
    <row r="2315" spans="2:19" x14ac:dyDescent="0.2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</row>
    <row r="2316" spans="2:19" x14ac:dyDescent="0.2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</row>
    <row r="2317" spans="2:19" x14ac:dyDescent="0.2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</row>
    <row r="2318" spans="2:19" x14ac:dyDescent="0.2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</row>
    <row r="2319" spans="2:19" x14ac:dyDescent="0.2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</row>
    <row r="2320" spans="2:19" x14ac:dyDescent="0.2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</row>
    <row r="2321" spans="2:19" x14ac:dyDescent="0.2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</row>
    <row r="2322" spans="2:19" x14ac:dyDescent="0.2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</row>
    <row r="2323" spans="2:19" x14ac:dyDescent="0.2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</row>
    <row r="2324" spans="2:19" x14ac:dyDescent="0.2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</row>
    <row r="2325" spans="2:19" x14ac:dyDescent="0.2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</row>
    <row r="2326" spans="2:19" x14ac:dyDescent="0.2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</row>
    <row r="2327" spans="2:19" x14ac:dyDescent="0.2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</row>
    <row r="2328" spans="2:19" x14ac:dyDescent="0.2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</row>
    <row r="2329" spans="2:19" x14ac:dyDescent="0.2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</row>
    <row r="2330" spans="2:19" x14ac:dyDescent="0.2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</row>
    <row r="2331" spans="2:19" x14ac:dyDescent="0.2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</row>
    <row r="2332" spans="2:19" x14ac:dyDescent="0.2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</row>
    <row r="2333" spans="2:19" x14ac:dyDescent="0.2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</row>
    <row r="2334" spans="2:19" x14ac:dyDescent="0.2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</row>
    <row r="2335" spans="2:19" x14ac:dyDescent="0.2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</row>
    <row r="2336" spans="2:19" x14ac:dyDescent="0.2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</row>
    <row r="2337" spans="2:19" x14ac:dyDescent="0.2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</row>
    <row r="2338" spans="2:19" x14ac:dyDescent="0.2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</row>
    <row r="2339" spans="2:19" x14ac:dyDescent="0.2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</row>
    <row r="2340" spans="2:19" x14ac:dyDescent="0.2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</row>
    <row r="2341" spans="2:19" x14ac:dyDescent="0.2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</row>
    <row r="2342" spans="2:19" x14ac:dyDescent="0.2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</row>
    <row r="2343" spans="2:19" x14ac:dyDescent="0.2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</row>
    <row r="2344" spans="2:19" x14ac:dyDescent="0.2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</row>
    <row r="2345" spans="2:19" x14ac:dyDescent="0.2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</row>
    <row r="2346" spans="2:19" x14ac:dyDescent="0.2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</row>
    <row r="2347" spans="2:19" x14ac:dyDescent="0.2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</row>
    <row r="2348" spans="2:19" x14ac:dyDescent="0.2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</row>
    <row r="2349" spans="2:19" x14ac:dyDescent="0.2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</row>
    <row r="2350" spans="2:19" x14ac:dyDescent="0.2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</row>
    <row r="2351" spans="2:19" x14ac:dyDescent="0.2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</row>
    <row r="2352" spans="2:19" x14ac:dyDescent="0.2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</row>
    <row r="2353" spans="2:19" x14ac:dyDescent="0.2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</row>
    <row r="2354" spans="2:19" x14ac:dyDescent="0.2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</row>
    <row r="2355" spans="2:19" x14ac:dyDescent="0.2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</row>
    <row r="2356" spans="2:19" x14ac:dyDescent="0.2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</row>
    <row r="2357" spans="2:19" x14ac:dyDescent="0.2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</row>
    <row r="2358" spans="2:19" x14ac:dyDescent="0.2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</row>
    <row r="2359" spans="2:19" x14ac:dyDescent="0.2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</row>
    <row r="2360" spans="2:19" x14ac:dyDescent="0.2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</row>
    <row r="2361" spans="2:19" x14ac:dyDescent="0.2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</row>
    <row r="2362" spans="2:19" x14ac:dyDescent="0.2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</row>
    <row r="2363" spans="2:19" x14ac:dyDescent="0.2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</row>
    <row r="2364" spans="2:19" x14ac:dyDescent="0.2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</row>
    <row r="2365" spans="2:19" x14ac:dyDescent="0.2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</row>
    <row r="2366" spans="2:19" x14ac:dyDescent="0.2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</row>
    <row r="2367" spans="2:19" x14ac:dyDescent="0.2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</row>
    <row r="2368" spans="2:19" x14ac:dyDescent="0.2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</row>
    <row r="2369" spans="2:19" x14ac:dyDescent="0.2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</row>
    <row r="2370" spans="2:19" x14ac:dyDescent="0.2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</row>
    <row r="2371" spans="2:19" x14ac:dyDescent="0.2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</row>
    <row r="2372" spans="2:19" x14ac:dyDescent="0.2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</row>
    <row r="2373" spans="2:19" x14ac:dyDescent="0.2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</row>
    <row r="2374" spans="2:19" x14ac:dyDescent="0.2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</row>
    <row r="2375" spans="2:19" x14ac:dyDescent="0.2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</row>
    <row r="2376" spans="2:19" x14ac:dyDescent="0.2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</row>
    <row r="2377" spans="2:19" x14ac:dyDescent="0.2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</row>
    <row r="2378" spans="2:19" x14ac:dyDescent="0.2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</row>
    <row r="2379" spans="2:19" x14ac:dyDescent="0.2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</row>
    <row r="2380" spans="2:19" x14ac:dyDescent="0.2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</row>
    <row r="2381" spans="2:19" x14ac:dyDescent="0.2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</row>
    <row r="2382" spans="2:19" x14ac:dyDescent="0.2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</row>
    <row r="2383" spans="2:19" x14ac:dyDescent="0.2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</row>
    <row r="2384" spans="2:19" x14ac:dyDescent="0.2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</row>
    <row r="2385" spans="2:19" x14ac:dyDescent="0.2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</row>
    <row r="2386" spans="2:19" x14ac:dyDescent="0.2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</row>
    <row r="2387" spans="2:19" x14ac:dyDescent="0.2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</row>
    <row r="2388" spans="2:19" x14ac:dyDescent="0.2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</row>
    <row r="2389" spans="2:19" x14ac:dyDescent="0.2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</row>
    <row r="2390" spans="2:19" x14ac:dyDescent="0.2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</row>
    <row r="2391" spans="2:19" x14ac:dyDescent="0.2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</row>
    <row r="2392" spans="2:19" x14ac:dyDescent="0.2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</row>
    <row r="2393" spans="2:19" x14ac:dyDescent="0.2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</row>
    <row r="2394" spans="2:19" x14ac:dyDescent="0.2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</row>
    <row r="2395" spans="2:19" x14ac:dyDescent="0.2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</row>
    <row r="2396" spans="2:19" x14ac:dyDescent="0.2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</row>
    <row r="2397" spans="2:19" x14ac:dyDescent="0.2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</row>
    <row r="2398" spans="2:19" x14ac:dyDescent="0.2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</row>
    <row r="2399" spans="2:19" x14ac:dyDescent="0.2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</row>
    <row r="2400" spans="2:19" x14ac:dyDescent="0.2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</row>
    <row r="2401" spans="2:19" x14ac:dyDescent="0.2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</row>
    <row r="2402" spans="2:19" x14ac:dyDescent="0.2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</row>
    <row r="2403" spans="2:19" x14ac:dyDescent="0.2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</row>
    <row r="2404" spans="2:19" x14ac:dyDescent="0.2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</row>
    <row r="2405" spans="2:19" x14ac:dyDescent="0.2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</row>
    <row r="2406" spans="2:19" x14ac:dyDescent="0.2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</row>
    <row r="2407" spans="2:19" x14ac:dyDescent="0.2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</row>
    <row r="2408" spans="2:19" x14ac:dyDescent="0.2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</row>
    <row r="2409" spans="2:19" x14ac:dyDescent="0.2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</row>
    <row r="2410" spans="2:19" x14ac:dyDescent="0.2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</row>
    <row r="2411" spans="2:19" x14ac:dyDescent="0.2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</row>
    <row r="2412" spans="2:19" x14ac:dyDescent="0.2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</row>
    <row r="2413" spans="2:19" x14ac:dyDescent="0.2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</row>
    <row r="2414" spans="2:19" x14ac:dyDescent="0.2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</row>
    <row r="2415" spans="2:19" x14ac:dyDescent="0.2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</row>
    <row r="2416" spans="2:19" x14ac:dyDescent="0.2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</row>
    <row r="2417" spans="2:19" x14ac:dyDescent="0.2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</row>
    <row r="2418" spans="2:19" x14ac:dyDescent="0.2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</row>
    <row r="2419" spans="2:19" x14ac:dyDescent="0.2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</row>
    <row r="2420" spans="2:19" x14ac:dyDescent="0.2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</row>
    <row r="2421" spans="2:19" x14ac:dyDescent="0.2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</row>
    <row r="2422" spans="2:19" x14ac:dyDescent="0.2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</row>
    <row r="2423" spans="2:19" x14ac:dyDescent="0.2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</row>
    <row r="2424" spans="2:19" x14ac:dyDescent="0.2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</row>
    <row r="2425" spans="2:19" x14ac:dyDescent="0.2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</row>
    <row r="2426" spans="2:19" x14ac:dyDescent="0.2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</row>
    <row r="2427" spans="2:19" x14ac:dyDescent="0.2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</row>
    <row r="2428" spans="2:19" x14ac:dyDescent="0.2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</row>
    <row r="2429" spans="2:19" x14ac:dyDescent="0.2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</row>
    <row r="2430" spans="2:19" x14ac:dyDescent="0.2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</row>
    <row r="2431" spans="2:19" x14ac:dyDescent="0.2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</row>
    <row r="2432" spans="2:19" x14ac:dyDescent="0.2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</row>
    <row r="2433" spans="2:19" x14ac:dyDescent="0.2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</row>
    <row r="2434" spans="2:19" x14ac:dyDescent="0.2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</row>
    <row r="2435" spans="2:19" x14ac:dyDescent="0.2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</row>
    <row r="2436" spans="2:19" x14ac:dyDescent="0.2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</row>
    <row r="2437" spans="2:19" x14ac:dyDescent="0.2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</row>
    <row r="2438" spans="2:19" x14ac:dyDescent="0.2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</row>
    <row r="2439" spans="2:19" x14ac:dyDescent="0.2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</row>
    <row r="2440" spans="2:19" x14ac:dyDescent="0.2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</row>
    <row r="2441" spans="2:19" x14ac:dyDescent="0.2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</row>
    <row r="2442" spans="2:19" x14ac:dyDescent="0.2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</row>
    <row r="2443" spans="2:19" x14ac:dyDescent="0.2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</row>
    <row r="2444" spans="2:19" x14ac:dyDescent="0.2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</row>
    <row r="2445" spans="2:19" x14ac:dyDescent="0.2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</row>
    <row r="2446" spans="2:19" x14ac:dyDescent="0.2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</row>
    <row r="2447" spans="2:19" x14ac:dyDescent="0.2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</row>
    <row r="2448" spans="2:19" x14ac:dyDescent="0.2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</row>
    <row r="2449" spans="2:19" x14ac:dyDescent="0.2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</row>
    <row r="2450" spans="2:19" x14ac:dyDescent="0.2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</row>
    <row r="2451" spans="2:19" x14ac:dyDescent="0.2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</row>
    <row r="2452" spans="2:19" x14ac:dyDescent="0.2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</row>
    <row r="2453" spans="2:19" x14ac:dyDescent="0.2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</row>
    <row r="2454" spans="2:19" x14ac:dyDescent="0.2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</row>
    <row r="2455" spans="2:19" x14ac:dyDescent="0.2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</row>
    <row r="2456" spans="2:19" x14ac:dyDescent="0.2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</row>
    <row r="2457" spans="2:19" x14ac:dyDescent="0.2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</row>
    <row r="2458" spans="2:19" x14ac:dyDescent="0.2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</row>
    <row r="2459" spans="2:19" x14ac:dyDescent="0.2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</row>
    <row r="2460" spans="2:19" x14ac:dyDescent="0.2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</row>
    <row r="2461" spans="2:19" x14ac:dyDescent="0.2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</row>
    <row r="2462" spans="2:19" x14ac:dyDescent="0.2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</row>
    <row r="2463" spans="2:19" x14ac:dyDescent="0.2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</row>
    <row r="2464" spans="2:19" x14ac:dyDescent="0.2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</row>
    <row r="2465" spans="2:19" x14ac:dyDescent="0.2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</row>
    <row r="2466" spans="2:19" x14ac:dyDescent="0.2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</row>
    <row r="2467" spans="2:19" x14ac:dyDescent="0.2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</row>
    <row r="2468" spans="2:19" x14ac:dyDescent="0.2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</row>
    <row r="2469" spans="2:19" x14ac:dyDescent="0.2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</row>
    <row r="2470" spans="2:19" x14ac:dyDescent="0.2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</row>
    <row r="2471" spans="2:19" x14ac:dyDescent="0.2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</row>
    <row r="2472" spans="2:19" x14ac:dyDescent="0.2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</row>
    <row r="2473" spans="2:19" x14ac:dyDescent="0.2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</row>
    <row r="2474" spans="2:19" x14ac:dyDescent="0.2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</row>
    <row r="2475" spans="2:19" x14ac:dyDescent="0.2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</row>
    <row r="2476" spans="2:19" x14ac:dyDescent="0.2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</row>
    <row r="2477" spans="2:19" x14ac:dyDescent="0.2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</row>
    <row r="2478" spans="2:19" x14ac:dyDescent="0.2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</row>
    <row r="2479" spans="2:19" x14ac:dyDescent="0.2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</row>
    <row r="2480" spans="2:19" x14ac:dyDescent="0.2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</row>
    <row r="2481" spans="2:19" x14ac:dyDescent="0.2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</row>
    <row r="2482" spans="2:19" x14ac:dyDescent="0.2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</row>
    <row r="2483" spans="2:19" x14ac:dyDescent="0.2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</row>
    <row r="2484" spans="2:19" x14ac:dyDescent="0.2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</row>
    <row r="2485" spans="2:19" x14ac:dyDescent="0.2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</row>
    <row r="2486" spans="2:19" x14ac:dyDescent="0.2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</row>
    <row r="2487" spans="2:19" x14ac:dyDescent="0.2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</row>
    <row r="2488" spans="2:19" x14ac:dyDescent="0.2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</row>
    <row r="2489" spans="2:19" x14ac:dyDescent="0.2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</row>
    <row r="2490" spans="2:19" x14ac:dyDescent="0.2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</row>
    <row r="2491" spans="2:19" x14ac:dyDescent="0.2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</row>
    <row r="2492" spans="2:19" x14ac:dyDescent="0.2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</row>
    <row r="2493" spans="2:19" x14ac:dyDescent="0.2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</row>
    <row r="2494" spans="2:19" x14ac:dyDescent="0.2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</row>
    <row r="2495" spans="2:19" x14ac:dyDescent="0.2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</row>
    <row r="2496" spans="2:19" x14ac:dyDescent="0.2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</row>
    <row r="2497" spans="2:19" x14ac:dyDescent="0.2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</row>
    <row r="2498" spans="2:19" x14ac:dyDescent="0.2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</row>
    <row r="2499" spans="2:19" x14ac:dyDescent="0.2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</row>
    <row r="2500" spans="2:19" x14ac:dyDescent="0.2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</row>
    <row r="2501" spans="2:19" x14ac:dyDescent="0.2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</row>
    <row r="2502" spans="2:19" x14ac:dyDescent="0.2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</row>
    <row r="2503" spans="2:19" x14ac:dyDescent="0.2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</row>
    <row r="2504" spans="2:19" x14ac:dyDescent="0.2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</row>
    <row r="2505" spans="2:19" x14ac:dyDescent="0.2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</row>
    <row r="2506" spans="2:19" x14ac:dyDescent="0.2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</row>
    <row r="2507" spans="2:19" x14ac:dyDescent="0.2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</row>
    <row r="2508" spans="2:19" x14ac:dyDescent="0.2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</row>
    <row r="2509" spans="2:19" x14ac:dyDescent="0.2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</row>
    <row r="2510" spans="2:19" x14ac:dyDescent="0.2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</row>
    <row r="2511" spans="2:19" x14ac:dyDescent="0.2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</row>
    <row r="2512" spans="2:19" x14ac:dyDescent="0.2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</row>
    <row r="2513" spans="2:19" x14ac:dyDescent="0.2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</row>
    <row r="2514" spans="2:19" x14ac:dyDescent="0.2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</row>
    <row r="2515" spans="2:19" x14ac:dyDescent="0.2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</row>
    <row r="2516" spans="2:19" x14ac:dyDescent="0.2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</row>
    <row r="2517" spans="2:19" x14ac:dyDescent="0.2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</row>
    <row r="2518" spans="2:19" x14ac:dyDescent="0.2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</row>
    <row r="2519" spans="2:19" x14ac:dyDescent="0.2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</row>
    <row r="2520" spans="2:19" x14ac:dyDescent="0.2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</row>
    <row r="2521" spans="2:19" x14ac:dyDescent="0.2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</row>
    <row r="2522" spans="2:19" x14ac:dyDescent="0.2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</row>
    <row r="2523" spans="2:19" x14ac:dyDescent="0.2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</row>
    <row r="2524" spans="2:19" x14ac:dyDescent="0.2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</row>
    <row r="2525" spans="2:19" x14ac:dyDescent="0.2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</row>
    <row r="2526" spans="2:19" x14ac:dyDescent="0.2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</row>
    <row r="2527" spans="2:19" x14ac:dyDescent="0.2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</row>
    <row r="2528" spans="2:19" x14ac:dyDescent="0.2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</row>
    <row r="2529" spans="2:19" x14ac:dyDescent="0.2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</row>
    <row r="2530" spans="2:19" x14ac:dyDescent="0.2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</row>
    <row r="2531" spans="2:19" x14ac:dyDescent="0.2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</row>
    <row r="2532" spans="2:19" x14ac:dyDescent="0.2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</row>
    <row r="2533" spans="2:19" x14ac:dyDescent="0.2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</row>
    <row r="2534" spans="2:19" x14ac:dyDescent="0.2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</row>
    <row r="2535" spans="2:19" x14ac:dyDescent="0.2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</row>
    <row r="2536" spans="2:19" x14ac:dyDescent="0.2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</row>
    <row r="2537" spans="2:19" x14ac:dyDescent="0.2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</row>
    <row r="2538" spans="2:19" x14ac:dyDescent="0.2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</row>
    <row r="2539" spans="2:19" x14ac:dyDescent="0.2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</row>
    <row r="2540" spans="2:19" x14ac:dyDescent="0.2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</row>
    <row r="2541" spans="2:19" x14ac:dyDescent="0.2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</row>
    <row r="2542" spans="2:19" x14ac:dyDescent="0.2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</row>
    <row r="2543" spans="2:19" x14ac:dyDescent="0.2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</row>
    <row r="2544" spans="2:19" x14ac:dyDescent="0.2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</row>
    <row r="2545" spans="2:19" x14ac:dyDescent="0.2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</row>
    <row r="2546" spans="2:19" x14ac:dyDescent="0.2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</row>
    <row r="2547" spans="2:19" x14ac:dyDescent="0.2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</row>
    <row r="2548" spans="2:19" x14ac:dyDescent="0.2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</row>
    <row r="2549" spans="2:19" x14ac:dyDescent="0.2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</row>
    <row r="2550" spans="2:19" x14ac:dyDescent="0.2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</row>
    <row r="2551" spans="2:19" x14ac:dyDescent="0.2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</row>
    <row r="2552" spans="2:19" x14ac:dyDescent="0.2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</row>
    <row r="2553" spans="2:19" x14ac:dyDescent="0.2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</row>
    <row r="2554" spans="2:19" x14ac:dyDescent="0.2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</row>
    <row r="2555" spans="2:19" x14ac:dyDescent="0.2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</row>
    <row r="2556" spans="2:19" x14ac:dyDescent="0.2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</row>
    <row r="2557" spans="2:19" x14ac:dyDescent="0.2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</row>
    <row r="2558" spans="2:19" x14ac:dyDescent="0.2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</row>
    <row r="2559" spans="2:19" x14ac:dyDescent="0.2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</row>
    <row r="2560" spans="2:19" x14ac:dyDescent="0.2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</row>
    <row r="2561" spans="2:19" x14ac:dyDescent="0.2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</row>
    <row r="2562" spans="2:19" x14ac:dyDescent="0.2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</row>
    <row r="2563" spans="2:19" x14ac:dyDescent="0.2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</row>
    <row r="2564" spans="2:19" x14ac:dyDescent="0.2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</row>
    <row r="2565" spans="2:19" x14ac:dyDescent="0.2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</row>
    <row r="2566" spans="2:19" x14ac:dyDescent="0.2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</row>
    <row r="2567" spans="2:19" x14ac:dyDescent="0.2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</row>
    <row r="2568" spans="2:19" x14ac:dyDescent="0.2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</row>
    <row r="2569" spans="2:19" x14ac:dyDescent="0.2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</row>
    <row r="2570" spans="2:19" x14ac:dyDescent="0.2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</row>
    <row r="2571" spans="2:19" x14ac:dyDescent="0.2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</row>
    <row r="2572" spans="2:19" x14ac:dyDescent="0.2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</row>
    <row r="2573" spans="2:19" x14ac:dyDescent="0.2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</row>
    <row r="2574" spans="2:19" x14ac:dyDescent="0.2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</row>
    <row r="2575" spans="2:19" x14ac:dyDescent="0.2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</row>
    <row r="2576" spans="2:19" x14ac:dyDescent="0.2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</row>
    <row r="2577" spans="2:19" x14ac:dyDescent="0.2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</row>
    <row r="2578" spans="2:19" x14ac:dyDescent="0.2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</row>
    <row r="2579" spans="2:19" x14ac:dyDescent="0.2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</row>
    <row r="2580" spans="2:19" x14ac:dyDescent="0.2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</row>
    <row r="2581" spans="2:19" x14ac:dyDescent="0.2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</row>
    <row r="2582" spans="2:19" x14ac:dyDescent="0.2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</row>
    <row r="2583" spans="2:19" x14ac:dyDescent="0.2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</row>
    <row r="2584" spans="2:19" x14ac:dyDescent="0.2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</row>
    <row r="2585" spans="2:19" x14ac:dyDescent="0.2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</row>
    <row r="2586" spans="2:19" x14ac:dyDescent="0.2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</row>
    <row r="2587" spans="2:19" x14ac:dyDescent="0.2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</row>
    <row r="2588" spans="2:19" x14ac:dyDescent="0.2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</row>
    <row r="2589" spans="2:19" x14ac:dyDescent="0.2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</row>
    <row r="2590" spans="2:19" x14ac:dyDescent="0.2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</row>
    <row r="2591" spans="2:19" x14ac:dyDescent="0.2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</row>
    <row r="2592" spans="2:19" x14ac:dyDescent="0.2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</row>
    <row r="2593" spans="2:19" x14ac:dyDescent="0.2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</row>
    <row r="2594" spans="2:19" x14ac:dyDescent="0.2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</row>
    <row r="2595" spans="2:19" x14ac:dyDescent="0.2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</row>
    <row r="2596" spans="2:19" x14ac:dyDescent="0.2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</row>
    <row r="2597" spans="2:19" x14ac:dyDescent="0.2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</row>
    <row r="2598" spans="2:19" x14ac:dyDescent="0.2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</row>
    <row r="2599" spans="2:19" x14ac:dyDescent="0.2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</row>
    <row r="2600" spans="2:19" x14ac:dyDescent="0.2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</row>
    <row r="2601" spans="2:19" x14ac:dyDescent="0.2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</row>
    <row r="2602" spans="2:19" x14ac:dyDescent="0.2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</row>
    <row r="2603" spans="2:19" x14ac:dyDescent="0.2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</row>
    <row r="2604" spans="2:19" x14ac:dyDescent="0.2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</row>
    <row r="2605" spans="2:19" x14ac:dyDescent="0.2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</row>
    <row r="2606" spans="2:19" x14ac:dyDescent="0.2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</row>
    <row r="2607" spans="2:19" x14ac:dyDescent="0.2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</row>
    <row r="2608" spans="2:19" x14ac:dyDescent="0.2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</row>
    <row r="2609" spans="2:19" x14ac:dyDescent="0.2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</row>
    <row r="2610" spans="2:19" x14ac:dyDescent="0.2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</row>
    <row r="2611" spans="2:19" x14ac:dyDescent="0.2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</row>
    <row r="2612" spans="2:19" x14ac:dyDescent="0.2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</row>
    <row r="2613" spans="2:19" x14ac:dyDescent="0.2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</row>
    <row r="2614" spans="2:19" x14ac:dyDescent="0.2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</row>
    <row r="2615" spans="2:19" x14ac:dyDescent="0.2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</row>
    <row r="2616" spans="2:19" x14ac:dyDescent="0.2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</row>
    <row r="2617" spans="2:19" x14ac:dyDescent="0.2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</row>
    <row r="2618" spans="2:19" x14ac:dyDescent="0.2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</row>
    <row r="2619" spans="2:19" x14ac:dyDescent="0.2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</row>
    <row r="2620" spans="2:19" x14ac:dyDescent="0.2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</row>
    <row r="2621" spans="2:19" x14ac:dyDescent="0.2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</row>
    <row r="2622" spans="2:19" x14ac:dyDescent="0.2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</row>
    <row r="2623" spans="2:19" x14ac:dyDescent="0.2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</row>
    <row r="2624" spans="2:19" x14ac:dyDescent="0.2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</row>
    <row r="2625" spans="2:19" x14ac:dyDescent="0.2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</row>
    <row r="2626" spans="2:19" x14ac:dyDescent="0.2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</row>
    <row r="2627" spans="2:19" x14ac:dyDescent="0.2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</row>
    <row r="2628" spans="2:19" x14ac:dyDescent="0.2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</row>
    <row r="2629" spans="2:19" x14ac:dyDescent="0.2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</row>
    <row r="2630" spans="2:19" x14ac:dyDescent="0.2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</row>
    <row r="2631" spans="2:19" x14ac:dyDescent="0.2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</row>
    <row r="2632" spans="2:19" x14ac:dyDescent="0.2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</row>
    <row r="2633" spans="2:19" x14ac:dyDescent="0.2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</row>
    <row r="2634" spans="2:19" x14ac:dyDescent="0.2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</row>
    <row r="2635" spans="2:19" x14ac:dyDescent="0.2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</row>
    <row r="2636" spans="2:19" x14ac:dyDescent="0.2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</row>
    <row r="2637" spans="2:19" x14ac:dyDescent="0.2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</row>
    <row r="2638" spans="2:19" x14ac:dyDescent="0.2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</row>
    <row r="2639" spans="2:19" x14ac:dyDescent="0.2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</row>
    <row r="2640" spans="2:19" x14ac:dyDescent="0.2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</row>
    <row r="2641" spans="2:19" x14ac:dyDescent="0.2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</row>
    <row r="2642" spans="2:19" x14ac:dyDescent="0.2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</row>
    <row r="2643" spans="2:19" x14ac:dyDescent="0.2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</row>
    <row r="2644" spans="2:19" x14ac:dyDescent="0.2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</row>
    <row r="2645" spans="2:19" x14ac:dyDescent="0.2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</row>
    <row r="2646" spans="2:19" x14ac:dyDescent="0.2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</row>
    <row r="2647" spans="2:19" x14ac:dyDescent="0.2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</row>
    <row r="2648" spans="2:19" x14ac:dyDescent="0.2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</row>
    <row r="2649" spans="2:19" x14ac:dyDescent="0.2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</row>
    <row r="2650" spans="2:19" x14ac:dyDescent="0.2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</row>
    <row r="2651" spans="2:19" x14ac:dyDescent="0.2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</row>
    <row r="2652" spans="2:19" x14ac:dyDescent="0.2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</row>
    <row r="2653" spans="2:19" x14ac:dyDescent="0.2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</row>
    <row r="2654" spans="2:19" x14ac:dyDescent="0.2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</row>
    <row r="2655" spans="2:19" x14ac:dyDescent="0.2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</row>
    <row r="2656" spans="2:19" x14ac:dyDescent="0.2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</row>
    <row r="2657" spans="2:19" x14ac:dyDescent="0.2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</row>
    <row r="2658" spans="2:19" x14ac:dyDescent="0.2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</row>
    <row r="2659" spans="2:19" x14ac:dyDescent="0.2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</row>
    <row r="2660" spans="2:19" x14ac:dyDescent="0.2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</row>
    <row r="2661" spans="2:19" x14ac:dyDescent="0.2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</row>
    <row r="2662" spans="2:19" x14ac:dyDescent="0.2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</row>
    <row r="2663" spans="2:19" x14ac:dyDescent="0.2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</row>
    <row r="2664" spans="2:19" x14ac:dyDescent="0.2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</row>
    <row r="2665" spans="2:19" x14ac:dyDescent="0.2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</row>
    <row r="2666" spans="2:19" x14ac:dyDescent="0.2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</row>
    <row r="2667" spans="2:19" x14ac:dyDescent="0.2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</row>
    <row r="2668" spans="2:19" x14ac:dyDescent="0.2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</row>
    <row r="2669" spans="2:19" x14ac:dyDescent="0.2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</row>
    <row r="2670" spans="2:19" x14ac:dyDescent="0.2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</row>
    <row r="2671" spans="2:19" x14ac:dyDescent="0.2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</row>
    <row r="2672" spans="2:19" x14ac:dyDescent="0.2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</row>
    <row r="2673" spans="2:19" x14ac:dyDescent="0.2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</row>
    <row r="2674" spans="2:19" x14ac:dyDescent="0.2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</row>
    <row r="2675" spans="2:19" x14ac:dyDescent="0.2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</row>
    <row r="2676" spans="2:19" x14ac:dyDescent="0.2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</row>
    <row r="2677" spans="2:19" x14ac:dyDescent="0.2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</row>
    <row r="2678" spans="2:19" x14ac:dyDescent="0.2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</row>
    <row r="2679" spans="2:19" x14ac:dyDescent="0.2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</row>
    <row r="2680" spans="2:19" x14ac:dyDescent="0.2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</row>
    <row r="2681" spans="2:19" x14ac:dyDescent="0.2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</row>
    <row r="2682" spans="2:19" x14ac:dyDescent="0.2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</row>
    <row r="2683" spans="2:19" x14ac:dyDescent="0.2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</row>
    <row r="2684" spans="2:19" x14ac:dyDescent="0.2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</row>
    <row r="2685" spans="2:19" x14ac:dyDescent="0.2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</row>
    <row r="2686" spans="2:19" x14ac:dyDescent="0.2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</row>
    <row r="2687" spans="2:19" x14ac:dyDescent="0.2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</row>
    <row r="2688" spans="2:19" x14ac:dyDescent="0.2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</row>
    <row r="2689" spans="2:19" x14ac:dyDescent="0.2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</row>
    <row r="2690" spans="2:19" x14ac:dyDescent="0.2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</row>
    <row r="2691" spans="2:19" x14ac:dyDescent="0.2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</row>
    <row r="2692" spans="2:19" x14ac:dyDescent="0.2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</row>
    <row r="2693" spans="2:19" x14ac:dyDescent="0.2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</row>
    <row r="2694" spans="2:19" x14ac:dyDescent="0.2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</row>
    <row r="2695" spans="2:19" x14ac:dyDescent="0.2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</row>
    <row r="2696" spans="2:19" x14ac:dyDescent="0.2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</row>
    <row r="2697" spans="2:19" x14ac:dyDescent="0.2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</row>
    <row r="2698" spans="2:19" x14ac:dyDescent="0.2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</row>
    <row r="2699" spans="2:19" x14ac:dyDescent="0.2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</row>
    <row r="2700" spans="2:19" x14ac:dyDescent="0.2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</row>
    <row r="2701" spans="2:19" x14ac:dyDescent="0.2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</row>
    <row r="2702" spans="2:19" x14ac:dyDescent="0.2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</row>
    <row r="2703" spans="2:19" x14ac:dyDescent="0.2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</row>
    <row r="2704" spans="2:19" x14ac:dyDescent="0.2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</row>
    <row r="2705" spans="2:19" x14ac:dyDescent="0.2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</row>
    <row r="2706" spans="2:19" x14ac:dyDescent="0.2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</row>
    <row r="2707" spans="2:19" x14ac:dyDescent="0.2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</row>
    <row r="2708" spans="2:19" x14ac:dyDescent="0.2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</row>
    <row r="2709" spans="2:19" x14ac:dyDescent="0.2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</row>
    <row r="2710" spans="2:19" x14ac:dyDescent="0.2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</row>
    <row r="2711" spans="2:19" x14ac:dyDescent="0.25">
      <c r="K2711" s="3"/>
    </row>
  </sheetData>
  <phoneticPr fontId="2" type="noConversion"/>
  <conditionalFormatting sqref="I2711:I1048576 N78 M569:N569 M538:N539 M541:N543 M545:N545 M590:N595 M574:N585 M548:N556 M565:N566 M685:N686 M690:N691 N1139 M651:N655 M558:N563 M572:N572 M630:N630 M767:N769 M603:N628 M940:N944 M748 M749:N750 M688:N688 M587:N588 M79:N84 M1074:M1075 M516:N529 M515 M532:M534 N103 M104:N105 M638:N648 M658:N683 M693:N702 M705:N714 M716:N732 M738:N743 M772:N780 M824:N824 M1078:N1081 N106 M209:N362 N208 M632:N634 N631 M810:N810 N809 N819:N820 N822:N823 M826:N843 N825 N872:N874 M1051:N1051 N1050 M1083:N1090 N1082 M364:N465 N596:N598 M947:N954 M86:N102 N85 M467:N514 M848:N848 M866:N868 M875:N881 M16:N77 M1140:N1183 M735:N735 N733:N734 N736 M746:N747 N744:N745 M752:N759 N751 M762:N762 N760:N761 M764:N765 N763 N771 M783:N784 N781:N782 M786:N786 N785 M789:N790 N787:N788 M792:N793 N791 M795:N805 N794 M807:N808 N806 M812:N818 N811 M850:N851 N849 M853:N863 N852 N864:N865 N869 M883:N926 N882 M928:N934 N927 N938:N939 N945:N946 M956:N975 N955 M977:N984 N976 M986:N1012 N985 M1014:N1022 N1013 M1024:N1034 N1023 M1036:N1049 N1035 M1053:N1070 N1052 M1072:N1073 N1071 N1076:N1077 N1091 M1124:N1127 N1123 M1129:N1138 N1128 M1185:N1188 N1184 N1189 N1197 M1225:N1229 N1224 M1231:N1248 N1230 N1249 M1092:N1122 M599:N601 M1250:N1323 M1198:N1223 M1190:N1196 M107:N207 K16:K1323">
    <cfRule type="cellIs" dxfId="429" priority="2465" operator="equal">
      <formula>"Desactivado"</formula>
    </cfRule>
    <cfRule type="cellIs" dxfId="428" priority="2466" operator="equal">
      <formula>"Sobre Stock"</formula>
    </cfRule>
    <cfRule type="cellIs" dxfId="427" priority="2467" operator="equal">
      <formula>"Bajo Stock"</formula>
    </cfRule>
    <cfRule type="cellIs" dxfId="426" priority="2468" operator="equal">
      <formula>"Stock OK"</formula>
    </cfRule>
    <cfRule type="cellIs" dxfId="425" priority="2469" operator="equal">
      <formula>"Quiebre Stock"</formula>
    </cfRule>
  </conditionalFormatting>
  <conditionalFormatting pivot="1" sqref="G3:G13">
    <cfRule type="cellIs" dxfId="424" priority="2459" operator="lessThan">
      <formula>0.9</formula>
    </cfRule>
  </conditionalFormatting>
  <conditionalFormatting sqref="I3">
    <cfRule type="cellIs" dxfId="423" priority="2454" operator="equal">
      <formula>"Desactivado"</formula>
    </cfRule>
    <cfRule type="cellIs" dxfId="422" priority="2455" operator="equal">
      <formula>"Sobre Stock"</formula>
    </cfRule>
    <cfRule type="cellIs" dxfId="421" priority="2456" operator="equal">
      <formula>"Bajo Stock"</formula>
    </cfRule>
    <cfRule type="cellIs" dxfId="420" priority="2457" operator="equal">
      <formula>"Stock OK"</formula>
    </cfRule>
    <cfRule type="cellIs" dxfId="419" priority="2458" operator="equal">
      <formula>"Quiebre Stock"</formula>
    </cfRule>
  </conditionalFormatting>
  <conditionalFormatting sqref="I4">
    <cfRule type="cellIs" dxfId="418" priority="2449" operator="equal">
      <formula>"Desactivado"</formula>
    </cfRule>
    <cfRule type="cellIs" dxfId="417" priority="2450" operator="equal">
      <formula>"Sobre Stock"</formula>
    </cfRule>
    <cfRule type="cellIs" dxfId="416" priority="2451" operator="equal">
      <formula>"Bajo Stock"</formula>
    </cfRule>
    <cfRule type="cellIs" dxfId="415" priority="2452" operator="equal">
      <formula>"Stock OK"</formula>
    </cfRule>
    <cfRule type="cellIs" dxfId="414" priority="2453" operator="equal">
      <formula>"Quiebre Stock"</formula>
    </cfRule>
  </conditionalFormatting>
  <conditionalFormatting sqref="I6">
    <cfRule type="cellIs" dxfId="413" priority="2444" operator="equal">
      <formula>"Desactivado"</formula>
    </cfRule>
    <cfRule type="cellIs" dxfId="412" priority="2445" operator="equal">
      <formula>"Sobre Stock"</formula>
    </cfRule>
    <cfRule type="cellIs" dxfId="411" priority="2446" operator="equal">
      <formula>"Bajo Stock"</formula>
    </cfRule>
    <cfRule type="cellIs" dxfId="410" priority="2447" operator="equal">
      <formula>"Stock OK"</formula>
    </cfRule>
    <cfRule type="cellIs" dxfId="409" priority="2448" operator="equal">
      <formula>"Quiebre Stock"</formula>
    </cfRule>
  </conditionalFormatting>
  <conditionalFormatting sqref="I5">
    <cfRule type="cellIs" dxfId="408" priority="2439" operator="equal">
      <formula>"Desactivado"</formula>
    </cfRule>
    <cfRule type="cellIs" dxfId="407" priority="2440" operator="equal">
      <formula>"Sobre Stock"</formula>
    </cfRule>
    <cfRule type="cellIs" dxfId="406" priority="2441" operator="equal">
      <formula>"Bajo Stock"</formula>
    </cfRule>
    <cfRule type="cellIs" dxfId="405" priority="2442" operator="equal">
      <formula>"Stock OK"</formula>
    </cfRule>
    <cfRule type="cellIs" dxfId="404" priority="2443" operator="equal">
      <formula>"Quiebre Stock"</formula>
    </cfRule>
  </conditionalFormatting>
  <conditionalFormatting pivot="1" sqref="J3">
    <cfRule type="cellIs" dxfId="403" priority="2434" operator="equal">
      <formula>"Desactivado"</formula>
    </cfRule>
    <cfRule type="cellIs" dxfId="402" priority="2435" operator="equal">
      <formula>"Sobre Stock"</formula>
    </cfRule>
    <cfRule type="cellIs" dxfId="401" priority="2436" operator="equal">
      <formula>"Bajo Stock"</formula>
    </cfRule>
    <cfRule type="cellIs" dxfId="400" priority="2437" operator="equal">
      <formula>"Stock OK"</formula>
    </cfRule>
    <cfRule type="cellIs" dxfId="399" priority="2438" operator="equal">
      <formula>"Quiebre Stock"</formula>
    </cfRule>
  </conditionalFormatting>
  <conditionalFormatting sqref="N1324:N2094 R1074:R1075 Q516:R529 R515 Q531:R531 R530 R532:R535 Q536:R1073 Q1076:R1323 Q17:R514">
    <cfRule type="cellIs" dxfId="398" priority="2433" operator="lessThan">
      <formula>TODAY()</formula>
    </cfRule>
  </conditionalFormatting>
  <conditionalFormatting sqref="N546">
    <cfRule type="cellIs" dxfId="397" priority="2385" operator="equal">
      <formula>"Desactivado"</formula>
    </cfRule>
    <cfRule type="cellIs" dxfId="396" priority="2386" operator="equal">
      <formula>"Sobre Stock"</formula>
    </cfRule>
    <cfRule type="cellIs" dxfId="395" priority="2387" operator="equal">
      <formula>"Bajo Stock"</formula>
    </cfRule>
    <cfRule type="cellIs" dxfId="394" priority="2388" operator="equal">
      <formula>"Stock OK"</formula>
    </cfRule>
    <cfRule type="cellIs" dxfId="393" priority="2389" operator="equal">
      <formula>"Quiebre Stock"</formula>
    </cfRule>
  </conditionalFormatting>
  <conditionalFormatting sqref="N649">
    <cfRule type="cellIs" dxfId="392" priority="2379" operator="equal">
      <formula>"Desactivado"</formula>
    </cfRule>
    <cfRule type="cellIs" dxfId="391" priority="2380" operator="equal">
      <formula>"Sobre Stock"</formula>
    </cfRule>
    <cfRule type="cellIs" dxfId="390" priority="2381" operator="equal">
      <formula>"Bajo Stock"</formula>
    </cfRule>
    <cfRule type="cellIs" dxfId="389" priority="2382" operator="equal">
      <formula>"Stock OK"</formula>
    </cfRule>
    <cfRule type="cellIs" dxfId="388" priority="2383" operator="equal">
      <formula>"Quiebre Stock"</formula>
    </cfRule>
  </conditionalFormatting>
  <conditionalFormatting sqref="N650">
    <cfRule type="cellIs" dxfId="387" priority="2373" operator="equal">
      <formula>"Desactivado"</formula>
    </cfRule>
    <cfRule type="cellIs" dxfId="386" priority="2374" operator="equal">
      <formula>"Sobre Stock"</formula>
    </cfRule>
    <cfRule type="cellIs" dxfId="385" priority="2375" operator="equal">
      <formula>"Bajo Stock"</formula>
    </cfRule>
    <cfRule type="cellIs" dxfId="384" priority="2376" operator="equal">
      <formula>"Stock OK"</formula>
    </cfRule>
    <cfRule type="cellIs" dxfId="383" priority="2377" operator="equal">
      <formula>"Quiebre Stock"</formula>
    </cfRule>
  </conditionalFormatting>
  <conditionalFormatting sqref="M657:N657">
    <cfRule type="cellIs" dxfId="382" priority="2361" operator="equal">
      <formula>"Desactivado"</formula>
    </cfRule>
    <cfRule type="cellIs" dxfId="381" priority="2362" operator="equal">
      <formula>"Sobre Stock"</formula>
    </cfRule>
    <cfRule type="cellIs" dxfId="380" priority="2363" operator="equal">
      <formula>"Bajo Stock"</formula>
    </cfRule>
    <cfRule type="cellIs" dxfId="379" priority="2364" operator="equal">
      <formula>"Stock OK"</formula>
    </cfRule>
    <cfRule type="cellIs" dxfId="378" priority="2365" operator="equal">
      <formula>"Quiebre Stock"</formula>
    </cfRule>
  </conditionalFormatting>
  <conditionalFormatting sqref="M684:N684">
    <cfRule type="cellIs" dxfId="377" priority="2355" operator="equal">
      <formula>"Desactivado"</formula>
    </cfRule>
    <cfRule type="cellIs" dxfId="376" priority="2356" operator="equal">
      <formula>"Sobre Stock"</formula>
    </cfRule>
    <cfRule type="cellIs" dxfId="375" priority="2357" operator="equal">
      <formula>"Bajo Stock"</formula>
    </cfRule>
    <cfRule type="cellIs" dxfId="374" priority="2358" operator="equal">
      <formula>"Stock OK"</formula>
    </cfRule>
    <cfRule type="cellIs" dxfId="373" priority="2359" operator="equal">
      <formula>"Quiebre Stock"</formula>
    </cfRule>
  </conditionalFormatting>
  <conditionalFormatting sqref="M687:N687">
    <cfRule type="cellIs" dxfId="372" priority="2349" operator="equal">
      <formula>"Desactivado"</formula>
    </cfRule>
    <cfRule type="cellIs" dxfId="371" priority="2350" operator="equal">
      <formula>"Sobre Stock"</formula>
    </cfRule>
    <cfRule type="cellIs" dxfId="370" priority="2351" operator="equal">
      <formula>"Bajo Stock"</formula>
    </cfRule>
    <cfRule type="cellIs" dxfId="369" priority="2352" operator="equal">
      <formula>"Stock OK"</formula>
    </cfRule>
    <cfRule type="cellIs" dxfId="368" priority="2353" operator="equal">
      <formula>"Quiebre Stock"</formula>
    </cfRule>
  </conditionalFormatting>
  <conditionalFormatting sqref="M656:N656">
    <cfRule type="cellIs" dxfId="367" priority="2343" operator="equal">
      <formula>"Desactivado"</formula>
    </cfRule>
    <cfRule type="cellIs" dxfId="366" priority="2344" operator="equal">
      <formula>"Sobre Stock"</formula>
    </cfRule>
    <cfRule type="cellIs" dxfId="365" priority="2345" operator="equal">
      <formula>"Bajo Stock"</formula>
    </cfRule>
    <cfRule type="cellIs" dxfId="364" priority="2346" operator="equal">
      <formula>"Stock OK"</formula>
    </cfRule>
    <cfRule type="cellIs" dxfId="363" priority="2347" operator="equal">
      <formula>"Quiebre Stock"</formula>
    </cfRule>
  </conditionalFormatting>
  <conditionalFormatting sqref="M689:N689">
    <cfRule type="cellIs" dxfId="362" priority="2337" operator="equal">
      <formula>"Desactivado"</formula>
    </cfRule>
    <cfRule type="cellIs" dxfId="361" priority="2338" operator="equal">
      <formula>"Sobre Stock"</formula>
    </cfRule>
    <cfRule type="cellIs" dxfId="360" priority="2339" operator="equal">
      <formula>"Bajo Stock"</formula>
    </cfRule>
    <cfRule type="cellIs" dxfId="359" priority="2340" operator="equal">
      <formula>"Stock OK"</formula>
    </cfRule>
    <cfRule type="cellIs" dxfId="358" priority="2341" operator="equal">
      <formula>"Quiebre Stock"</formula>
    </cfRule>
  </conditionalFormatting>
  <conditionalFormatting sqref="M692:N692">
    <cfRule type="cellIs" dxfId="357" priority="2331" operator="equal">
      <formula>"Desactivado"</formula>
    </cfRule>
    <cfRule type="cellIs" dxfId="356" priority="2332" operator="equal">
      <formula>"Sobre Stock"</formula>
    </cfRule>
    <cfRule type="cellIs" dxfId="355" priority="2333" operator="equal">
      <formula>"Bajo Stock"</formula>
    </cfRule>
    <cfRule type="cellIs" dxfId="354" priority="2334" operator="equal">
      <formula>"Stock OK"</formula>
    </cfRule>
    <cfRule type="cellIs" dxfId="353" priority="2335" operator="equal">
      <formula>"Quiebre Stock"</formula>
    </cfRule>
  </conditionalFormatting>
  <conditionalFormatting sqref="M703:N703">
    <cfRule type="cellIs" dxfId="352" priority="2325" operator="equal">
      <formula>"Desactivado"</formula>
    </cfRule>
    <cfRule type="cellIs" dxfId="351" priority="2326" operator="equal">
      <formula>"Sobre Stock"</formula>
    </cfRule>
    <cfRule type="cellIs" dxfId="350" priority="2327" operator="equal">
      <formula>"Bajo Stock"</formula>
    </cfRule>
    <cfRule type="cellIs" dxfId="349" priority="2328" operator="equal">
      <formula>"Stock OK"</formula>
    </cfRule>
    <cfRule type="cellIs" dxfId="348" priority="2329" operator="equal">
      <formula>"Quiebre Stock"</formula>
    </cfRule>
  </conditionalFormatting>
  <conditionalFormatting sqref="M704:N704">
    <cfRule type="cellIs" dxfId="347" priority="2319" operator="equal">
      <formula>"Desactivado"</formula>
    </cfRule>
    <cfRule type="cellIs" dxfId="346" priority="2320" operator="equal">
      <formula>"Sobre Stock"</formula>
    </cfRule>
    <cfRule type="cellIs" dxfId="345" priority="2321" operator="equal">
      <formula>"Bajo Stock"</formula>
    </cfRule>
    <cfRule type="cellIs" dxfId="344" priority="2322" operator="equal">
      <formula>"Stock OK"</formula>
    </cfRule>
    <cfRule type="cellIs" dxfId="343" priority="2323" operator="equal">
      <formula>"Quiebre Stock"</formula>
    </cfRule>
  </conditionalFormatting>
  <conditionalFormatting sqref="M770:N770">
    <cfRule type="cellIs" dxfId="342" priority="2313" operator="equal">
      <formula>"Desactivado"</formula>
    </cfRule>
    <cfRule type="cellIs" dxfId="341" priority="2314" operator="equal">
      <formula>"Sobre Stock"</formula>
    </cfRule>
    <cfRule type="cellIs" dxfId="340" priority="2315" operator="equal">
      <formula>"Bajo Stock"</formula>
    </cfRule>
    <cfRule type="cellIs" dxfId="339" priority="2316" operator="equal">
      <formula>"Stock OK"</formula>
    </cfRule>
    <cfRule type="cellIs" dxfId="338" priority="2317" operator="equal">
      <formula>"Quiebre Stock"</formula>
    </cfRule>
  </conditionalFormatting>
  <conditionalFormatting sqref="N715">
    <cfRule type="cellIs" dxfId="337" priority="2301" operator="equal">
      <formula>"Desactivado"</formula>
    </cfRule>
    <cfRule type="cellIs" dxfId="336" priority="2302" operator="equal">
      <formula>"Sobre Stock"</formula>
    </cfRule>
    <cfRule type="cellIs" dxfId="335" priority="2303" operator="equal">
      <formula>"Bajo Stock"</formula>
    </cfRule>
    <cfRule type="cellIs" dxfId="334" priority="2304" operator="equal">
      <formula>"Stock OK"</formula>
    </cfRule>
    <cfRule type="cellIs" dxfId="333" priority="2305" operator="equal">
      <formula>"Quiebre Stock"</formula>
    </cfRule>
  </conditionalFormatting>
  <conditionalFormatting sqref="M737:N737">
    <cfRule type="cellIs" dxfId="332" priority="2295" operator="equal">
      <formula>"Desactivado"</formula>
    </cfRule>
    <cfRule type="cellIs" dxfId="331" priority="2296" operator="equal">
      <formula>"Sobre Stock"</formula>
    </cfRule>
    <cfRule type="cellIs" dxfId="330" priority="2297" operator="equal">
      <formula>"Bajo Stock"</formula>
    </cfRule>
    <cfRule type="cellIs" dxfId="329" priority="2298" operator="equal">
      <formula>"Stock OK"</formula>
    </cfRule>
    <cfRule type="cellIs" dxfId="328" priority="2299" operator="equal">
      <formula>"Quiebre Stock"</formula>
    </cfRule>
  </conditionalFormatting>
  <conditionalFormatting sqref="M821:N821">
    <cfRule type="cellIs" dxfId="327" priority="2289" operator="equal">
      <formula>"Desactivado"</formula>
    </cfRule>
    <cfRule type="cellIs" dxfId="326" priority="2290" operator="equal">
      <formula>"Sobre Stock"</formula>
    </cfRule>
    <cfRule type="cellIs" dxfId="325" priority="2291" operator="equal">
      <formula>"Bajo Stock"</formula>
    </cfRule>
    <cfRule type="cellIs" dxfId="324" priority="2292" operator="equal">
      <formula>"Stock OK"</formula>
    </cfRule>
    <cfRule type="cellIs" dxfId="323" priority="2293" operator="equal">
      <formula>"Quiebre Stock"</formula>
    </cfRule>
  </conditionalFormatting>
  <conditionalFormatting sqref="M844:N844">
    <cfRule type="cellIs" dxfId="322" priority="2283" operator="equal">
      <formula>"Desactivado"</formula>
    </cfRule>
    <cfRule type="cellIs" dxfId="321" priority="2284" operator="equal">
      <formula>"Sobre Stock"</formula>
    </cfRule>
    <cfRule type="cellIs" dxfId="320" priority="2285" operator="equal">
      <formula>"Bajo Stock"</formula>
    </cfRule>
    <cfRule type="cellIs" dxfId="319" priority="2286" operator="equal">
      <formula>"Stock OK"</formula>
    </cfRule>
    <cfRule type="cellIs" dxfId="318" priority="2287" operator="equal">
      <formula>"Quiebre Stock"</formula>
    </cfRule>
  </conditionalFormatting>
  <conditionalFormatting sqref="M845:N845">
    <cfRule type="cellIs" dxfId="317" priority="2277" operator="equal">
      <formula>"Desactivado"</formula>
    </cfRule>
    <cfRule type="cellIs" dxfId="316" priority="2278" operator="equal">
      <formula>"Sobre Stock"</formula>
    </cfRule>
    <cfRule type="cellIs" dxfId="315" priority="2279" operator="equal">
      <formula>"Bajo Stock"</formula>
    </cfRule>
    <cfRule type="cellIs" dxfId="314" priority="2280" operator="equal">
      <formula>"Stock OK"</formula>
    </cfRule>
    <cfRule type="cellIs" dxfId="313" priority="2281" operator="equal">
      <formula>"Quiebre Stock"</formula>
    </cfRule>
  </conditionalFormatting>
  <conditionalFormatting sqref="N846">
    <cfRule type="cellIs" dxfId="312" priority="2271" operator="equal">
      <formula>"Desactivado"</formula>
    </cfRule>
    <cfRule type="cellIs" dxfId="311" priority="2272" operator="equal">
      <formula>"Sobre Stock"</formula>
    </cfRule>
    <cfRule type="cellIs" dxfId="310" priority="2273" operator="equal">
      <formula>"Bajo Stock"</formula>
    </cfRule>
    <cfRule type="cellIs" dxfId="309" priority="2274" operator="equal">
      <formula>"Stock OK"</formula>
    </cfRule>
    <cfRule type="cellIs" dxfId="308" priority="2275" operator="equal">
      <formula>"Quiebre Stock"</formula>
    </cfRule>
  </conditionalFormatting>
  <conditionalFormatting sqref="M847:N847">
    <cfRule type="cellIs" dxfId="307" priority="2265" operator="equal">
      <formula>"Desactivado"</formula>
    </cfRule>
    <cfRule type="cellIs" dxfId="306" priority="2266" operator="equal">
      <formula>"Sobre Stock"</formula>
    </cfRule>
    <cfRule type="cellIs" dxfId="305" priority="2267" operator="equal">
      <formula>"Bajo Stock"</formula>
    </cfRule>
    <cfRule type="cellIs" dxfId="304" priority="2268" operator="equal">
      <formula>"Stock OK"</formula>
    </cfRule>
    <cfRule type="cellIs" dxfId="303" priority="2269" operator="equal">
      <formula>"Quiebre Stock"</formula>
    </cfRule>
  </conditionalFormatting>
  <conditionalFormatting sqref="M870:N870">
    <cfRule type="cellIs" dxfId="302" priority="2229" operator="equal">
      <formula>"Desactivado"</formula>
    </cfRule>
    <cfRule type="cellIs" dxfId="301" priority="2230" operator="equal">
      <formula>"Sobre Stock"</formula>
    </cfRule>
    <cfRule type="cellIs" dxfId="300" priority="2231" operator="equal">
      <formula>"Bajo Stock"</formula>
    </cfRule>
    <cfRule type="cellIs" dxfId="299" priority="2232" operator="equal">
      <formula>"Stock OK"</formula>
    </cfRule>
    <cfRule type="cellIs" dxfId="298" priority="2233" operator="equal">
      <formula>"Quiebre Stock"</formula>
    </cfRule>
  </conditionalFormatting>
  <conditionalFormatting sqref="M871:N871">
    <cfRule type="cellIs" dxfId="297" priority="2223" operator="equal">
      <formula>"Desactivado"</formula>
    </cfRule>
    <cfRule type="cellIs" dxfId="296" priority="2224" operator="equal">
      <formula>"Sobre Stock"</formula>
    </cfRule>
    <cfRule type="cellIs" dxfId="295" priority="2225" operator="equal">
      <formula>"Bajo Stock"</formula>
    </cfRule>
    <cfRule type="cellIs" dxfId="294" priority="2226" operator="equal">
      <formula>"Stock OK"</formula>
    </cfRule>
    <cfRule type="cellIs" dxfId="293" priority="2227" operator="equal">
      <formula>"Quiebre Stock"</formula>
    </cfRule>
  </conditionalFormatting>
  <conditionalFormatting sqref="M363:N363">
    <cfRule type="cellIs" dxfId="292" priority="2187" operator="equal">
      <formula>"Desactivado"</formula>
    </cfRule>
    <cfRule type="cellIs" dxfId="291" priority="2188" operator="equal">
      <formula>"Sobre Stock"</formula>
    </cfRule>
    <cfRule type="cellIs" dxfId="290" priority="2189" operator="equal">
      <formula>"Bajo Stock"</formula>
    </cfRule>
    <cfRule type="cellIs" dxfId="289" priority="2190" operator="equal">
      <formula>"Stock OK"</formula>
    </cfRule>
    <cfRule type="cellIs" dxfId="288" priority="2191" operator="equal">
      <formula>"Quiebre Stock"</formula>
    </cfRule>
  </conditionalFormatting>
  <conditionalFormatting sqref="M466:N466">
    <cfRule type="cellIs" dxfId="287" priority="2181" operator="equal">
      <formula>"Desactivado"</formula>
    </cfRule>
    <cfRule type="cellIs" dxfId="286" priority="2182" operator="equal">
      <formula>"Sobre Stock"</formula>
    </cfRule>
    <cfRule type="cellIs" dxfId="285" priority="2183" operator="equal">
      <formula>"Bajo Stock"</formula>
    </cfRule>
    <cfRule type="cellIs" dxfId="284" priority="2184" operator="equal">
      <formula>"Stock OK"</formula>
    </cfRule>
    <cfRule type="cellIs" dxfId="283" priority="2185" operator="equal">
      <formula>"Quiebre Stock"</formula>
    </cfRule>
  </conditionalFormatting>
  <conditionalFormatting sqref="M78">
    <cfRule type="cellIs" dxfId="282" priority="2053" operator="equal">
      <formula>"Desactivado"</formula>
    </cfRule>
    <cfRule type="cellIs" dxfId="281" priority="2054" operator="equal">
      <formula>"Sobre Stock"</formula>
    </cfRule>
    <cfRule type="cellIs" dxfId="280" priority="2055" operator="equal">
      <formula>"Bajo Stock"</formula>
    </cfRule>
    <cfRule type="cellIs" dxfId="279" priority="2056" operator="equal">
      <formula>"Stock OK"</formula>
    </cfRule>
    <cfRule type="cellIs" dxfId="278" priority="2057" operator="equal">
      <formula>"Quiebre Stock"</formula>
    </cfRule>
  </conditionalFormatting>
  <conditionalFormatting sqref="N531">
    <cfRule type="cellIs" dxfId="277" priority="1824" operator="equal">
      <formula>"Desactivado"</formula>
    </cfRule>
    <cfRule type="cellIs" dxfId="276" priority="1825" operator="equal">
      <formula>"Sobre Stock"</formula>
    </cfRule>
    <cfRule type="cellIs" dxfId="275" priority="1826" operator="equal">
      <formula>"Bajo Stock"</formula>
    </cfRule>
    <cfRule type="cellIs" dxfId="274" priority="1827" operator="equal">
      <formula>"Stock OK"</formula>
    </cfRule>
    <cfRule type="cellIs" dxfId="273" priority="1828" operator="equal">
      <formula>"Quiebre Stock"</formula>
    </cfRule>
  </conditionalFormatting>
  <conditionalFormatting sqref="M531">
    <cfRule type="cellIs" dxfId="272" priority="1818" operator="equal">
      <formula>"Desactivado"</formula>
    </cfRule>
    <cfRule type="cellIs" dxfId="271" priority="1819" operator="equal">
      <formula>"Sobre Stock"</formula>
    </cfRule>
    <cfRule type="cellIs" dxfId="270" priority="1820" operator="equal">
      <formula>"Bajo Stock"</formula>
    </cfRule>
    <cfRule type="cellIs" dxfId="269" priority="1821" operator="equal">
      <formula>"Stock OK"</formula>
    </cfRule>
    <cfRule type="cellIs" dxfId="268" priority="1822" operator="equal">
      <formula>"Quiebre Stock"</formula>
    </cfRule>
  </conditionalFormatting>
  <conditionalFormatting sqref="M535">
    <cfRule type="cellIs" dxfId="267" priority="1803" operator="equal">
      <formula>"Desactivado"</formula>
    </cfRule>
    <cfRule type="cellIs" dxfId="266" priority="1804" operator="equal">
      <formula>"Sobre Stock"</formula>
    </cfRule>
    <cfRule type="cellIs" dxfId="265" priority="1805" operator="equal">
      <formula>"Bajo Stock"</formula>
    </cfRule>
    <cfRule type="cellIs" dxfId="264" priority="1806" operator="equal">
      <formula>"Stock OK"</formula>
    </cfRule>
    <cfRule type="cellIs" dxfId="263" priority="1807" operator="equal">
      <formula>"Quiebre Stock"</formula>
    </cfRule>
  </conditionalFormatting>
  <conditionalFormatting sqref="M536:N536">
    <cfRule type="cellIs" dxfId="262" priority="1792" operator="equal">
      <formula>"Desactivado"</formula>
    </cfRule>
    <cfRule type="cellIs" dxfId="261" priority="1793" operator="equal">
      <formula>"Sobre Stock"</formula>
    </cfRule>
    <cfRule type="cellIs" dxfId="260" priority="1794" operator="equal">
      <formula>"Bajo Stock"</formula>
    </cfRule>
    <cfRule type="cellIs" dxfId="259" priority="1795" operator="equal">
      <formula>"Stock OK"</formula>
    </cfRule>
    <cfRule type="cellIs" dxfId="258" priority="1796" operator="equal">
      <formula>"Quiebre Stock"</formula>
    </cfRule>
  </conditionalFormatting>
  <conditionalFormatting sqref="M537:N537">
    <cfRule type="cellIs" dxfId="257" priority="1781" operator="equal">
      <formula>"Desactivado"</formula>
    </cfRule>
    <cfRule type="cellIs" dxfId="256" priority="1782" operator="equal">
      <formula>"Sobre Stock"</formula>
    </cfRule>
    <cfRule type="cellIs" dxfId="255" priority="1783" operator="equal">
      <formula>"Bajo Stock"</formula>
    </cfRule>
    <cfRule type="cellIs" dxfId="254" priority="1784" operator="equal">
      <formula>"Stock OK"</formula>
    </cfRule>
    <cfRule type="cellIs" dxfId="253" priority="1785" operator="equal">
      <formula>"Quiebre Stock"</formula>
    </cfRule>
  </conditionalFormatting>
  <conditionalFormatting sqref="M540:N540">
    <cfRule type="cellIs" dxfId="252" priority="1770" operator="equal">
      <formula>"Desactivado"</formula>
    </cfRule>
    <cfRule type="cellIs" dxfId="251" priority="1771" operator="equal">
      <formula>"Sobre Stock"</formula>
    </cfRule>
    <cfRule type="cellIs" dxfId="250" priority="1772" operator="equal">
      <formula>"Bajo Stock"</formula>
    </cfRule>
    <cfRule type="cellIs" dxfId="249" priority="1773" operator="equal">
      <formula>"Stock OK"</formula>
    </cfRule>
    <cfRule type="cellIs" dxfId="248" priority="1774" operator="equal">
      <formula>"Quiebre Stock"</formula>
    </cfRule>
  </conditionalFormatting>
  <conditionalFormatting sqref="M544:N544">
    <cfRule type="cellIs" dxfId="247" priority="1759" operator="equal">
      <formula>"Desactivado"</formula>
    </cfRule>
    <cfRule type="cellIs" dxfId="246" priority="1760" operator="equal">
      <formula>"Sobre Stock"</formula>
    </cfRule>
    <cfRule type="cellIs" dxfId="245" priority="1761" operator="equal">
      <formula>"Bajo Stock"</formula>
    </cfRule>
    <cfRule type="cellIs" dxfId="244" priority="1762" operator="equal">
      <formula>"Stock OK"</formula>
    </cfRule>
    <cfRule type="cellIs" dxfId="243" priority="1763" operator="equal">
      <formula>"Quiebre Stock"</formula>
    </cfRule>
  </conditionalFormatting>
  <conditionalFormatting sqref="M546">
    <cfRule type="cellIs" dxfId="242" priority="1738" operator="equal">
      <formula>"Desactivado"</formula>
    </cfRule>
    <cfRule type="cellIs" dxfId="241" priority="1739" operator="equal">
      <formula>"Sobre Stock"</formula>
    </cfRule>
    <cfRule type="cellIs" dxfId="240" priority="1740" operator="equal">
      <formula>"Bajo Stock"</formula>
    </cfRule>
    <cfRule type="cellIs" dxfId="239" priority="1741" operator="equal">
      <formula>"Stock OK"</formula>
    </cfRule>
    <cfRule type="cellIs" dxfId="238" priority="1742" operator="equal">
      <formula>"Quiebre Stock"</formula>
    </cfRule>
  </conditionalFormatting>
  <conditionalFormatting sqref="N547">
    <cfRule type="cellIs" dxfId="237" priority="1733" operator="equal">
      <formula>"Desactivado"</formula>
    </cfRule>
    <cfRule type="cellIs" dxfId="236" priority="1734" operator="equal">
      <formula>"Sobre Stock"</formula>
    </cfRule>
    <cfRule type="cellIs" dxfId="235" priority="1735" operator="equal">
      <formula>"Bajo Stock"</formula>
    </cfRule>
    <cfRule type="cellIs" dxfId="234" priority="1736" operator="equal">
      <formula>"Stock OK"</formula>
    </cfRule>
    <cfRule type="cellIs" dxfId="233" priority="1737" operator="equal">
      <formula>"Quiebre Stock"</formula>
    </cfRule>
  </conditionalFormatting>
  <conditionalFormatting sqref="M547">
    <cfRule type="cellIs" dxfId="232" priority="1722" operator="equal">
      <formula>"Desactivado"</formula>
    </cfRule>
    <cfRule type="cellIs" dxfId="231" priority="1723" operator="equal">
      <formula>"Sobre Stock"</formula>
    </cfRule>
    <cfRule type="cellIs" dxfId="230" priority="1724" operator="equal">
      <formula>"Bajo Stock"</formula>
    </cfRule>
    <cfRule type="cellIs" dxfId="229" priority="1725" operator="equal">
      <formula>"Stock OK"</formula>
    </cfRule>
    <cfRule type="cellIs" dxfId="228" priority="1726" operator="equal">
      <formula>"Quiebre Stock"</formula>
    </cfRule>
  </conditionalFormatting>
  <conditionalFormatting sqref="M557:N557">
    <cfRule type="cellIs" dxfId="227" priority="1707" operator="equal">
      <formula>"Desactivado"</formula>
    </cfRule>
    <cfRule type="cellIs" dxfId="226" priority="1708" operator="equal">
      <formula>"Sobre Stock"</formula>
    </cfRule>
    <cfRule type="cellIs" dxfId="225" priority="1709" operator="equal">
      <formula>"Bajo Stock"</formula>
    </cfRule>
    <cfRule type="cellIs" dxfId="224" priority="1710" operator="equal">
      <formula>"Stock OK"</formula>
    </cfRule>
    <cfRule type="cellIs" dxfId="223" priority="1711" operator="equal">
      <formula>"Quiebre Stock"</formula>
    </cfRule>
  </conditionalFormatting>
  <conditionalFormatting sqref="M564:N564">
    <cfRule type="cellIs" dxfId="222" priority="1682" operator="equal">
      <formula>"Desactivado"</formula>
    </cfRule>
    <cfRule type="cellIs" dxfId="221" priority="1683" operator="equal">
      <formula>"Sobre Stock"</formula>
    </cfRule>
    <cfRule type="cellIs" dxfId="220" priority="1684" operator="equal">
      <formula>"Bajo Stock"</formula>
    </cfRule>
    <cfRule type="cellIs" dxfId="219" priority="1685" operator="equal">
      <formula>"Stock OK"</formula>
    </cfRule>
    <cfRule type="cellIs" dxfId="218" priority="1686" operator="equal">
      <formula>"Quiebre Stock"</formula>
    </cfRule>
  </conditionalFormatting>
  <conditionalFormatting sqref="M567:N567">
    <cfRule type="cellIs" dxfId="217" priority="1671" operator="equal">
      <formula>"Desactivado"</formula>
    </cfRule>
    <cfRule type="cellIs" dxfId="216" priority="1672" operator="equal">
      <formula>"Sobre Stock"</formula>
    </cfRule>
    <cfRule type="cellIs" dxfId="215" priority="1673" operator="equal">
      <formula>"Bajo Stock"</formula>
    </cfRule>
    <cfRule type="cellIs" dxfId="214" priority="1674" operator="equal">
      <formula>"Stock OK"</formula>
    </cfRule>
    <cfRule type="cellIs" dxfId="213" priority="1675" operator="equal">
      <formula>"Quiebre Stock"</formula>
    </cfRule>
  </conditionalFormatting>
  <conditionalFormatting sqref="M568:N568">
    <cfRule type="cellIs" dxfId="212" priority="1660" operator="equal">
      <formula>"Desactivado"</formula>
    </cfRule>
    <cfRule type="cellIs" dxfId="211" priority="1661" operator="equal">
      <formula>"Sobre Stock"</formula>
    </cfRule>
    <cfRule type="cellIs" dxfId="210" priority="1662" operator="equal">
      <formula>"Bajo Stock"</formula>
    </cfRule>
    <cfRule type="cellIs" dxfId="209" priority="1663" operator="equal">
      <formula>"Stock OK"</formula>
    </cfRule>
    <cfRule type="cellIs" dxfId="208" priority="1664" operator="equal">
      <formula>"Quiebre Stock"</formula>
    </cfRule>
  </conditionalFormatting>
  <conditionalFormatting sqref="M570:N570">
    <cfRule type="cellIs" dxfId="207" priority="1649" operator="equal">
      <formula>"Desactivado"</formula>
    </cfRule>
    <cfRule type="cellIs" dxfId="206" priority="1650" operator="equal">
      <formula>"Sobre Stock"</formula>
    </cfRule>
    <cfRule type="cellIs" dxfId="205" priority="1651" operator="equal">
      <formula>"Bajo Stock"</formula>
    </cfRule>
    <cfRule type="cellIs" dxfId="204" priority="1652" operator="equal">
      <formula>"Stock OK"</formula>
    </cfRule>
    <cfRule type="cellIs" dxfId="203" priority="1653" operator="equal">
      <formula>"Quiebre Stock"</formula>
    </cfRule>
  </conditionalFormatting>
  <conditionalFormatting sqref="M571:N571">
    <cfRule type="cellIs" dxfId="202" priority="1638" operator="equal">
      <formula>"Desactivado"</formula>
    </cfRule>
    <cfRule type="cellIs" dxfId="201" priority="1639" operator="equal">
      <formula>"Sobre Stock"</formula>
    </cfRule>
    <cfRule type="cellIs" dxfId="200" priority="1640" operator="equal">
      <formula>"Bajo Stock"</formula>
    </cfRule>
    <cfRule type="cellIs" dxfId="199" priority="1641" operator="equal">
      <formula>"Stock OK"</formula>
    </cfRule>
    <cfRule type="cellIs" dxfId="198" priority="1642" operator="equal">
      <formula>"Quiebre Stock"</formula>
    </cfRule>
  </conditionalFormatting>
  <conditionalFormatting sqref="M573:N573">
    <cfRule type="cellIs" dxfId="197" priority="1627" operator="equal">
      <formula>"Desactivado"</formula>
    </cfRule>
    <cfRule type="cellIs" dxfId="196" priority="1628" operator="equal">
      <formula>"Sobre Stock"</formula>
    </cfRule>
    <cfRule type="cellIs" dxfId="195" priority="1629" operator="equal">
      <formula>"Bajo Stock"</formula>
    </cfRule>
    <cfRule type="cellIs" dxfId="194" priority="1630" operator="equal">
      <formula>"Stock OK"</formula>
    </cfRule>
    <cfRule type="cellIs" dxfId="193" priority="1631" operator="equal">
      <formula>"Quiebre Stock"</formula>
    </cfRule>
  </conditionalFormatting>
  <conditionalFormatting sqref="M586:N586">
    <cfRule type="cellIs" dxfId="192" priority="1606" operator="equal">
      <formula>"Desactivado"</formula>
    </cfRule>
    <cfRule type="cellIs" dxfId="191" priority="1607" operator="equal">
      <formula>"Sobre Stock"</formula>
    </cfRule>
    <cfRule type="cellIs" dxfId="190" priority="1608" operator="equal">
      <formula>"Bajo Stock"</formula>
    </cfRule>
    <cfRule type="cellIs" dxfId="189" priority="1609" operator="equal">
      <formula>"Stock OK"</formula>
    </cfRule>
    <cfRule type="cellIs" dxfId="188" priority="1610" operator="equal">
      <formula>"Quiebre Stock"</formula>
    </cfRule>
  </conditionalFormatting>
  <conditionalFormatting sqref="M589:N589">
    <cfRule type="cellIs" dxfId="187" priority="1595" operator="equal">
      <formula>"Desactivado"</formula>
    </cfRule>
    <cfRule type="cellIs" dxfId="186" priority="1596" operator="equal">
      <formula>"Sobre Stock"</formula>
    </cfRule>
    <cfRule type="cellIs" dxfId="185" priority="1597" operator="equal">
      <formula>"Bajo Stock"</formula>
    </cfRule>
    <cfRule type="cellIs" dxfId="184" priority="1598" operator="equal">
      <formula>"Stock OK"</formula>
    </cfRule>
    <cfRule type="cellIs" dxfId="183" priority="1599" operator="equal">
      <formula>"Quiebre Stock"</formula>
    </cfRule>
  </conditionalFormatting>
  <conditionalFormatting sqref="M602:N602">
    <cfRule type="cellIs" dxfId="182" priority="1559" operator="equal">
      <formula>"Desactivado"</formula>
    </cfRule>
    <cfRule type="cellIs" dxfId="181" priority="1560" operator="equal">
      <formula>"Sobre Stock"</formula>
    </cfRule>
    <cfRule type="cellIs" dxfId="180" priority="1561" operator="equal">
      <formula>"Bajo Stock"</formula>
    </cfRule>
    <cfRule type="cellIs" dxfId="179" priority="1562" operator="equal">
      <formula>"Stock OK"</formula>
    </cfRule>
    <cfRule type="cellIs" dxfId="178" priority="1563" operator="equal">
      <formula>"Quiebre Stock"</formula>
    </cfRule>
  </conditionalFormatting>
  <conditionalFormatting sqref="M629:N629">
    <cfRule type="cellIs" dxfId="177" priority="1533" operator="equal">
      <formula>"Desactivado"</formula>
    </cfRule>
    <cfRule type="cellIs" dxfId="176" priority="1534" operator="equal">
      <formula>"Sobre Stock"</formula>
    </cfRule>
    <cfRule type="cellIs" dxfId="175" priority="1535" operator="equal">
      <formula>"Bajo Stock"</formula>
    </cfRule>
    <cfRule type="cellIs" dxfId="174" priority="1536" operator="equal">
      <formula>"Stock OK"</formula>
    </cfRule>
    <cfRule type="cellIs" dxfId="173" priority="1537" operator="equal">
      <formula>"Quiebre Stock"</formula>
    </cfRule>
  </conditionalFormatting>
  <conditionalFormatting sqref="M635:N635">
    <cfRule type="cellIs" dxfId="172" priority="1522" operator="equal">
      <formula>"Desactivado"</formula>
    </cfRule>
    <cfRule type="cellIs" dxfId="171" priority="1523" operator="equal">
      <formula>"Sobre Stock"</formula>
    </cfRule>
    <cfRule type="cellIs" dxfId="170" priority="1524" operator="equal">
      <formula>"Bajo Stock"</formula>
    </cfRule>
    <cfRule type="cellIs" dxfId="169" priority="1525" operator="equal">
      <formula>"Stock OK"</formula>
    </cfRule>
    <cfRule type="cellIs" dxfId="168" priority="1526" operator="equal">
      <formula>"Quiebre Stock"</formula>
    </cfRule>
  </conditionalFormatting>
  <conditionalFormatting sqref="M636:N636">
    <cfRule type="cellIs" dxfId="167" priority="1511" operator="equal">
      <formula>"Desactivado"</formula>
    </cfRule>
    <cfRule type="cellIs" dxfId="166" priority="1512" operator="equal">
      <formula>"Sobre Stock"</formula>
    </cfRule>
    <cfRule type="cellIs" dxfId="165" priority="1513" operator="equal">
      <formula>"Bajo Stock"</formula>
    </cfRule>
    <cfRule type="cellIs" dxfId="164" priority="1514" operator="equal">
      <formula>"Stock OK"</formula>
    </cfRule>
    <cfRule type="cellIs" dxfId="163" priority="1515" operator="equal">
      <formula>"Quiebre Stock"</formula>
    </cfRule>
  </conditionalFormatting>
  <conditionalFormatting sqref="M637:N637">
    <cfRule type="cellIs" dxfId="162" priority="1500" operator="equal">
      <formula>"Desactivado"</formula>
    </cfRule>
    <cfRule type="cellIs" dxfId="161" priority="1501" operator="equal">
      <formula>"Sobre Stock"</formula>
    </cfRule>
    <cfRule type="cellIs" dxfId="160" priority="1502" operator="equal">
      <formula>"Bajo Stock"</formula>
    </cfRule>
    <cfRule type="cellIs" dxfId="159" priority="1503" operator="equal">
      <formula>"Stock OK"</formula>
    </cfRule>
    <cfRule type="cellIs" dxfId="158" priority="1504" operator="equal">
      <formula>"Quiebre Stock"</formula>
    </cfRule>
  </conditionalFormatting>
  <conditionalFormatting sqref="N748">
    <cfRule type="cellIs" dxfId="157" priority="1434" operator="equal">
      <formula>"Desactivado"</formula>
    </cfRule>
    <cfRule type="cellIs" dxfId="156" priority="1435" operator="equal">
      <formula>"Sobre Stock"</formula>
    </cfRule>
    <cfRule type="cellIs" dxfId="155" priority="1436" operator="equal">
      <formula>"Bajo Stock"</formula>
    </cfRule>
    <cfRule type="cellIs" dxfId="154" priority="1437" operator="equal">
      <formula>"Stock OK"</formula>
    </cfRule>
    <cfRule type="cellIs" dxfId="153" priority="1438" operator="equal">
      <formula>"Quiebre Stock"</formula>
    </cfRule>
  </conditionalFormatting>
  <conditionalFormatting sqref="M766:N766">
    <cfRule type="cellIs" dxfId="152" priority="1423" operator="equal">
      <formula>"Desactivado"</formula>
    </cfRule>
    <cfRule type="cellIs" dxfId="151" priority="1424" operator="equal">
      <formula>"Sobre Stock"</formula>
    </cfRule>
    <cfRule type="cellIs" dxfId="150" priority="1425" operator="equal">
      <formula>"Bajo Stock"</formula>
    </cfRule>
    <cfRule type="cellIs" dxfId="149" priority="1426" operator="equal">
      <formula>"Stock OK"</formula>
    </cfRule>
    <cfRule type="cellIs" dxfId="148" priority="1427" operator="equal">
      <formula>"Quiebre Stock"</formula>
    </cfRule>
  </conditionalFormatting>
  <conditionalFormatting sqref="M935:N935">
    <cfRule type="cellIs" dxfId="147" priority="1372" operator="equal">
      <formula>"Desactivado"</formula>
    </cfRule>
    <cfRule type="cellIs" dxfId="146" priority="1373" operator="equal">
      <formula>"Sobre Stock"</formula>
    </cfRule>
    <cfRule type="cellIs" dxfId="145" priority="1374" operator="equal">
      <formula>"Bajo Stock"</formula>
    </cfRule>
    <cfRule type="cellIs" dxfId="144" priority="1375" operator="equal">
      <formula>"Stock OK"</formula>
    </cfRule>
    <cfRule type="cellIs" dxfId="143" priority="1376" operator="equal">
      <formula>"Quiebre Stock"</formula>
    </cfRule>
  </conditionalFormatting>
  <conditionalFormatting sqref="M936:N936">
    <cfRule type="cellIs" dxfId="142" priority="1361" operator="equal">
      <formula>"Desactivado"</formula>
    </cfRule>
    <cfRule type="cellIs" dxfId="141" priority="1362" operator="equal">
      <formula>"Sobre Stock"</formula>
    </cfRule>
    <cfRule type="cellIs" dxfId="140" priority="1363" operator="equal">
      <formula>"Bajo Stock"</formula>
    </cfRule>
    <cfRule type="cellIs" dxfId="139" priority="1364" operator="equal">
      <formula>"Stock OK"</formula>
    </cfRule>
    <cfRule type="cellIs" dxfId="138" priority="1365" operator="equal">
      <formula>"Quiebre Stock"</formula>
    </cfRule>
  </conditionalFormatting>
  <conditionalFormatting sqref="M937:N937">
    <cfRule type="cellIs" dxfId="137" priority="1350" operator="equal">
      <formula>"Desactivado"</formula>
    </cfRule>
    <cfRule type="cellIs" dxfId="136" priority="1351" operator="equal">
      <formula>"Sobre Stock"</formula>
    </cfRule>
    <cfRule type="cellIs" dxfId="135" priority="1352" operator="equal">
      <formula>"Bajo Stock"</formula>
    </cfRule>
    <cfRule type="cellIs" dxfId="134" priority="1353" operator="equal">
      <formula>"Stock OK"</formula>
    </cfRule>
    <cfRule type="cellIs" dxfId="133" priority="1354" operator="equal">
      <formula>"Quiebre Stock"</formula>
    </cfRule>
  </conditionalFormatting>
  <conditionalFormatting sqref="M715 M649">
    <cfRule type="cellIs" dxfId="132" priority="1049" operator="equal">
      <formula>"Desactivado"</formula>
    </cfRule>
    <cfRule type="cellIs" dxfId="131" priority="1050" operator="equal">
      <formula>"Sobre Stock"</formula>
    </cfRule>
    <cfRule type="cellIs" dxfId="130" priority="1051" operator="equal">
      <formula>"Bajo Stock"</formula>
    </cfRule>
    <cfRule type="cellIs" dxfId="129" priority="1052" operator="equal">
      <formula>"Stock OK"</formula>
    </cfRule>
    <cfRule type="cellIs" dxfId="128" priority="1053" operator="equal">
      <formula>"Quiebre Stock"</formula>
    </cfRule>
  </conditionalFormatting>
  <conditionalFormatting sqref="M650">
    <cfRule type="cellIs" dxfId="127" priority="1044" operator="equal">
      <formula>"Desactivado"</formula>
    </cfRule>
    <cfRule type="cellIs" dxfId="126" priority="1045" operator="equal">
      <formula>"Sobre Stock"</formula>
    </cfRule>
    <cfRule type="cellIs" dxfId="125" priority="1046" operator="equal">
      <formula>"Bajo Stock"</formula>
    </cfRule>
    <cfRule type="cellIs" dxfId="124" priority="1047" operator="equal">
      <formula>"Stock OK"</formula>
    </cfRule>
    <cfRule type="cellIs" dxfId="123" priority="1048" operator="equal">
      <formula>"Quiebre Stock"</formula>
    </cfRule>
  </conditionalFormatting>
  <conditionalFormatting sqref="M4">
    <cfRule type="cellIs" dxfId="122" priority="1014" operator="equal">
      <formula>"Desactivado"</formula>
    </cfRule>
    <cfRule type="cellIs" dxfId="121" priority="1015" operator="equal">
      <formula>"Sobre Stock"</formula>
    </cfRule>
    <cfRule type="cellIs" dxfId="120" priority="1016" operator="equal">
      <formula>"Bajo Stock"</formula>
    </cfRule>
    <cfRule type="cellIs" dxfId="119" priority="1017" operator="equal">
      <formula>"Stock OK"</formula>
    </cfRule>
    <cfRule type="cellIs" dxfId="118" priority="1018" operator="equal">
      <formula>"Quiebre Stock"</formula>
    </cfRule>
  </conditionalFormatting>
  <conditionalFormatting sqref="M5">
    <cfRule type="cellIs" dxfId="117" priority="1009" operator="equal">
      <formula>"Desactivado"</formula>
    </cfRule>
    <cfRule type="cellIs" dxfId="116" priority="1010" operator="equal">
      <formula>"Sobre Stock"</formula>
    </cfRule>
    <cfRule type="cellIs" dxfId="115" priority="1011" operator="equal">
      <formula>"Bajo Stock"</formula>
    </cfRule>
    <cfRule type="cellIs" dxfId="114" priority="1012" operator="equal">
      <formula>"Stock OK"</formula>
    </cfRule>
    <cfRule type="cellIs" dxfId="113" priority="1013" operator="equal">
      <formula>"Quiebre Stock"</formula>
    </cfRule>
  </conditionalFormatting>
  <conditionalFormatting sqref="M7">
    <cfRule type="cellIs" dxfId="112" priority="1004" operator="equal">
      <formula>"Desactivado"</formula>
    </cfRule>
    <cfRule type="cellIs" dxfId="111" priority="1005" operator="equal">
      <formula>"Sobre Stock"</formula>
    </cfRule>
    <cfRule type="cellIs" dxfId="110" priority="1006" operator="equal">
      <formula>"Bajo Stock"</formula>
    </cfRule>
    <cfRule type="cellIs" dxfId="109" priority="1007" operator="equal">
      <formula>"Stock OK"</formula>
    </cfRule>
    <cfRule type="cellIs" dxfId="108" priority="1008" operator="equal">
      <formula>"Quiebre Stock"</formula>
    </cfRule>
  </conditionalFormatting>
  <conditionalFormatting sqref="M6">
    <cfRule type="cellIs" dxfId="107" priority="999" operator="equal">
      <formula>"Desactivado"</formula>
    </cfRule>
    <cfRule type="cellIs" dxfId="106" priority="1000" operator="equal">
      <formula>"Sobre Stock"</formula>
    </cfRule>
    <cfRule type="cellIs" dxfId="105" priority="1001" operator="equal">
      <formula>"Bajo Stock"</formula>
    </cfRule>
    <cfRule type="cellIs" dxfId="104" priority="1002" operator="equal">
      <formula>"Stock OK"</formula>
    </cfRule>
    <cfRule type="cellIs" dxfId="103" priority="1003" operator="equal">
      <formula>"Quiebre Stock"</formula>
    </cfRule>
  </conditionalFormatting>
  <conditionalFormatting pivot="1" sqref="N4">
    <cfRule type="cellIs" dxfId="102" priority="994" operator="equal">
      <formula>"Desactivado"</formula>
    </cfRule>
    <cfRule type="cellIs" dxfId="101" priority="995" operator="equal">
      <formula>"Sobre Stock"</formula>
    </cfRule>
    <cfRule type="cellIs" dxfId="100" priority="996" operator="equal">
      <formula>"Bajo Stock"</formula>
    </cfRule>
    <cfRule type="cellIs" dxfId="99" priority="997" operator="equal">
      <formula>"Stock OK"</formula>
    </cfRule>
    <cfRule type="cellIs" dxfId="98" priority="998" operator="equal">
      <formula>"Quiebre Stock"</formula>
    </cfRule>
  </conditionalFormatting>
  <conditionalFormatting sqref="M846">
    <cfRule type="cellIs" dxfId="97" priority="674" operator="equal">
      <formula>"Desactivado"</formula>
    </cfRule>
    <cfRule type="cellIs" dxfId="96" priority="675" operator="equal">
      <formula>"Sobre Stock"</formula>
    </cfRule>
    <cfRule type="cellIs" dxfId="95" priority="676" operator="equal">
      <formula>"Bajo Stock"</formula>
    </cfRule>
    <cfRule type="cellIs" dxfId="94" priority="677" operator="equal">
      <formula>"Stock OK"</formula>
    </cfRule>
    <cfRule type="cellIs" dxfId="93" priority="678" operator="equal">
      <formula>"Quiebre Stock"</formula>
    </cfRule>
  </conditionalFormatting>
  <conditionalFormatting sqref="M864">
    <cfRule type="cellIs" dxfId="92" priority="664" operator="equal">
      <formula>"Desactivado"</formula>
    </cfRule>
    <cfRule type="cellIs" dxfId="91" priority="665" operator="equal">
      <formula>"Sobre Stock"</formula>
    </cfRule>
    <cfRule type="cellIs" dxfId="90" priority="666" operator="equal">
      <formula>"Bajo Stock"</formula>
    </cfRule>
    <cfRule type="cellIs" dxfId="89" priority="667" operator="equal">
      <formula>"Stock OK"</formula>
    </cfRule>
    <cfRule type="cellIs" dxfId="88" priority="668" operator="equal">
      <formula>"Quiebre Stock"</formula>
    </cfRule>
  </conditionalFormatting>
  <conditionalFormatting sqref="M946">
    <cfRule type="cellIs" dxfId="87" priority="504" operator="equal">
      <formula>"Desactivado"</formula>
    </cfRule>
    <cfRule type="cellIs" dxfId="86" priority="505" operator="equal">
      <formula>"Sobre Stock"</formula>
    </cfRule>
    <cfRule type="cellIs" dxfId="85" priority="506" operator="equal">
      <formula>"Bajo Stock"</formula>
    </cfRule>
    <cfRule type="cellIs" dxfId="84" priority="507" operator="equal">
      <formula>"Stock OK"</formula>
    </cfRule>
    <cfRule type="cellIs" dxfId="83" priority="508" operator="equal">
      <formula>"Quiebre Stock"</formula>
    </cfRule>
  </conditionalFormatting>
  <conditionalFormatting sqref="N1074:N1075">
    <cfRule type="cellIs" dxfId="82" priority="90" operator="equal">
      <formula>"Desactivado"</formula>
    </cfRule>
    <cfRule type="cellIs" dxfId="81" priority="91" operator="equal">
      <formula>"Sobre Stock"</formula>
    </cfRule>
    <cfRule type="cellIs" dxfId="80" priority="92" operator="equal">
      <formula>"Bajo Stock"</formula>
    </cfRule>
    <cfRule type="cellIs" dxfId="79" priority="93" operator="equal">
      <formula>"Stock OK"</formula>
    </cfRule>
    <cfRule type="cellIs" dxfId="78" priority="94" operator="equal">
      <formula>"Quiebre Stock"</formula>
    </cfRule>
  </conditionalFormatting>
  <conditionalFormatting sqref="Q1074:Q1075">
    <cfRule type="cellIs" dxfId="77" priority="89" operator="lessThan">
      <formula>TODAY()</formula>
    </cfRule>
  </conditionalFormatting>
  <conditionalFormatting sqref="N530">
    <cfRule type="cellIs" dxfId="76" priority="78" operator="equal">
      <formula>"Desactivado"</formula>
    </cfRule>
    <cfRule type="cellIs" dxfId="75" priority="79" operator="equal">
      <formula>"Sobre Stock"</formula>
    </cfRule>
    <cfRule type="cellIs" dxfId="74" priority="80" operator="equal">
      <formula>"Bajo Stock"</formula>
    </cfRule>
    <cfRule type="cellIs" dxfId="73" priority="81" operator="equal">
      <formula>"Stock OK"</formula>
    </cfRule>
    <cfRule type="cellIs" dxfId="72" priority="82" operator="equal">
      <formula>"Quiebre Stock"</formula>
    </cfRule>
  </conditionalFormatting>
  <conditionalFormatting sqref="Q530">
    <cfRule type="cellIs" dxfId="71" priority="77" operator="lessThan">
      <formula>TODAY()</formula>
    </cfRule>
  </conditionalFormatting>
  <conditionalFormatting sqref="N532">
    <cfRule type="cellIs" dxfId="70" priority="72" operator="equal">
      <formula>"Desactivado"</formula>
    </cfRule>
    <cfRule type="cellIs" dxfId="69" priority="73" operator="equal">
      <formula>"Sobre Stock"</formula>
    </cfRule>
    <cfRule type="cellIs" dxfId="68" priority="74" operator="equal">
      <formula>"Bajo Stock"</formula>
    </cfRule>
    <cfRule type="cellIs" dxfId="67" priority="75" operator="equal">
      <formula>"Stock OK"</formula>
    </cfRule>
    <cfRule type="cellIs" dxfId="66" priority="76" operator="equal">
      <formula>"Quiebre Stock"</formula>
    </cfRule>
  </conditionalFormatting>
  <conditionalFormatting sqref="Q532">
    <cfRule type="cellIs" dxfId="65" priority="71" operator="lessThan">
      <formula>TODAY()</formula>
    </cfRule>
  </conditionalFormatting>
  <conditionalFormatting sqref="N533">
    <cfRule type="cellIs" dxfId="64" priority="66" operator="equal">
      <formula>"Desactivado"</formula>
    </cfRule>
    <cfRule type="cellIs" dxfId="63" priority="67" operator="equal">
      <formula>"Sobre Stock"</formula>
    </cfRule>
    <cfRule type="cellIs" dxfId="62" priority="68" operator="equal">
      <formula>"Bajo Stock"</formula>
    </cfRule>
    <cfRule type="cellIs" dxfId="61" priority="69" operator="equal">
      <formula>"Stock OK"</formula>
    </cfRule>
    <cfRule type="cellIs" dxfId="60" priority="70" operator="equal">
      <formula>"Quiebre Stock"</formula>
    </cfRule>
  </conditionalFormatting>
  <conditionalFormatting sqref="Q533">
    <cfRule type="cellIs" dxfId="59" priority="65" operator="lessThan">
      <formula>TODAY()</formula>
    </cfRule>
  </conditionalFormatting>
  <conditionalFormatting sqref="N534">
    <cfRule type="cellIs" dxfId="58" priority="60" operator="equal">
      <formula>"Desactivado"</formula>
    </cfRule>
    <cfRule type="cellIs" dxfId="57" priority="61" operator="equal">
      <formula>"Sobre Stock"</formula>
    </cfRule>
    <cfRule type="cellIs" dxfId="56" priority="62" operator="equal">
      <formula>"Bajo Stock"</formula>
    </cfRule>
    <cfRule type="cellIs" dxfId="55" priority="63" operator="equal">
      <formula>"Stock OK"</formula>
    </cfRule>
    <cfRule type="cellIs" dxfId="54" priority="64" operator="equal">
      <formula>"Quiebre Stock"</formula>
    </cfRule>
  </conditionalFormatting>
  <conditionalFormatting sqref="Q534:Q535">
    <cfRule type="cellIs" dxfId="53" priority="59" operator="lessThan">
      <formula>TODAY()</formula>
    </cfRule>
  </conditionalFormatting>
  <conditionalFormatting sqref="N535">
    <cfRule type="cellIs" dxfId="52" priority="54" operator="equal">
      <formula>"Desactivado"</formula>
    </cfRule>
    <cfRule type="cellIs" dxfId="51" priority="55" operator="equal">
      <formula>"Sobre Stock"</formula>
    </cfRule>
    <cfRule type="cellIs" dxfId="50" priority="56" operator="equal">
      <formula>"Bajo Stock"</formula>
    </cfRule>
    <cfRule type="cellIs" dxfId="49" priority="57" operator="equal">
      <formula>"Stock OK"</formula>
    </cfRule>
    <cfRule type="cellIs" dxfId="48" priority="58" operator="equal">
      <formula>"Quiebre Stock"</formula>
    </cfRule>
  </conditionalFormatting>
  <conditionalFormatting sqref="N515">
    <cfRule type="cellIs" dxfId="47" priority="49" operator="equal">
      <formula>"Desactivado"</formula>
    </cfRule>
    <cfRule type="cellIs" dxfId="46" priority="50" operator="equal">
      <formula>"Sobre Stock"</formula>
    </cfRule>
    <cfRule type="cellIs" dxfId="45" priority="51" operator="equal">
      <formula>"Bajo Stock"</formula>
    </cfRule>
    <cfRule type="cellIs" dxfId="44" priority="52" operator="equal">
      <formula>"Stock OK"</formula>
    </cfRule>
    <cfRule type="cellIs" dxfId="43" priority="53" operator="equal">
      <formula>"Quiebre Stock"</formula>
    </cfRule>
  </conditionalFormatting>
  <conditionalFormatting sqref="Q515">
    <cfRule type="cellIs" dxfId="42" priority="48" operator="lessThan">
      <formula>TODAY()</formula>
    </cfRule>
  </conditionalFormatting>
  <conditionalFormatting sqref="M530">
    <cfRule type="cellIs" dxfId="41" priority="40" operator="equal">
      <formula>"Desactivado"</formula>
    </cfRule>
    <cfRule type="cellIs" dxfId="40" priority="41" operator="equal">
      <formula>"Sobre Stock"</formula>
    </cfRule>
    <cfRule type="cellIs" dxfId="39" priority="42" operator="equal">
      <formula>"Bajo Stock"</formula>
    </cfRule>
    <cfRule type="cellIs" dxfId="38" priority="43" operator="equal">
      <formula>"Stock OK"</formula>
    </cfRule>
    <cfRule type="cellIs" dxfId="37" priority="44" operator="equal">
      <formula>"Quiebre Stock"</formula>
    </cfRule>
  </conditionalFormatting>
  <conditionalFormatting sqref="M596:M598">
    <cfRule type="cellIs" dxfId="36" priority="35" operator="equal">
      <formula>"Desactivado"</formula>
    </cfRule>
    <cfRule type="cellIs" dxfId="35" priority="36" operator="equal">
      <formula>"Sobre Stock"</formula>
    </cfRule>
    <cfRule type="cellIs" dxfId="34" priority="37" operator="equal">
      <formula>"Bajo Stock"</formula>
    </cfRule>
    <cfRule type="cellIs" dxfId="33" priority="38" operator="equal">
      <formula>"Stock OK"</formula>
    </cfRule>
    <cfRule type="cellIs" dxfId="32" priority="39" operator="equal">
      <formula>"Quiebre Stock"</formula>
    </cfRule>
  </conditionalFormatting>
  <conditionalFormatting sqref="L1109">
    <cfRule type="expression" dxfId="31" priority="22">
      <formula>AND($M1109&lt;&gt;"",$Q1109&lt;TODAY(),$E1109="A",$J1109="Quiebre Stock")</formula>
    </cfRule>
  </conditionalFormatting>
  <conditionalFormatting sqref="L1192">
    <cfRule type="expression" dxfId="30" priority="20">
      <formula>AND($M1192&lt;&gt;"",$Q1192&lt;TODAY(),$E1192="A",$J1192="Quiebre Stock")</formula>
    </cfRule>
  </conditionalFormatting>
  <conditionalFormatting sqref="B17:B1323">
    <cfRule type="duplicateValues" dxfId="29" priority="6709"/>
    <cfRule type="duplicateValues" dxfId="28" priority="6710"/>
    <cfRule type="duplicateValues" dxfId="27" priority="6711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5" x14ac:dyDescent="0.25"/>
  <sheetData>
    <row r="1" spans="1:1" x14ac:dyDescent="0.25">
      <c r="A1" s="33"/>
    </row>
    <row r="2" spans="1:1" x14ac:dyDescent="0.25">
      <c r="A2" s="33"/>
    </row>
    <row r="3" spans="1:1" x14ac:dyDescent="0.25">
      <c r="A3" s="33"/>
    </row>
    <row r="4" spans="1:1" x14ac:dyDescent="0.25">
      <c r="A4" s="33"/>
    </row>
    <row r="5" spans="1:1" x14ac:dyDescent="0.25">
      <c r="A5" s="33"/>
    </row>
    <row r="6" spans="1:1" x14ac:dyDescent="0.25">
      <c r="A6" s="33"/>
    </row>
    <row r="7" spans="1:1" x14ac:dyDescent="0.25">
      <c r="A7" s="33"/>
    </row>
    <row r="8" spans="1:1" x14ac:dyDescent="0.25">
      <c r="A8" s="33"/>
    </row>
    <row r="9" spans="1:1" x14ac:dyDescent="0.25">
      <c r="A9" s="33"/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  <row r="20" spans="1:1" x14ac:dyDescent="0.25">
      <c r="A20" s="33"/>
    </row>
    <row r="21" spans="1:1" x14ac:dyDescent="0.25">
      <c r="A21" s="33"/>
    </row>
    <row r="22" spans="1:1" x14ac:dyDescent="0.25">
      <c r="A22" s="33"/>
    </row>
    <row r="23" spans="1:1" x14ac:dyDescent="0.25">
      <c r="A23" s="33"/>
    </row>
    <row r="24" spans="1:1" x14ac:dyDescent="0.25">
      <c r="A24" s="33"/>
    </row>
    <row r="25" spans="1:1" x14ac:dyDescent="0.25">
      <c r="A25" s="33"/>
    </row>
    <row r="26" spans="1:1" x14ac:dyDescent="0.25">
      <c r="A26" s="33"/>
    </row>
    <row r="27" spans="1:1" x14ac:dyDescent="0.25">
      <c r="A27" s="33"/>
    </row>
    <row r="28" spans="1:1" x14ac:dyDescent="0.25">
      <c r="A28" s="33"/>
    </row>
    <row r="29" spans="1:1" x14ac:dyDescent="0.25">
      <c r="A29" s="33"/>
    </row>
    <row r="30" spans="1:1" x14ac:dyDescent="0.25">
      <c r="A30" s="33"/>
    </row>
    <row r="31" spans="1:1" x14ac:dyDescent="0.25">
      <c r="A31" s="33"/>
    </row>
    <row r="32" spans="1:1" x14ac:dyDescent="0.25">
      <c r="A32" s="33"/>
    </row>
    <row r="33" spans="1:1" x14ac:dyDescent="0.25">
      <c r="A33" s="33"/>
    </row>
    <row r="34" spans="1:1" x14ac:dyDescent="0.25">
      <c r="A34" s="51"/>
    </row>
  </sheetData>
  <conditionalFormatting sqref="A1:A34">
    <cfRule type="duplicateValues" dxfId="26" priority="1"/>
    <cfRule type="duplicateValues" dxfId="25" priority="2"/>
    <cfRule type="duplicateValues" dxfId="24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5" x14ac:dyDescent="0.25"/>
  <cols>
    <col min="2" max="2" width="45.85546875" bestFit="1" customWidth="1"/>
    <col min="10" max="10" width="12.85546875" bestFit="1" customWidth="1"/>
    <col min="11" max="11" width="16.42578125" customWidth="1"/>
  </cols>
  <sheetData>
    <row r="3" spans="1:11" ht="18.75" x14ac:dyDescent="0.25">
      <c r="B3" s="63" t="s">
        <v>1560</v>
      </c>
    </row>
    <row r="4" spans="1:11" ht="21" x14ac:dyDescent="0.25">
      <c r="B4" s="58">
        <f>AVERAGE(K8:K1318)</f>
        <v>1.72993131461297</v>
      </c>
    </row>
    <row r="7" spans="1:11" ht="30" x14ac:dyDescent="0.2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1561</v>
      </c>
    </row>
    <row r="8" spans="1:11" hidden="1" x14ac:dyDescent="0.2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2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2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2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2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2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2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2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2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25">
      <c r="A17" s="33">
        <v>20004927</v>
      </c>
      <c r="B17" s="36" t="s">
        <v>1405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2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2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2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2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2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2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2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2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2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2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2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2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25">
      <c r="A30" s="33">
        <v>20005070</v>
      </c>
      <c r="B30" s="36" t="s">
        <v>1449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2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2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2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2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2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25">
      <c r="A36" s="33">
        <v>20005210</v>
      </c>
      <c r="B36" s="36" t="s">
        <v>1415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2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25">
      <c r="A38" s="33">
        <v>20005221</v>
      </c>
      <c r="B38" s="36" t="s">
        <v>1433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2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2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2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2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25">
      <c r="A43" s="33">
        <v>20005258</v>
      </c>
      <c r="B43" s="36" t="s">
        <v>1406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2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2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2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2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25">
      <c r="A48" s="33">
        <v>20005318</v>
      </c>
      <c r="B48" s="36" t="s">
        <v>1450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2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2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2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2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2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2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2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2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2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2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2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2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2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2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25">
      <c r="A63" s="33">
        <v>20005513</v>
      </c>
      <c r="B63" s="36" t="s">
        <v>1423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2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25">
      <c r="A65" s="33">
        <v>20005575</v>
      </c>
      <c r="B65" s="36" t="s">
        <v>1435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25">
      <c r="A66" s="33">
        <v>20005576</v>
      </c>
      <c r="B66" s="36" t="s">
        <v>1436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2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25">
      <c r="A68" s="33">
        <v>20005577</v>
      </c>
      <c r="B68" s="36" t="s">
        <v>1437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2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2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2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2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25">
      <c r="A73" s="33">
        <v>20005899</v>
      </c>
      <c r="B73" s="36" t="s">
        <v>1454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2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2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2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2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2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2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2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2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2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2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2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25">
      <c r="A85" s="33">
        <v>20006156</v>
      </c>
      <c r="B85" s="36" t="s">
        <v>1434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2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2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2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2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2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2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2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2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2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2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2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2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2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2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25">
      <c r="A100" s="33">
        <v>20007143</v>
      </c>
      <c r="B100" s="36" t="s">
        <v>1548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2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2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2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25">
      <c r="A104" s="33">
        <v>20007184</v>
      </c>
      <c r="B104" s="36" t="s">
        <v>1455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2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2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2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2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2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2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2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25">
      <c r="A112" s="33">
        <v>20007327</v>
      </c>
      <c r="B112" s="36" t="s">
        <v>1416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2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2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2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2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25">
      <c r="A117" s="33">
        <v>20007335</v>
      </c>
      <c r="B117" s="36" t="s">
        <v>1488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2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25">
      <c r="A119" s="33">
        <v>20007338</v>
      </c>
      <c r="B119" s="36" t="s">
        <v>1489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2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2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25">
      <c r="A122" s="33">
        <v>20007928</v>
      </c>
      <c r="B122" s="36" t="s">
        <v>1520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2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2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2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2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2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25">
      <c r="A128" s="33">
        <v>20007824</v>
      </c>
      <c r="B128" s="36" t="s">
        <v>1494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2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2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25">
      <c r="A131" s="33">
        <v>20007855</v>
      </c>
      <c r="B131" s="36" t="s">
        <v>1521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2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2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2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2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2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2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2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2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2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2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2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2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2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2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2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2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2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2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2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2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2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2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2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2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2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2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2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2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2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2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2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2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2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2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2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2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2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2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25">
      <c r="A170" s="33">
        <v>20009765</v>
      </c>
      <c r="B170" s="36" t="s">
        <v>1490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2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2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2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2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2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2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2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2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2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2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2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2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2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2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2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2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2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2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2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2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2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25">
      <c r="A192" s="33">
        <v>20011937</v>
      </c>
      <c r="B192" s="36" t="s">
        <v>1407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2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25">
      <c r="A194" s="33">
        <v>20011953</v>
      </c>
      <c r="B194" s="36" t="s">
        <v>1525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25">
      <c r="A195" s="33">
        <v>20011956</v>
      </c>
      <c r="B195" s="36" t="s">
        <v>1431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2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2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2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2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2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2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2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2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2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2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25">
      <c r="A206" s="33">
        <v>20012175</v>
      </c>
      <c r="B206" s="36" t="s">
        <v>1408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2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2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25">
      <c r="A209" s="33">
        <v>20012220</v>
      </c>
      <c r="B209" s="36" t="s">
        <v>1526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2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2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2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2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25">
      <c r="A214" s="33">
        <v>20012269</v>
      </c>
      <c r="B214" s="36" t="s">
        <v>1498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2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2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2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2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2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2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2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2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25">
      <c r="A223" s="33">
        <v>20012350</v>
      </c>
      <c r="B223" s="36" t="s">
        <v>1499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2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2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25">
      <c r="A226" s="33">
        <v>20012364</v>
      </c>
      <c r="B226" s="36" t="s">
        <v>1472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25">
      <c r="A227" s="33">
        <v>20012365</v>
      </c>
      <c r="B227" s="36" t="s">
        <v>1500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2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25">
      <c r="A229" s="33">
        <v>20012367</v>
      </c>
      <c r="B229" s="36" t="s">
        <v>1501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2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2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25">
      <c r="A232" s="33">
        <v>20012380</v>
      </c>
      <c r="B232" s="36" t="s">
        <v>1410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2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2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2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2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2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2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2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2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2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2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2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2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2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2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2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2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2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2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2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2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2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2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2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2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2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2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2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2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2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2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2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2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2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2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2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2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2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2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2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2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2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2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2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2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2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2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2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2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2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2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2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2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2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2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2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2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25">
      <c r="A289" s="33">
        <v>20015136</v>
      </c>
      <c r="B289" s="36" t="s">
        <v>1473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2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2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2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2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2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2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25">
      <c r="A296" s="33">
        <v>20015638</v>
      </c>
      <c r="B296" s="36" t="s">
        <v>1411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2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2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2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25">
      <c r="A300" s="33">
        <v>20016025</v>
      </c>
      <c r="B300" s="36" t="s">
        <v>1549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2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2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2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2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2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25">
      <c r="A306" s="33">
        <v>20016983</v>
      </c>
      <c r="B306" s="36" t="s">
        <v>1527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2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2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2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25">
      <c r="A310" s="33">
        <v>20017830</v>
      </c>
      <c r="B310" s="36" t="s">
        <v>1412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2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25">
      <c r="A312" s="33">
        <v>20018239</v>
      </c>
      <c r="B312" s="36" t="s">
        <v>1532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2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25">
      <c r="A314" s="33">
        <v>20018240</v>
      </c>
      <c r="B314" s="36" t="s">
        <v>1533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2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2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2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2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2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25">
      <c r="A320" s="33">
        <v>20018778</v>
      </c>
      <c r="B320" s="36" t="s">
        <v>1534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25">
      <c r="A321" s="33">
        <v>20018779</v>
      </c>
      <c r="B321" s="36" t="s">
        <v>1535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2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2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2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2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2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2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25">
      <c r="A328" s="33">
        <v>20019671</v>
      </c>
      <c r="B328" s="36" t="s">
        <v>1484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2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2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2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2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2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2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2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2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2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2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2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2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2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2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2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2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2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2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2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2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2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2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2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2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2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2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2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2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2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2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2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2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2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2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2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2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2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2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2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2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2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2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25">
      <c r="A371" s="33">
        <v>20020351</v>
      </c>
      <c r="B371" s="36" t="s">
        <v>1530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2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2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2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2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2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2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2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2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2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2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2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2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2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2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2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2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2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2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25">
      <c r="A390" s="33">
        <v>20020513</v>
      </c>
      <c r="B390" s="36" t="s">
        <v>1528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2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2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2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2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2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2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2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2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2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2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2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2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2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2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2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2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2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2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2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2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2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2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2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25">
      <c r="A414" s="33">
        <v>20021816</v>
      </c>
      <c r="B414" s="36" t="s">
        <v>1428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2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2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2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2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2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2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2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2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25">
      <c r="A423" s="33">
        <v>20021665</v>
      </c>
      <c r="B423" s="36" t="s">
        <v>1491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2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2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2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2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2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2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2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2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2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2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2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2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2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2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2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2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2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2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2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2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2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2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2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2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2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2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2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2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2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2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2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2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2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2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2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2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2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2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2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25">
      <c r="A463" s="33">
        <v>20023885</v>
      </c>
      <c r="B463" s="36" t="s">
        <v>1444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25">
      <c r="A464" s="33">
        <v>20023886</v>
      </c>
      <c r="B464" s="36" t="s">
        <v>1531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2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2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2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2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2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2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2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2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2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2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2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2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2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2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2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2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2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2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2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2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2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2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2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2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2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2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2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2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2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2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2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2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2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2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2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2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2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2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25">
      <c r="A503" s="33">
        <v>20025047</v>
      </c>
      <c r="B503" s="36" t="s">
        <v>1497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2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2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25">
      <c r="A506" s="33">
        <v>20025287</v>
      </c>
      <c r="B506" s="36" t="s">
        <v>1492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2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2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2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25">
      <c r="A510" s="33">
        <v>20025461</v>
      </c>
      <c r="B510" s="36" t="s">
        <v>1399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2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25">
      <c r="A512" s="33">
        <v>20025466</v>
      </c>
      <c r="B512" s="36" t="s">
        <v>1485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25">
      <c r="A513" s="33">
        <v>20025553</v>
      </c>
      <c r="B513" s="36" t="s">
        <v>1481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2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2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2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2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2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2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2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2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2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2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2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2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2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2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2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2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2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2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2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2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2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2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2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2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2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2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25">
      <c r="A540" s="33">
        <v>20026030</v>
      </c>
      <c r="B540" s="36" t="s">
        <v>1551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2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2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2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2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2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2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2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2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2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2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2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2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2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2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2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25">
      <c r="A556" s="33">
        <v>20026390</v>
      </c>
      <c r="B556" s="36" t="s">
        <v>1552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2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2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2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2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2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2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2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2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2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2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2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2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2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2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2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2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2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2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2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2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2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2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2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25">
      <c r="A580" s="33">
        <v>20026892</v>
      </c>
      <c r="B580" s="36" t="s">
        <v>1529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2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2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2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2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2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2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25">
      <c r="A587" s="33">
        <v>20027011</v>
      </c>
      <c r="B587" s="36" t="s">
        <v>1482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2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2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2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2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2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2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2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25">
      <c r="A595" s="33">
        <v>20027286</v>
      </c>
      <c r="B595" s="36" t="s">
        <v>1474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25">
      <c r="A596" s="33">
        <v>20027297</v>
      </c>
      <c r="B596" s="36" t="s">
        <v>1426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2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25">
      <c r="A598" s="33">
        <v>20027356</v>
      </c>
      <c r="B598" s="36" t="s">
        <v>1451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2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2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2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2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2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2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2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2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2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2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2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25">
      <c r="A610" s="33">
        <v>20027634</v>
      </c>
      <c r="B610" s="36" t="s">
        <v>1475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2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2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2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2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2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2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2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2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25">
      <c r="A619" s="33">
        <v>20028734</v>
      </c>
      <c r="B619" s="36" t="s">
        <v>1476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2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2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2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2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2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2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2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2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2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2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2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2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2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2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2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25">
      <c r="A635" s="33">
        <v>20050353</v>
      </c>
      <c r="B635" s="36" t="s">
        <v>1403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25">
      <c r="A636" s="33">
        <v>20050354</v>
      </c>
      <c r="B636" s="36" t="s">
        <v>1404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2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25">
      <c r="A638" s="33">
        <v>20050460</v>
      </c>
      <c r="B638" s="36" t="s">
        <v>1438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2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2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2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25">
      <c r="A642" s="33">
        <v>20060483</v>
      </c>
      <c r="B642" s="36" t="s">
        <v>1477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2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2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25">
      <c r="A645" s="33">
        <v>20064476</v>
      </c>
      <c r="B645" s="36" t="s">
        <v>1478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25">
      <c r="A646" s="33">
        <v>20069666</v>
      </c>
      <c r="B646" s="36" t="s">
        <v>1502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25">
      <c r="A647" s="33">
        <v>20069977</v>
      </c>
      <c r="B647" s="36" t="s">
        <v>1429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25">
      <c r="A648" s="33">
        <v>20070347</v>
      </c>
      <c r="B648" s="36" t="s">
        <v>1443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25">
      <c r="A649" s="33">
        <v>20070759</v>
      </c>
      <c r="B649" s="36" t="s">
        <v>1398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25">
      <c r="A650" s="33">
        <v>20070881</v>
      </c>
      <c r="B650" s="36" t="s">
        <v>1397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25">
      <c r="A651" s="33">
        <v>20070888</v>
      </c>
      <c r="B651" s="36" t="s">
        <v>1424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25">
      <c r="A652" s="33">
        <v>20073205</v>
      </c>
      <c r="B652" s="36" t="s">
        <v>1479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25">
      <c r="A653" s="33">
        <v>20076418</v>
      </c>
      <c r="B653" s="36" t="s">
        <v>1511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25">
      <c r="A654" s="33">
        <v>20078273</v>
      </c>
      <c r="B654" s="36" t="s">
        <v>1555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2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2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2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25">
      <c r="A658" s="33">
        <v>30006066</v>
      </c>
      <c r="B658" s="36" t="s">
        <v>1439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25">
      <c r="A659" s="33">
        <v>30006079</v>
      </c>
      <c r="B659" s="36" t="s">
        <v>1495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2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2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2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2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25">
      <c r="A664" s="33">
        <v>30006496</v>
      </c>
      <c r="B664" s="36" t="s">
        <v>1402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2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2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2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2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2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2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2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25">
      <c r="A672" s="33">
        <v>30006608</v>
      </c>
      <c r="B672" s="36" t="s">
        <v>1518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2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2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2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2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2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2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2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2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2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2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2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2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2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2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2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25">
      <c r="A688" s="33">
        <v>30006715</v>
      </c>
      <c r="B688" s="36" t="s">
        <v>1432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2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2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2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2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2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2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2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2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2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2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2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2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2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2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2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2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2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2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2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2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2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2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2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2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2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2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2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2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2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2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2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2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2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2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2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2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2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2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2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2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2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2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2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2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25">
      <c r="A733" s="33">
        <v>30007403</v>
      </c>
      <c r="B733" s="36" t="s">
        <v>1417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2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25">
      <c r="A735" s="33">
        <v>30007405</v>
      </c>
      <c r="B735" s="36" t="s">
        <v>1470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2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2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2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2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25">
      <c r="A740" s="33">
        <v>30007415</v>
      </c>
      <c r="B740" s="36" t="s">
        <v>1483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2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2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2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2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2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2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2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2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2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2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2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2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2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2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2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2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2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2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2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2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2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2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25">
      <c r="A763" s="33">
        <v>30008549</v>
      </c>
      <c r="B763" s="36" t="s">
        <v>1456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2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2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2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2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2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2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2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2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2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2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2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2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2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2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2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2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2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2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2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2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2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2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2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2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25">
      <c r="A788" s="33">
        <v>30008714</v>
      </c>
      <c r="B788" s="36" t="s">
        <v>1524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25">
      <c r="A789" s="33">
        <v>30008718</v>
      </c>
      <c r="B789" s="36" t="s">
        <v>1421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2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2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2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2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2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2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2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2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2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2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2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2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2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2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2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2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2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2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2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2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2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2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2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2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2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2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2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2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2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2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2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2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2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2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2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2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2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2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2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2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2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2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2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2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2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2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2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2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25">
      <c r="A838" s="33">
        <v>30009365</v>
      </c>
      <c r="B838" s="36" t="s">
        <v>1486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2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2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25">
      <c r="A841" s="33">
        <v>30010099</v>
      </c>
      <c r="B841" s="36" t="s">
        <v>1496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2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2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25">
      <c r="A844" s="33">
        <v>30010272</v>
      </c>
      <c r="B844" s="36" t="s">
        <v>1493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25">
      <c r="A845" s="33">
        <v>30010273</v>
      </c>
      <c r="B845" s="36" t="s">
        <v>1503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2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2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2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2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25">
      <c r="A850" s="33">
        <v>30010902</v>
      </c>
      <c r="B850" s="36" t="s">
        <v>1522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2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25">
      <c r="A852" s="33">
        <v>30010908</v>
      </c>
      <c r="B852" s="36" t="s">
        <v>1457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2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25">
      <c r="A854" s="33">
        <v>30010919</v>
      </c>
      <c r="B854" s="36" t="s">
        <v>1458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2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25">
      <c r="A856" s="33">
        <v>30010930</v>
      </c>
      <c r="B856" s="36" t="s">
        <v>1459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2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2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2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2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2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2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2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2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2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25">
      <c r="A866" s="33">
        <v>30010944</v>
      </c>
      <c r="B866" s="36" t="s">
        <v>1460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2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25">
      <c r="A868" s="33">
        <v>30010955</v>
      </c>
      <c r="B868" s="36" t="s">
        <v>1461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25">
      <c r="A869" s="33">
        <v>30010966</v>
      </c>
      <c r="B869" s="36" t="s">
        <v>1462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25">
      <c r="A870" s="33">
        <v>30010968</v>
      </c>
      <c r="B870" s="36" t="s">
        <v>1463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25">
      <c r="A871" s="33">
        <v>30010971</v>
      </c>
      <c r="B871" s="36" t="s">
        <v>1464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2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25">
      <c r="A873" s="33">
        <v>30010977</v>
      </c>
      <c r="B873" s="36" t="s">
        <v>1550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2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25">
      <c r="A875" s="33">
        <v>30010984</v>
      </c>
      <c r="B875" s="36" t="s">
        <v>1553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2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25">
      <c r="A877" s="33">
        <v>30010989</v>
      </c>
      <c r="B877" s="36" t="s">
        <v>1465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2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2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2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2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2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2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2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2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25">
      <c r="A886" s="33">
        <v>30013011</v>
      </c>
      <c r="B886" s="36" t="s">
        <v>1504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2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2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2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2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2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2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2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2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2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2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2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2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2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2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2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2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2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2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2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2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2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2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2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2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2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2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25">
      <c r="A913" s="33">
        <v>30018133</v>
      </c>
      <c r="B913" s="36" t="s">
        <v>1425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2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2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2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2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2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2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2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2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2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2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2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2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2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2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2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2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2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25">
      <c r="A931" s="33">
        <v>30023360</v>
      </c>
      <c r="B931" s="36" t="s">
        <v>1466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2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25">
      <c r="A933" s="33">
        <v>30023362</v>
      </c>
      <c r="B933" s="36" t="s">
        <v>1467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2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2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2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2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25">
      <c r="A938" s="33">
        <v>30023381</v>
      </c>
      <c r="B938" s="36" t="s">
        <v>1468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25">
      <c r="A939" s="33">
        <v>30023382</v>
      </c>
      <c r="B939" s="36" t="s">
        <v>1469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2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2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2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2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2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2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2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2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2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2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2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2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2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2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2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2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2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2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2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2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2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2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2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2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2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2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2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2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2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2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2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2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2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2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2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2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2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2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2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2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2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2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2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2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2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2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2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2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2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25">
      <c r="A989" s="33">
        <v>30028040</v>
      </c>
      <c r="B989" s="36" t="s">
        <v>1487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2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2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2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2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2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2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2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2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2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2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2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2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2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2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25">
      <c r="A1004" s="33">
        <v>30030171</v>
      </c>
      <c r="B1004" s="36" t="s">
        <v>1400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2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2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2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2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2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2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2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2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25">
      <c r="A1013" s="33">
        <v>30030663</v>
      </c>
      <c r="B1013" s="36" t="s">
        <v>1401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2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2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2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2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2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2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2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2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2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2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2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2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2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2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2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25">
      <c r="A1029" s="33">
        <v>30032318</v>
      </c>
      <c r="B1029" s="36" t="s">
        <v>1505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2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2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2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2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2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2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2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25">
      <c r="A1037" s="33">
        <v>30033307</v>
      </c>
      <c r="B1037" s="36" t="s">
        <v>1453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2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2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2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2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2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2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2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2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2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2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2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2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2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2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2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2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2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2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2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25">
      <c r="A1057" s="33">
        <v>30036413</v>
      </c>
      <c r="B1057" s="36" t="s">
        <v>1536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25">
      <c r="A1058" s="33">
        <v>30036418</v>
      </c>
      <c r="B1058" s="36" t="s">
        <v>1537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25">
      <c r="A1059" s="33">
        <v>30036419</v>
      </c>
      <c r="B1059" s="36" t="s">
        <v>1538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2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2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2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2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2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2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2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2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2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2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2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25">
      <c r="A1071" s="33">
        <v>30038358</v>
      </c>
      <c r="B1071" s="36" t="s">
        <v>1509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2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2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2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2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2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2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2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2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2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2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2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2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2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25">
      <c r="A1085" s="33">
        <v>30039344</v>
      </c>
      <c r="B1085" s="36" t="s">
        <v>1418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2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2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2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2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2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2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2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2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2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2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2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2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2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2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2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2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2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2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2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2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2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2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2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2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2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2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2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2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2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2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2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2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2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25">
      <c r="A1119" s="33">
        <v>30041025</v>
      </c>
      <c r="B1119" s="36" t="s">
        <v>1539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25">
      <c r="A1120" s="33">
        <v>30041026</v>
      </c>
      <c r="B1120" s="36" t="s">
        <v>1540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2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25">
      <c r="A1122" s="33">
        <v>30041335</v>
      </c>
      <c r="B1122" s="36" t="s">
        <v>1523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2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2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2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2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2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2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2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2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2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2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2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2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2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25">
      <c r="A1136" s="33">
        <v>30042937</v>
      </c>
      <c r="B1136" s="36" t="s">
        <v>1541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2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2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25">
      <c r="A1139" s="33">
        <v>30042940</v>
      </c>
      <c r="B1139" s="36" t="s">
        <v>1542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25">
      <c r="A1140" s="33">
        <v>30042942</v>
      </c>
      <c r="B1140" s="36" t="s">
        <v>1543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2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2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2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2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2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25">
      <c r="A1146" s="33">
        <v>30042948</v>
      </c>
      <c r="B1146" s="36" t="s">
        <v>1544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2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25">
      <c r="A1148" s="33">
        <v>30042950</v>
      </c>
      <c r="B1148" s="36" t="s">
        <v>1545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2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2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25">
      <c r="A1151" s="33">
        <v>30042954</v>
      </c>
      <c r="B1151" s="36" t="s">
        <v>1546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2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2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25">
      <c r="A1154" s="33">
        <v>30042957</v>
      </c>
      <c r="B1154" s="36" t="s">
        <v>1547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2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2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2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2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2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2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2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2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2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2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2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2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2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2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2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2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2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2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2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2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2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2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2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2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2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2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2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2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2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2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2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2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2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2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2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2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2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2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2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2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2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2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2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2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2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2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2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2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2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2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2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2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2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2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2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2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2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2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2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2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2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2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2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2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2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2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25">
      <c r="A1221" s="33">
        <v>30051539</v>
      </c>
      <c r="B1221" s="36" t="s">
        <v>1507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2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2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2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2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2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2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2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2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2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2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2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2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2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2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2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2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2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2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2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2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2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2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2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2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2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25">
      <c r="A1247" s="33">
        <v>30060410</v>
      </c>
      <c r="B1247" s="36" t="s">
        <v>1419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2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2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2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2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2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2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2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2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2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2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2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2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2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2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2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2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2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2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2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25">
      <c r="A1267" s="33">
        <v>30064717</v>
      </c>
      <c r="B1267" s="36" t="s">
        <v>1440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2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2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2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2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2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2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2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25">
      <c r="A1275" s="33">
        <v>30066732</v>
      </c>
      <c r="B1275" s="36" t="s">
        <v>1420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2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2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2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2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25">
      <c r="A1280" s="33">
        <v>30067420</v>
      </c>
      <c r="B1280" s="36" t="s">
        <v>1512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25">
      <c r="A1281" s="33">
        <v>30067433</v>
      </c>
      <c r="B1281" s="36" t="s">
        <v>1513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25">
      <c r="A1282" s="33">
        <v>30067445</v>
      </c>
      <c r="B1282" s="36" t="s">
        <v>1514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25">
      <c r="A1283" s="33">
        <v>30067446</v>
      </c>
      <c r="B1283" s="36" t="s">
        <v>1515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25">
      <c r="A1284" s="33">
        <v>30067449</v>
      </c>
      <c r="B1284" s="36" t="s">
        <v>1516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2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25">
      <c r="A1286" s="33">
        <v>30067457</v>
      </c>
      <c r="B1286" s="36" t="s">
        <v>1480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2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25">
      <c r="A1288" s="33">
        <v>30069247</v>
      </c>
      <c r="B1288" s="36" t="s">
        <v>1508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2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2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2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2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2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25">
      <c r="A1294" s="33">
        <v>30070447</v>
      </c>
      <c r="B1294" s="36" t="s">
        <v>1413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2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2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2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2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2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2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2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25">
      <c r="A1302" s="33">
        <v>30070649</v>
      </c>
      <c r="B1302" s="36" t="s">
        <v>1559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2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2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2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2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2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2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2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25">
      <c r="A1310" s="33">
        <v>30070831</v>
      </c>
      <c r="B1310" s="36" t="s">
        <v>1517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25">
      <c r="A1311" s="33">
        <v>30071052</v>
      </c>
      <c r="B1311" s="36" t="s">
        <v>1414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25">
      <c r="A1312" s="33">
        <v>30072741</v>
      </c>
      <c r="B1312" s="36" t="s">
        <v>1409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25">
      <c r="A1313" s="33">
        <v>30073338</v>
      </c>
      <c r="B1313" s="36" t="s">
        <v>1441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25">
      <c r="A1314" s="33">
        <v>30073339</v>
      </c>
      <c r="B1314" s="36" t="s">
        <v>1430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25">
      <c r="A1315" s="33">
        <v>30073690</v>
      </c>
      <c r="B1315" s="36" t="s">
        <v>1442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25">
      <c r="A1316" s="33">
        <v>30073790</v>
      </c>
      <c r="B1316" s="36" t="s">
        <v>1556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25">
      <c r="A1317" s="33">
        <v>30073791</v>
      </c>
      <c r="B1317" s="36" t="s">
        <v>1557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25">
      <c r="A1318" s="51">
        <v>30074489</v>
      </c>
      <c r="B1318" s="46" t="s">
        <v>1471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5" x14ac:dyDescent="0.25"/>
  <cols>
    <col min="2" max="2" width="19.7109375" bestFit="1" customWidth="1"/>
    <col min="12" max="12" width="12" bestFit="1" customWidth="1"/>
  </cols>
  <sheetData>
    <row r="1" spans="1:4" x14ac:dyDescent="0.2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25">
      <c r="A2" s="31">
        <v>44433</v>
      </c>
      <c r="B2" s="29">
        <v>685</v>
      </c>
      <c r="C2" s="30"/>
    </row>
    <row r="3" spans="1:4" x14ac:dyDescent="0.25">
      <c r="A3" s="31">
        <f>A2+7</f>
        <v>44440</v>
      </c>
      <c r="B3" s="29">
        <v>690</v>
      </c>
      <c r="C3" s="30"/>
    </row>
    <row r="4" spans="1:4" x14ac:dyDescent="0.25">
      <c r="A4" s="31">
        <v>44445</v>
      </c>
      <c r="B4" s="29">
        <v>761</v>
      </c>
      <c r="C4" s="30"/>
    </row>
    <row r="5" spans="1:4" x14ac:dyDescent="0.25">
      <c r="A5" s="31">
        <f t="shared" ref="A5:A35" si="0">A4+7</f>
        <v>44452</v>
      </c>
      <c r="B5" s="29">
        <v>761</v>
      </c>
      <c r="C5" s="30"/>
    </row>
    <row r="6" spans="1:4" x14ac:dyDescent="0.25">
      <c r="A6" s="31">
        <f t="shared" si="0"/>
        <v>44459</v>
      </c>
      <c r="B6" s="29">
        <v>762</v>
      </c>
      <c r="C6" s="30"/>
    </row>
    <row r="7" spans="1:4" x14ac:dyDescent="0.25">
      <c r="A7" s="31">
        <f t="shared" si="0"/>
        <v>44466</v>
      </c>
      <c r="B7" s="29">
        <v>762</v>
      </c>
    </row>
    <row r="8" spans="1:4" x14ac:dyDescent="0.25">
      <c r="A8" s="31">
        <f t="shared" si="0"/>
        <v>44473</v>
      </c>
      <c r="B8" s="29">
        <v>761</v>
      </c>
      <c r="C8" s="30"/>
    </row>
    <row r="9" spans="1:4" x14ac:dyDescent="0.25">
      <c r="A9" s="31">
        <f t="shared" si="0"/>
        <v>44480</v>
      </c>
      <c r="B9" s="29">
        <v>761</v>
      </c>
      <c r="C9" s="30"/>
    </row>
    <row r="10" spans="1:4" x14ac:dyDescent="0.25">
      <c r="A10" s="31">
        <f t="shared" si="0"/>
        <v>44487</v>
      </c>
      <c r="B10" s="29">
        <v>761</v>
      </c>
      <c r="C10" s="30"/>
    </row>
    <row r="11" spans="1:4" x14ac:dyDescent="0.25">
      <c r="A11" s="31">
        <f t="shared" si="0"/>
        <v>44494</v>
      </c>
      <c r="B11" s="29">
        <v>761</v>
      </c>
      <c r="C11" s="30"/>
    </row>
    <row r="12" spans="1:4" x14ac:dyDescent="0.25">
      <c r="A12" s="31">
        <f t="shared" si="0"/>
        <v>44501</v>
      </c>
      <c r="B12" s="29">
        <v>761</v>
      </c>
      <c r="C12" s="30"/>
    </row>
    <row r="13" spans="1:4" x14ac:dyDescent="0.25">
      <c r="A13" s="31">
        <f t="shared" si="0"/>
        <v>44508</v>
      </c>
      <c r="B13" s="29">
        <v>761</v>
      </c>
      <c r="C13" s="30"/>
    </row>
    <row r="14" spans="1:4" x14ac:dyDescent="0.25">
      <c r="A14" s="31">
        <f t="shared" si="0"/>
        <v>44515</v>
      </c>
      <c r="B14" s="29">
        <v>761</v>
      </c>
    </row>
    <row r="15" spans="1:4" x14ac:dyDescent="0.25">
      <c r="A15" s="31">
        <f t="shared" si="0"/>
        <v>44522</v>
      </c>
      <c r="B15" s="29">
        <v>761</v>
      </c>
    </row>
    <row r="16" spans="1:4" x14ac:dyDescent="0.25">
      <c r="A16" s="31">
        <f t="shared" si="0"/>
        <v>44529</v>
      </c>
      <c r="B16" s="29">
        <v>761</v>
      </c>
    </row>
    <row r="17" spans="1:2" x14ac:dyDescent="0.25">
      <c r="A17" s="31">
        <f t="shared" si="0"/>
        <v>44536</v>
      </c>
      <c r="B17" s="29">
        <v>760</v>
      </c>
    </row>
    <row r="18" spans="1:2" x14ac:dyDescent="0.25">
      <c r="A18" s="31">
        <f t="shared" si="0"/>
        <v>44543</v>
      </c>
      <c r="B18" s="29">
        <v>760</v>
      </c>
    </row>
    <row r="19" spans="1:2" x14ac:dyDescent="0.25">
      <c r="A19" s="31">
        <f t="shared" si="0"/>
        <v>44550</v>
      </c>
      <c r="B19" s="29">
        <v>760</v>
      </c>
    </row>
    <row r="20" spans="1:2" x14ac:dyDescent="0.25">
      <c r="A20" s="31">
        <f t="shared" si="0"/>
        <v>44557</v>
      </c>
      <c r="B20" s="29">
        <v>760</v>
      </c>
    </row>
    <row r="21" spans="1:2" x14ac:dyDescent="0.25">
      <c r="A21" s="31">
        <f t="shared" si="0"/>
        <v>44564</v>
      </c>
      <c r="B21" s="29">
        <v>760</v>
      </c>
    </row>
    <row r="22" spans="1:2" x14ac:dyDescent="0.25">
      <c r="A22" s="31">
        <f t="shared" si="0"/>
        <v>44571</v>
      </c>
      <c r="B22" s="29">
        <v>762</v>
      </c>
    </row>
    <row r="23" spans="1:2" x14ac:dyDescent="0.25">
      <c r="A23" s="31">
        <f t="shared" si="0"/>
        <v>44578</v>
      </c>
      <c r="B23" s="29">
        <v>762</v>
      </c>
    </row>
    <row r="24" spans="1:2" x14ac:dyDescent="0.25">
      <c r="A24" s="31">
        <f t="shared" si="0"/>
        <v>44585</v>
      </c>
      <c r="B24" s="29">
        <v>762</v>
      </c>
    </row>
    <row r="25" spans="1:2" x14ac:dyDescent="0.25">
      <c r="A25" s="31">
        <f t="shared" si="0"/>
        <v>44592</v>
      </c>
      <c r="B25" s="29">
        <v>762</v>
      </c>
    </row>
    <row r="26" spans="1:2" x14ac:dyDescent="0.25">
      <c r="A26" s="31">
        <v>44600</v>
      </c>
      <c r="B26" s="29">
        <v>763</v>
      </c>
    </row>
    <row r="27" spans="1:2" x14ac:dyDescent="0.25">
      <c r="A27" s="31">
        <f t="shared" si="0"/>
        <v>44607</v>
      </c>
      <c r="B27" s="29">
        <v>763</v>
      </c>
    </row>
    <row r="28" spans="1:2" x14ac:dyDescent="0.25">
      <c r="A28" s="31">
        <v>44613</v>
      </c>
      <c r="B28" s="29">
        <v>764</v>
      </c>
    </row>
    <row r="29" spans="1:2" x14ac:dyDescent="0.25">
      <c r="A29" s="31">
        <f t="shared" si="0"/>
        <v>44620</v>
      </c>
      <c r="B29" s="29">
        <v>764</v>
      </c>
    </row>
    <row r="30" spans="1:2" x14ac:dyDescent="0.25">
      <c r="A30" s="31">
        <f t="shared" si="0"/>
        <v>44627</v>
      </c>
      <c r="B30" s="29">
        <v>764</v>
      </c>
    </row>
    <row r="31" spans="1:2" x14ac:dyDescent="0.25">
      <c r="A31" s="31">
        <f t="shared" si="0"/>
        <v>44634</v>
      </c>
      <c r="B31" s="29">
        <v>787</v>
      </c>
    </row>
    <row r="32" spans="1:2" x14ac:dyDescent="0.25">
      <c r="A32" s="31">
        <f t="shared" si="0"/>
        <v>44641</v>
      </c>
      <c r="B32" s="29">
        <v>801</v>
      </c>
    </row>
    <row r="33" spans="1:2" x14ac:dyDescent="0.25">
      <c r="A33" s="31">
        <f t="shared" si="0"/>
        <v>44648</v>
      </c>
      <c r="B33" s="29">
        <v>812</v>
      </c>
    </row>
    <row r="34" spans="1:2" x14ac:dyDescent="0.25">
      <c r="A34" s="31">
        <v>44656</v>
      </c>
      <c r="B34" s="29">
        <v>812</v>
      </c>
    </row>
    <row r="35" spans="1:2" x14ac:dyDescent="0.25">
      <c r="A35" s="31">
        <f t="shared" si="0"/>
        <v>44663</v>
      </c>
      <c r="B35" s="29">
        <v>836</v>
      </c>
    </row>
    <row r="36" spans="1:2" x14ac:dyDescent="0.25">
      <c r="A36" s="31">
        <v>44669</v>
      </c>
      <c r="B36" s="29">
        <v>898</v>
      </c>
    </row>
    <row r="37" spans="1:2" x14ac:dyDescent="0.25">
      <c r="A37" s="31">
        <v>44677</v>
      </c>
      <c r="B37" s="29">
        <v>901</v>
      </c>
    </row>
    <row r="38" spans="1:2" x14ac:dyDescent="0.25">
      <c r="A38" s="31">
        <v>44684</v>
      </c>
      <c r="B38" s="29">
        <v>901</v>
      </c>
    </row>
    <row r="39" spans="1:2" x14ac:dyDescent="0.25">
      <c r="A39" s="31">
        <f t="shared" ref="A39:A44" si="1">A38+7</f>
        <v>44691</v>
      </c>
      <c r="B39" s="29">
        <v>909</v>
      </c>
    </row>
    <row r="40" spans="1:2" x14ac:dyDescent="0.25">
      <c r="A40" s="31">
        <f t="shared" si="1"/>
        <v>44698</v>
      </c>
      <c r="B40" s="29">
        <v>920</v>
      </c>
    </row>
    <row r="41" spans="1:2" x14ac:dyDescent="0.25">
      <c r="A41" s="31">
        <f t="shared" si="1"/>
        <v>44705</v>
      </c>
      <c r="B41" s="29">
        <v>932</v>
      </c>
    </row>
    <row r="42" spans="1:2" x14ac:dyDescent="0.25">
      <c r="A42" s="31">
        <f t="shared" si="1"/>
        <v>44712</v>
      </c>
      <c r="B42" s="29">
        <v>936</v>
      </c>
    </row>
    <row r="43" spans="1:2" x14ac:dyDescent="0.25">
      <c r="A43" s="31">
        <f t="shared" si="1"/>
        <v>44719</v>
      </c>
      <c r="B43" s="29">
        <v>942</v>
      </c>
    </row>
    <row r="44" spans="1:2" x14ac:dyDescent="0.25">
      <c r="A44" s="31">
        <f t="shared" si="1"/>
        <v>44726</v>
      </c>
      <c r="B44" s="29">
        <v>942</v>
      </c>
    </row>
    <row r="45" spans="1:2" x14ac:dyDescent="0.2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5" x14ac:dyDescent="0.25"/>
  <cols>
    <col min="2" max="2" width="43" customWidth="1"/>
    <col min="10" max="10" width="15.42578125" customWidth="1"/>
    <col min="14" max="17" width="0" hidden="1" customWidth="1"/>
    <col min="18" max="18" width="15.85546875" hidden="1" customWidth="1"/>
  </cols>
  <sheetData>
    <row r="1" spans="1:20" ht="45" x14ac:dyDescent="0.2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1445</v>
      </c>
    </row>
    <row r="2" spans="1:20" x14ac:dyDescent="0.2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1446</v>
      </c>
    </row>
    <row r="3" spans="1:20" x14ac:dyDescent="0.2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1446</v>
      </c>
    </row>
    <row r="4" spans="1:20" x14ac:dyDescent="0.2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1446</v>
      </c>
    </row>
    <row r="5" spans="1:20" x14ac:dyDescent="0.2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1446</v>
      </c>
    </row>
    <row r="6" spans="1:20" x14ac:dyDescent="0.2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1446</v>
      </c>
    </row>
    <row r="7" spans="1:20" x14ac:dyDescent="0.2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1446</v>
      </c>
    </row>
    <row r="8" spans="1:20" x14ac:dyDescent="0.2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1446</v>
      </c>
    </row>
    <row r="9" spans="1:20" x14ac:dyDescent="0.2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1446</v>
      </c>
    </row>
    <row r="10" spans="1:20" x14ac:dyDescent="0.2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1446</v>
      </c>
    </row>
    <row r="11" spans="1:20" x14ac:dyDescent="0.2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1446</v>
      </c>
    </row>
    <row r="12" spans="1:20" x14ac:dyDescent="0.2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1446</v>
      </c>
    </row>
    <row r="13" spans="1:20" x14ac:dyDescent="0.2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1447</v>
      </c>
    </row>
    <row r="14" spans="1:20" x14ac:dyDescent="0.2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1446</v>
      </c>
    </row>
    <row r="15" spans="1:20" x14ac:dyDescent="0.2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1446</v>
      </c>
    </row>
    <row r="16" spans="1:20" x14ac:dyDescent="0.2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1446</v>
      </c>
    </row>
    <row r="17" spans="1:20" x14ac:dyDescent="0.2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1446</v>
      </c>
    </row>
    <row r="18" spans="1:20" x14ac:dyDescent="0.2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1446</v>
      </c>
    </row>
    <row r="19" spans="1:20" x14ac:dyDescent="0.2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1446</v>
      </c>
    </row>
    <row r="20" spans="1:20" x14ac:dyDescent="0.2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1446</v>
      </c>
    </row>
    <row r="21" spans="1:20" x14ac:dyDescent="0.2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1446</v>
      </c>
    </row>
    <row r="22" spans="1:20" x14ac:dyDescent="0.2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1446</v>
      </c>
    </row>
    <row r="23" spans="1:20" x14ac:dyDescent="0.2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1446</v>
      </c>
    </row>
    <row r="24" spans="1:20" x14ac:dyDescent="0.2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1446</v>
      </c>
    </row>
    <row r="25" spans="1:20" x14ac:dyDescent="0.2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1448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1446</v>
      </c>
    </row>
    <row r="26" spans="1:20" x14ac:dyDescent="0.2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1448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1446</v>
      </c>
    </row>
    <row r="27" spans="1:20" x14ac:dyDescent="0.2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1446</v>
      </c>
    </row>
    <row r="28" spans="1:20" x14ac:dyDescent="0.2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1447</v>
      </c>
    </row>
    <row r="29" spans="1:20" x14ac:dyDescent="0.2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1446</v>
      </c>
    </row>
    <row r="30" spans="1:20" x14ac:dyDescent="0.2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1448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1447</v>
      </c>
    </row>
    <row r="31" spans="1:20" x14ac:dyDescent="0.2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1446</v>
      </c>
    </row>
    <row r="32" spans="1:20" x14ac:dyDescent="0.2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1448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1446</v>
      </c>
    </row>
    <row r="33" spans="1:20" x14ac:dyDescent="0.2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1448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1446</v>
      </c>
    </row>
    <row r="34" spans="1:20" x14ac:dyDescent="0.2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1446</v>
      </c>
    </row>
    <row r="35" spans="1:20" x14ac:dyDescent="0.2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1448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1446</v>
      </c>
    </row>
    <row r="36" spans="1:20" x14ac:dyDescent="0.2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1446</v>
      </c>
    </row>
    <row r="37" spans="1:20" x14ac:dyDescent="0.2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1446</v>
      </c>
    </row>
    <row r="38" spans="1:20" x14ac:dyDescent="0.2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1446</v>
      </c>
    </row>
    <row r="39" spans="1:20" x14ac:dyDescent="0.2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1446</v>
      </c>
    </row>
    <row r="40" spans="1:20" x14ac:dyDescent="0.2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1448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1447</v>
      </c>
    </row>
    <row r="41" spans="1:20" x14ac:dyDescent="0.2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1446</v>
      </c>
    </row>
    <row r="42" spans="1:20" x14ac:dyDescent="0.2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1446</v>
      </c>
    </row>
    <row r="43" spans="1:20" x14ac:dyDescent="0.2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1448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1447</v>
      </c>
    </row>
    <row r="44" spans="1:20" x14ac:dyDescent="0.2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1448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1447</v>
      </c>
    </row>
    <row r="45" spans="1:20" x14ac:dyDescent="0.2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1446</v>
      </c>
    </row>
    <row r="46" spans="1:20" x14ac:dyDescent="0.2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1446</v>
      </c>
    </row>
    <row r="47" spans="1:20" x14ac:dyDescent="0.2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1446</v>
      </c>
    </row>
    <row r="48" spans="1:20" x14ac:dyDescent="0.2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1446</v>
      </c>
    </row>
    <row r="49" spans="1:20" x14ac:dyDescent="0.2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1448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1446</v>
      </c>
    </row>
    <row r="50" spans="1:20" x14ac:dyDescent="0.2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1446</v>
      </c>
    </row>
    <row r="51" spans="1:20" x14ac:dyDescent="0.2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1446</v>
      </c>
    </row>
    <row r="52" spans="1:20" x14ac:dyDescent="0.2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1446</v>
      </c>
    </row>
    <row r="53" spans="1:20" x14ac:dyDescent="0.2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1448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1446</v>
      </c>
    </row>
    <row r="54" spans="1:20" x14ac:dyDescent="0.2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1448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1446</v>
      </c>
    </row>
    <row r="55" spans="1:20" x14ac:dyDescent="0.2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1448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1446</v>
      </c>
    </row>
    <row r="56" spans="1:20" x14ac:dyDescent="0.2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1448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1446</v>
      </c>
    </row>
    <row r="57" spans="1:20" x14ac:dyDescent="0.2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1448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1446</v>
      </c>
    </row>
    <row r="58" spans="1:20" x14ac:dyDescent="0.2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1448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1447</v>
      </c>
    </row>
    <row r="59" spans="1:20" x14ac:dyDescent="0.2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1446</v>
      </c>
    </row>
    <row r="60" spans="1:20" x14ac:dyDescent="0.2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1448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1446</v>
      </c>
    </row>
    <row r="61" spans="1:20" x14ac:dyDescent="0.2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1446</v>
      </c>
    </row>
    <row r="62" spans="1:20" x14ac:dyDescent="0.2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1448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1446</v>
      </c>
    </row>
    <row r="63" spans="1:20" x14ac:dyDescent="0.2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1446</v>
      </c>
    </row>
    <row r="64" spans="1:20" x14ac:dyDescent="0.2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1446</v>
      </c>
    </row>
    <row r="65" spans="1:20" x14ac:dyDescent="0.2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1446</v>
      </c>
    </row>
    <row r="66" spans="1:20" x14ac:dyDescent="0.2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1446</v>
      </c>
    </row>
    <row r="67" spans="1:20" x14ac:dyDescent="0.2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1446</v>
      </c>
    </row>
    <row r="68" spans="1:20" x14ac:dyDescent="0.2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1448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1446</v>
      </c>
    </row>
    <row r="69" spans="1:20" x14ac:dyDescent="0.2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1448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1446</v>
      </c>
    </row>
    <row r="70" spans="1:20" x14ac:dyDescent="0.2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1446</v>
      </c>
    </row>
    <row r="71" spans="1:20" x14ac:dyDescent="0.2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1446</v>
      </c>
    </row>
    <row r="72" spans="1:20" x14ac:dyDescent="0.2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1446</v>
      </c>
    </row>
    <row r="73" spans="1:20" x14ac:dyDescent="0.2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1446</v>
      </c>
    </row>
    <row r="74" spans="1:20" x14ac:dyDescent="0.2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1447</v>
      </c>
    </row>
    <row r="75" spans="1:20" x14ac:dyDescent="0.2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1446</v>
      </c>
    </row>
    <row r="76" spans="1:20" x14ac:dyDescent="0.2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1446</v>
      </c>
    </row>
    <row r="77" spans="1:20" x14ac:dyDescent="0.2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1446</v>
      </c>
    </row>
    <row r="78" spans="1:20" x14ac:dyDescent="0.2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1446</v>
      </c>
    </row>
    <row r="79" spans="1:20" x14ac:dyDescent="0.2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1446</v>
      </c>
    </row>
    <row r="80" spans="1:20" x14ac:dyDescent="0.2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1446</v>
      </c>
    </row>
    <row r="81" spans="1:20" x14ac:dyDescent="0.2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1446</v>
      </c>
    </row>
    <row r="82" spans="1:20" x14ac:dyDescent="0.2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1446</v>
      </c>
    </row>
    <row r="83" spans="1:20" x14ac:dyDescent="0.2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1446</v>
      </c>
    </row>
    <row r="84" spans="1:20" x14ac:dyDescent="0.2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1446</v>
      </c>
    </row>
    <row r="85" spans="1:20" x14ac:dyDescent="0.2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1446</v>
      </c>
    </row>
    <row r="86" spans="1:20" x14ac:dyDescent="0.2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1446</v>
      </c>
    </row>
    <row r="87" spans="1:20" x14ac:dyDescent="0.2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1446</v>
      </c>
    </row>
    <row r="88" spans="1:20" x14ac:dyDescent="0.2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1446</v>
      </c>
    </row>
    <row r="89" spans="1:20" x14ac:dyDescent="0.2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1446</v>
      </c>
    </row>
    <row r="90" spans="1:20" x14ac:dyDescent="0.2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1446</v>
      </c>
    </row>
    <row r="91" spans="1:20" x14ac:dyDescent="0.2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1446</v>
      </c>
    </row>
    <row r="92" spans="1:20" x14ac:dyDescent="0.2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1446</v>
      </c>
    </row>
    <row r="93" spans="1:20" x14ac:dyDescent="0.2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1448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1446</v>
      </c>
    </row>
    <row r="94" spans="1:20" x14ac:dyDescent="0.2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1446</v>
      </c>
    </row>
    <row r="95" spans="1:20" x14ac:dyDescent="0.2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1446</v>
      </c>
    </row>
    <row r="96" spans="1:20" x14ac:dyDescent="0.2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1446</v>
      </c>
    </row>
    <row r="97" spans="1:20" x14ac:dyDescent="0.2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1448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1446</v>
      </c>
    </row>
    <row r="98" spans="1:20" x14ac:dyDescent="0.2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1446</v>
      </c>
    </row>
    <row r="99" spans="1:20" x14ac:dyDescent="0.2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1446</v>
      </c>
    </row>
    <row r="100" spans="1:20" x14ac:dyDescent="0.2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1446</v>
      </c>
    </row>
    <row r="101" spans="1:20" x14ac:dyDescent="0.2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1448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1447</v>
      </c>
    </row>
    <row r="102" spans="1:20" x14ac:dyDescent="0.2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1448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1447</v>
      </c>
    </row>
    <row r="103" spans="1:20" x14ac:dyDescent="0.2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1448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1446</v>
      </c>
    </row>
    <row r="104" spans="1:20" x14ac:dyDescent="0.2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1447</v>
      </c>
    </row>
    <row r="105" spans="1:20" x14ac:dyDescent="0.2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1446</v>
      </c>
    </row>
    <row r="106" spans="1:20" x14ac:dyDescent="0.2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1446</v>
      </c>
    </row>
    <row r="107" spans="1:20" x14ac:dyDescent="0.2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1446</v>
      </c>
    </row>
    <row r="108" spans="1:20" x14ac:dyDescent="0.2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1446</v>
      </c>
    </row>
    <row r="109" spans="1:20" x14ac:dyDescent="0.2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1446</v>
      </c>
    </row>
    <row r="110" spans="1:20" x14ac:dyDescent="0.2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1446</v>
      </c>
    </row>
    <row r="111" spans="1:20" x14ac:dyDescent="0.2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1446</v>
      </c>
    </row>
    <row r="112" spans="1:20" x14ac:dyDescent="0.2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1446</v>
      </c>
    </row>
    <row r="113" spans="1:20" x14ac:dyDescent="0.2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1446</v>
      </c>
    </row>
    <row r="114" spans="1:20" x14ac:dyDescent="0.2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1448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1447</v>
      </c>
    </row>
    <row r="115" spans="1:20" x14ac:dyDescent="0.2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1448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1447</v>
      </c>
    </row>
    <row r="116" spans="1:20" x14ac:dyDescent="0.2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1448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1447</v>
      </c>
    </row>
    <row r="117" spans="1:20" x14ac:dyDescent="0.2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1448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1447</v>
      </c>
    </row>
    <row r="118" spans="1:20" x14ac:dyDescent="0.2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1448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1447</v>
      </c>
    </row>
    <row r="119" spans="1:20" x14ac:dyDescent="0.2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1447</v>
      </c>
    </row>
    <row r="120" spans="1:20" x14ac:dyDescent="0.2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1448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1447</v>
      </c>
    </row>
    <row r="121" spans="1:20" x14ac:dyDescent="0.2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1448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1447</v>
      </c>
    </row>
    <row r="122" spans="1:20" x14ac:dyDescent="0.2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1448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1447</v>
      </c>
    </row>
    <row r="123" spans="1:20" x14ac:dyDescent="0.2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1448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1447</v>
      </c>
    </row>
    <row r="124" spans="1:20" x14ac:dyDescent="0.2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1447</v>
      </c>
    </row>
    <row r="125" spans="1:20" x14ac:dyDescent="0.2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1447</v>
      </c>
    </row>
    <row r="126" spans="1:20" x14ac:dyDescent="0.2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1447</v>
      </c>
    </row>
    <row r="127" spans="1:20" x14ac:dyDescent="0.2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1448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1447</v>
      </c>
    </row>
    <row r="128" spans="1:20" x14ac:dyDescent="0.2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1447</v>
      </c>
    </row>
    <row r="129" spans="1:20" x14ac:dyDescent="0.2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1448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1447</v>
      </c>
    </row>
    <row r="130" spans="1:20" x14ac:dyDescent="0.2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1448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1447</v>
      </c>
    </row>
    <row r="131" spans="1:20" x14ac:dyDescent="0.2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1448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1447</v>
      </c>
    </row>
    <row r="132" spans="1:20" x14ac:dyDescent="0.2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1448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1447</v>
      </c>
    </row>
    <row r="133" spans="1:20" x14ac:dyDescent="0.2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1448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1447</v>
      </c>
    </row>
    <row r="134" spans="1:20" x14ac:dyDescent="0.2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1447</v>
      </c>
    </row>
    <row r="135" spans="1:20" x14ac:dyDescent="0.2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1448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1447</v>
      </c>
    </row>
    <row r="136" spans="1:20" x14ac:dyDescent="0.2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1447</v>
      </c>
    </row>
    <row r="137" spans="1:20" x14ac:dyDescent="0.2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1448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1447</v>
      </c>
    </row>
    <row r="138" spans="1:20" x14ac:dyDescent="0.2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1448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1447</v>
      </c>
    </row>
    <row r="139" spans="1:20" x14ac:dyDescent="0.2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1447</v>
      </c>
    </row>
    <row r="140" spans="1:20" x14ac:dyDescent="0.2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1447</v>
      </c>
    </row>
    <row r="141" spans="1:20" x14ac:dyDescent="0.2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1447</v>
      </c>
    </row>
    <row r="142" spans="1:20" x14ac:dyDescent="0.2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1447</v>
      </c>
    </row>
    <row r="143" spans="1:20" x14ac:dyDescent="0.2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1448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1447</v>
      </c>
    </row>
    <row r="144" spans="1:20" x14ac:dyDescent="0.2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1447</v>
      </c>
    </row>
    <row r="145" spans="1:20" x14ac:dyDescent="0.2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1448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1447</v>
      </c>
    </row>
    <row r="146" spans="1:20" x14ac:dyDescent="0.2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1446</v>
      </c>
    </row>
    <row r="147" spans="1:20" x14ac:dyDescent="0.2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1448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1447</v>
      </c>
    </row>
    <row r="148" spans="1:20" x14ac:dyDescent="0.2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1448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1447</v>
      </c>
    </row>
    <row r="149" spans="1:20" x14ac:dyDescent="0.2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1448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1447</v>
      </c>
    </row>
    <row r="150" spans="1:20" x14ac:dyDescent="0.2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1448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1447</v>
      </c>
    </row>
    <row r="151" spans="1:20" x14ac:dyDescent="0.2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1448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1447</v>
      </c>
    </row>
    <row r="152" spans="1:20" x14ac:dyDescent="0.2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1448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1447</v>
      </c>
    </row>
    <row r="153" spans="1:20" x14ac:dyDescent="0.2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1448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1447</v>
      </c>
    </row>
    <row r="154" spans="1:20" x14ac:dyDescent="0.2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1448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1447</v>
      </c>
    </row>
    <row r="155" spans="1:20" x14ac:dyDescent="0.2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1448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1447</v>
      </c>
    </row>
    <row r="156" spans="1:20" x14ac:dyDescent="0.2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1448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1447</v>
      </c>
    </row>
    <row r="157" spans="1:20" x14ac:dyDescent="0.2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1448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1447</v>
      </c>
    </row>
    <row r="158" spans="1:20" x14ac:dyDescent="0.2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1448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1447</v>
      </c>
    </row>
    <row r="159" spans="1:20" x14ac:dyDescent="0.2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1448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1447</v>
      </c>
    </row>
    <row r="160" spans="1:20" x14ac:dyDescent="0.2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1448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1447</v>
      </c>
    </row>
    <row r="161" spans="1:20" x14ac:dyDescent="0.2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1448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1447</v>
      </c>
    </row>
    <row r="162" spans="1:20" x14ac:dyDescent="0.2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1448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1447</v>
      </c>
    </row>
    <row r="163" spans="1:20" x14ac:dyDescent="0.2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1448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1447</v>
      </c>
    </row>
    <row r="164" spans="1:20" x14ac:dyDescent="0.2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1448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1447</v>
      </c>
    </row>
    <row r="165" spans="1:20" x14ac:dyDescent="0.2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1448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1447</v>
      </c>
    </row>
    <row r="166" spans="1:20" x14ac:dyDescent="0.2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1448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1447</v>
      </c>
    </row>
    <row r="167" spans="1:20" x14ac:dyDescent="0.2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1448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1447</v>
      </c>
    </row>
    <row r="168" spans="1:20" x14ac:dyDescent="0.2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1448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1447</v>
      </c>
    </row>
    <row r="169" spans="1:20" x14ac:dyDescent="0.2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1448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1447</v>
      </c>
    </row>
    <row r="170" spans="1:20" x14ac:dyDescent="0.2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1448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1447</v>
      </c>
    </row>
    <row r="171" spans="1:20" x14ac:dyDescent="0.2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1448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1447</v>
      </c>
    </row>
    <row r="172" spans="1:20" x14ac:dyDescent="0.2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1448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1447</v>
      </c>
    </row>
    <row r="173" spans="1:20" x14ac:dyDescent="0.2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1448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1447</v>
      </c>
    </row>
    <row r="174" spans="1:20" x14ac:dyDescent="0.2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1448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1447</v>
      </c>
    </row>
    <row r="175" spans="1:20" x14ac:dyDescent="0.2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1448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1447</v>
      </c>
    </row>
    <row r="176" spans="1:20" x14ac:dyDescent="0.2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1448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1447</v>
      </c>
    </row>
    <row r="177" spans="1:20" x14ac:dyDescent="0.2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1448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1447</v>
      </c>
    </row>
    <row r="178" spans="1:20" x14ac:dyDescent="0.2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1448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1447</v>
      </c>
    </row>
    <row r="179" spans="1:20" x14ac:dyDescent="0.2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1448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1447</v>
      </c>
    </row>
    <row r="180" spans="1:20" x14ac:dyDescent="0.2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1448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1447</v>
      </c>
    </row>
    <row r="181" spans="1:20" x14ac:dyDescent="0.2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1448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1447</v>
      </c>
    </row>
    <row r="182" spans="1:20" x14ac:dyDescent="0.2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1448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1447</v>
      </c>
    </row>
    <row r="183" spans="1:20" x14ac:dyDescent="0.2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1448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1447</v>
      </c>
    </row>
    <row r="184" spans="1:20" x14ac:dyDescent="0.2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1448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1447</v>
      </c>
    </row>
    <row r="185" spans="1:20" x14ac:dyDescent="0.2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1448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1447</v>
      </c>
    </row>
    <row r="186" spans="1:20" x14ac:dyDescent="0.2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1448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1447</v>
      </c>
    </row>
    <row r="187" spans="1:20" x14ac:dyDescent="0.2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1448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1447</v>
      </c>
    </row>
    <row r="188" spans="1:20" x14ac:dyDescent="0.2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1448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1447</v>
      </c>
    </row>
    <row r="189" spans="1:20" x14ac:dyDescent="0.2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1448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1447</v>
      </c>
    </row>
    <row r="190" spans="1:20" x14ac:dyDescent="0.2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1448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1447</v>
      </c>
    </row>
    <row r="191" spans="1:20" x14ac:dyDescent="0.2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1448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1447</v>
      </c>
    </row>
    <row r="192" spans="1:20" x14ac:dyDescent="0.2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1448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1447</v>
      </c>
    </row>
    <row r="193" spans="1:20" x14ac:dyDescent="0.2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1448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1447</v>
      </c>
    </row>
    <row r="194" spans="1:20" x14ac:dyDescent="0.2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1448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1447</v>
      </c>
    </row>
    <row r="195" spans="1:20" x14ac:dyDescent="0.2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1448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1447</v>
      </c>
    </row>
    <row r="196" spans="1:20" x14ac:dyDescent="0.2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1448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1447</v>
      </c>
    </row>
    <row r="197" spans="1:20" x14ac:dyDescent="0.2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1448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1447</v>
      </c>
    </row>
    <row r="198" spans="1:20" x14ac:dyDescent="0.2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1448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1447</v>
      </c>
    </row>
    <row r="199" spans="1:20" x14ac:dyDescent="0.2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1448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1447</v>
      </c>
    </row>
    <row r="200" spans="1:20" x14ac:dyDescent="0.2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1448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1447</v>
      </c>
    </row>
    <row r="201" spans="1:20" x14ac:dyDescent="0.2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1448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1447</v>
      </c>
    </row>
    <row r="202" spans="1:20" x14ac:dyDescent="0.2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1448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1447</v>
      </c>
    </row>
    <row r="203" spans="1:20" x14ac:dyDescent="0.2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1448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1447</v>
      </c>
    </row>
    <row r="204" spans="1:20" x14ac:dyDescent="0.2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1448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1447</v>
      </c>
    </row>
    <row r="205" spans="1:20" x14ac:dyDescent="0.2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1448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1447</v>
      </c>
    </row>
    <row r="206" spans="1:20" x14ac:dyDescent="0.2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1448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1447</v>
      </c>
    </row>
    <row r="207" spans="1:20" x14ac:dyDescent="0.2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1448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1447</v>
      </c>
    </row>
    <row r="208" spans="1:20" x14ac:dyDescent="0.2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1448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1447</v>
      </c>
    </row>
    <row r="209" spans="1:20" x14ac:dyDescent="0.2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1448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1447</v>
      </c>
    </row>
    <row r="210" spans="1:20" x14ac:dyDescent="0.2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1448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1447</v>
      </c>
    </row>
    <row r="211" spans="1:20" x14ac:dyDescent="0.2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1448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1447</v>
      </c>
    </row>
    <row r="212" spans="1:20" x14ac:dyDescent="0.2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1448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1447</v>
      </c>
    </row>
    <row r="213" spans="1:20" x14ac:dyDescent="0.2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1448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1447</v>
      </c>
    </row>
    <row r="214" spans="1:20" x14ac:dyDescent="0.2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1448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1447</v>
      </c>
    </row>
    <row r="215" spans="1:20" x14ac:dyDescent="0.2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1448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1447</v>
      </c>
    </row>
    <row r="216" spans="1:20" x14ac:dyDescent="0.2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1448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1447</v>
      </c>
    </row>
    <row r="217" spans="1:20" x14ac:dyDescent="0.2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1448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1447</v>
      </c>
    </row>
    <row r="218" spans="1:20" x14ac:dyDescent="0.2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1448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1447</v>
      </c>
    </row>
    <row r="219" spans="1:20" x14ac:dyDescent="0.2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1448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1447</v>
      </c>
    </row>
    <row r="220" spans="1:20" x14ac:dyDescent="0.2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1448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1447</v>
      </c>
    </row>
    <row r="221" spans="1:20" x14ac:dyDescent="0.2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1448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1447</v>
      </c>
    </row>
    <row r="222" spans="1:20" x14ac:dyDescent="0.2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1448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1447</v>
      </c>
    </row>
    <row r="223" spans="1:20" x14ac:dyDescent="0.2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1448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1447</v>
      </c>
    </row>
    <row r="224" spans="1:20" x14ac:dyDescent="0.2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1448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1447</v>
      </c>
    </row>
    <row r="225" spans="1:20" x14ac:dyDescent="0.2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1448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1447</v>
      </c>
    </row>
    <row r="226" spans="1:20" x14ac:dyDescent="0.2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1448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1447</v>
      </c>
    </row>
    <row r="227" spans="1:20" x14ac:dyDescent="0.2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1448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1447</v>
      </c>
    </row>
    <row r="228" spans="1:20" x14ac:dyDescent="0.2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1448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1447</v>
      </c>
    </row>
    <row r="229" spans="1:20" x14ac:dyDescent="0.2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1448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1447</v>
      </c>
    </row>
    <row r="230" spans="1:20" x14ac:dyDescent="0.2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1448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1447</v>
      </c>
    </row>
    <row r="231" spans="1:20" x14ac:dyDescent="0.2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1448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1447</v>
      </c>
    </row>
    <row r="232" spans="1:20" x14ac:dyDescent="0.2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1448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1447</v>
      </c>
    </row>
    <row r="233" spans="1:20" x14ac:dyDescent="0.2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1448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1447</v>
      </c>
    </row>
    <row r="234" spans="1:20" x14ac:dyDescent="0.2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1448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1447</v>
      </c>
    </row>
    <row r="235" spans="1:20" x14ac:dyDescent="0.2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1448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1447</v>
      </c>
    </row>
    <row r="236" spans="1:20" x14ac:dyDescent="0.2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1448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1447</v>
      </c>
    </row>
    <row r="237" spans="1:20" x14ac:dyDescent="0.2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1448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1447</v>
      </c>
    </row>
    <row r="238" spans="1:20" x14ac:dyDescent="0.2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1448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1447</v>
      </c>
    </row>
    <row r="239" spans="1:20" x14ac:dyDescent="0.2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1448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1447</v>
      </c>
    </row>
    <row r="240" spans="1:20" x14ac:dyDescent="0.2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1448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1447</v>
      </c>
    </row>
    <row r="241" spans="1:20" x14ac:dyDescent="0.2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1448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1447</v>
      </c>
    </row>
    <row r="242" spans="1:20" x14ac:dyDescent="0.2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1448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1447</v>
      </c>
    </row>
    <row r="243" spans="1:20" x14ac:dyDescent="0.2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1448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1447</v>
      </c>
    </row>
    <row r="244" spans="1:20" x14ac:dyDescent="0.2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1448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1447</v>
      </c>
    </row>
    <row r="245" spans="1:20" x14ac:dyDescent="0.2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1448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1447</v>
      </c>
    </row>
    <row r="246" spans="1:20" x14ac:dyDescent="0.2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1448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1447</v>
      </c>
    </row>
    <row r="247" spans="1:20" x14ac:dyDescent="0.2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1448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1447</v>
      </c>
    </row>
    <row r="248" spans="1:20" x14ac:dyDescent="0.2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1448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1447</v>
      </c>
    </row>
    <row r="249" spans="1:20" x14ac:dyDescent="0.2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1448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1447</v>
      </c>
    </row>
    <row r="250" spans="1:20" x14ac:dyDescent="0.2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1448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1447</v>
      </c>
    </row>
    <row r="251" spans="1:20" x14ac:dyDescent="0.2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1448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1447</v>
      </c>
    </row>
    <row r="252" spans="1:20" x14ac:dyDescent="0.2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1448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1447</v>
      </c>
    </row>
    <row r="253" spans="1:20" x14ac:dyDescent="0.2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1448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1447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B7EA82C-3EED-470A-8A2F-B8E264757E46}">
  <ds:schemaRefs/>
</ds:datastoreItem>
</file>

<file path=customXml/itemProps2.xml><?xml version="1.0" encoding="utf-8"?>
<ds:datastoreItem xmlns:ds="http://schemas.openxmlformats.org/officeDocument/2006/customXml" ds:itemID="{205A3807-A078-421E-BF77-6CAFE66F33A4}">
  <ds:schemaRefs/>
</ds:datastoreItem>
</file>

<file path=customXml/itemProps3.xml><?xml version="1.0" encoding="utf-8"?>
<ds:datastoreItem xmlns:ds="http://schemas.openxmlformats.org/officeDocument/2006/customXml" ds:itemID="{46FE3B33-23CB-4C87-9BF9-CA9A6BD8265C}">
  <ds:schemaRefs/>
</ds:datastoreItem>
</file>

<file path=customXml/itemProps4.xml><?xml version="1.0" encoding="utf-8"?>
<ds:datastoreItem xmlns:ds="http://schemas.openxmlformats.org/officeDocument/2006/customXml" ds:itemID="{2024EEA9-1EC3-4A27-BA2F-C28822459AF8}">
  <ds:schemaRefs/>
</ds:datastoreItem>
</file>

<file path=customXml/itemProps5.xml><?xml version="1.0" encoding="utf-8"?>
<ds:datastoreItem xmlns:ds="http://schemas.openxmlformats.org/officeDocument/2006/customXml" ds:itemID="{EDEC40CB-5311-4F30-A212-8EBF470E480E}">
  <ds:schemaRefs/>
</ds:datastoreItem>
</file>

<file path=customXml/itemProps6.xml><?xml version="1.0" encoding="utf-8"?>
<ds:datastoreItem xmlns:ds="http://schemas.openxmlformats.org/officeDocument/2006/customXml" ds:itemID="{1039B7D1-58FF-4671-8B7A-AA6647B52214}">
  <ds:schemaRefs/>
</ds:datastoreItem>
</file>

<file path=customXml/itemProps7.xml><?xml version="1.0" encoding="utf-8"?>
<ds:datastoreItem xmlns:ds="http://schemas.openxmlformats.org/officeDocument/2006/customXml" ds:itemID="{6D4423D8-6D3E-4B9A-995B-092056B28B25}">
  <ds:schemaRefs/>
</ds:datastoreItem>
</file>

<file path=customXml/itemProps8.xml><?xml version="1.0" encoding="utf-8"?>
<ds:datastoreItem xmlns:ds="http://schemas.openxmlformats.org/officeDocument/2006/customXml" ds:itemID="{E9C85BF8-3150-473C-A79F-6740E28A975F}">
  <ds:schemaRefs/>
</ds:datastoreItem>
</file>

<file path=customXml/itemProps9.xml><?xml version="1.0" encoding="utf-8"?>
<ds:datastoreItem xmlns:ds="http://schemas.openxmlformats.org/officeDocument/2006/customXml" ds:itemID="{22A1D83D-34AC-4DC6-BF48-0285EB63DB45}">
  <ds:schemaRefs/>
</ds:datastoreItem>
</file>

<file path=customXml/itemProps10.xml><?xml version="1.0" encoding="utf-8"?>
<ds:datastoreItem xmlns:ds="http://schemas.openxmlformats.org/officeDocument/2006/customXml" ds:itemID="{FE1DE4F7-E0DC-4D00-98CF-8311553E54C2}">
  <ds:schemaRefs/>
</ds:datastoreItem>
</file>

<file path=customXml/itemProps11.xml><?xml version="1.0" encoding="utf-8"?>
<ds:datastoreItem xmlns:ds="http://schemas.openxmlformats.org/officeDocument/2006/customXml" ds:itemID="{2D93D4C3-C097-499B-BC70-2F81B9BBD3D8}">
  <ds:schemaRefs/>
</ds:datastoreItem>
</file>

<file path=customXml/itemProps12.xml><?xml version="1.0" encoding="utf-8"?>
<ds:datastoreItem xmlns:ds="http://schemas.openxmlformats.org/officeDocument/2006/customXml" ds:itemID="{A2CA7F53-FA6A-4F83-8C83-AF63906A1BA5}">
  <ds:schemaRefs/>
</ds:datastoreItem>
</file>

<file path=customXml/itemProps13.xml><?xml version="1.0" encoding="utf-8"?>
<ds:datastoreItem xmlns:ds="http://schemas.openxmlformats.org/officeDocument/2006/customXml" ds:itemID="{C933F1A4-DB9A-4F45-BB83-65D2D0BC91CF}">
  <ds:schemaRefs/>
</ds:datastoreItem>
</file>

<file path=customXml/itemProps14.xml><?xml version="1.0" encoding="utf-8"?>
<ds:datastoreItem xmlns:ds="http://schemas.openxmlformats.org/officeDocument/2006/customXml" ds:itemID="{53D9BD58-9855-41B1-BBAA-EBD59A28D729}">
  <ds:schemaRefs/>
</ds:datastoreItem>
</file>

<file path=customXml/itemProps15.xml><?xml version="1.0" encoding="utf-8"?>
<ds:datastoreItem xmlns:ds="http://schemas.openxmlformats.org/officeDocument/2006/customXml" ds:itemID="{0F3EABCF-BC31-45B6-8D57-45DAD164486F}">
  <ds:schemaRefs/>
</ds:datastoreItem>
</file>

<file path=customXml/itemProps16.xml><?xml version="1.0" encoding="utf-8"?>
<ds:datastoreItem xmlns:ds="http://schemas.openxmlformats.org/officeDocument/2006/customXml" ds:itemID="{10284D1A-666F-4B96-8C6C-F302A34AA26D}">
  <ds:schemaRefs/>
</ds:datastoreItem>
</file>

<file path=customXml/itemProps17.xml><?xml version="1.0" encoding="utf-8"?>
<ds:datastoreItem xmlns:ds="http://schemas.openxmlformats.org/officeDocument/2006/customXml" ds:itemID="{C59E9B35-0AE7-49B9-8CF2-1953EBB5ACBC}">
  <ds:schemaRefs/>
</ds:datastoreItem>
</file>

<file path=customXml/itemProps18.xml><?xml version="1.0" encoding="utf-8"?>
<ds:datastoreItem xmlns:ds="http://schemas.openxmlformats.org/officeDocument/2006/customXml" ds:itemID="{8701D198-5B20-44C0-A3B8-DDA787C9CC77}">
  <ds:schemaRefs/>
</ds:datastoreItem>
</file>

<file path=customXml/itemProps19.xml><?xml version="1.0" encoding="utf-8"?>
<ds:datastoreItem xmlns:ds="http://schemas.openxmlformats.org/officeDocument/2006/customXml" ds:itemID="{FA341D3C-2214-4ACD-AF94-BE9690436CF8}">
  <ds:schemaRefs/>
</ds:datastoreItem>
</file>

<file path=customXml/itemProps20.xml><?xml version="1.0" encoding="utf-8"?>
<ds:datastoreItem xmlns:ds="http://schemas.openxmlformats.org/officeDocument/2006/customXml" ds:itemID="{68A1438B-7615-486A-9290-DC8742F17A8D}">
  <ds:schemaRefs/>
</ds:datastoreItem>
</file>

<file path=customXml/itemProps21.xml><?xml version="1.0" encoding="utf-8"?>
<ds:datastoreItem xmlns:ds="http://schemas.openxmlformats.org/officeDocument/2006/customXml" ds:itemID="{299A020A-346D-494F-B795-26FCA9F8CD2C}">
  <ds:schemaRefs/>
</ds:datastoreItem>
</file>

<file path=customXml/itemProps22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customXml/itemProps23.xml><?xml version="1.0" encoding="utf-8"?>
<ds:datastoreItem xmlns:ds="http://schemas.openxmlformats.org/officeDocument/2006/customXml" ds:itemID="{50DD3B1E-ED91-4AE6-BC7E-B098D2684B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Victor Catalán Flores</cp:lastModifiedBy>
  <dcterms:created xsi:type="dcterms:W3CDTF">2015-06-05T18:19:34Z</dcterms:created>
  <dcterms:modified xsi:type="dcterms:W3CDTF">2026-07-14T15:03:40Z</dcterms:modified>
</cp:coreProperties>
</file>